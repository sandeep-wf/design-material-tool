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s" sheetId="1" r:id="rId5"/>
    <sheet state="visible" name="Material" sheetId="2" r:id="rId6"/>
    <sheet state="visible" name="Mapping" sheetId="3" r:id="rId7"/>
    <sheet state="visible" name="Pivot Table 1" sheetId="4" r:id="rId8"/>
    <sheet state="visible" name="Pivot Table 2" sheetId="5" r:id="rId9"/>
    <sheet state="visible" name="SAP" sheetId="6" r:id="rId10"/>
    <sheet state="visible" name="Copy of Designs" sheetId="7" r:id="rId11"/>
    <sheet state="visible" name="Copy of Material" sheetId="8" r:id="rId12"/>
    <sheet state="visible" name="Copy of Mapping" sheetId="9" r:id="rId13"/>
  </sheets>
  <definedNames/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<sst xmlns="http://schemas.openxmlformats.org/spreadsheetml/2006/main" count="8156" uniqueCount="900">
  <si>
    <t>Sno</t>
  </si>
  <si>
    <t>design_name</t>
  </si>
  <si>
    <t>design_code</t>
  </si>
  <si>
    <t>published</t>
  </si>
  <si>
    <t>active</t>
  </si>
  <si>
    <t>Selling price</t>
  </si>
  <si>
    <t>Light</t>
  </si>
  <si>
    <t>Cabinets</t>
  </si>
  <si>
    <t>3 shelf backpanel</t>
  </si>
  <si>
    <t>Square</t>
  </si>
  <si>
    <t>Rectangle</t>
  </si>
  <si>
    <t>Shelf</t>
  </si>
  <si>
    <t>Final Price</t>
  </si>
  <si>
    <t>L Profile color</t>
  </si>
  <si>
    <t>Trim</t>
  </si>
  <si>
    <t>Sqaure</t>
  </si>
  <si>
    <t>Cost</t>
  </si>
  <si>
    <t>Selling price after discount</t>
  </si>
  <si>
    <t>Transport cost</t>
  </si>
  <si>
    <t>CP cost</t>
  </si>
  <si>
    <t>Margin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</si>
  <si>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</si>
  <si>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</si>
  <si>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</si>
  <si>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</si>
  <si>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</si>
  <si>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</si>
  <si>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</si>
  <si>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</si>
  <si>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NA</t>
  </si>
  <si>
    <t>WHSWBIW08S223</t>
  </si>
  <si>
    <t>Discount</t>
  </si>
  <si>
    <t>Caelum Nest (BR-3-2)</t>
  </si>
  <si>
    <t>BR-3-2</t>
  </si>
  <si>
    <t>WHSWBIW01S216</t>
  </si>
  <si>
    <t>Transport</t>
  </si>
  <si>
    <t>Amber Silence (BR-4-1)</t>
  </si>
  <si>
    <t>BR-4-1</t>
  </si>
  <si>
    <t>WHSWSSBWBLWS171</t>
  </si>
  <si>
    <t>WHSWSRBWBLWS181</t>
  </si>
  <si>
    <t>Elaris Woodline (BR-4-2)</t>
  </si>
  <si>
    <t>BR-4-2</t>
  </si>
  <si>
    <t>WHSWBIW03S218</t>
  </si>
  <si>
    <t>BR-5-1</t>
  </si>
  <si>
    <t>BR-5-2</t>
  </si>
  <si>
    <t>Solstice Haven (BR-6-1)</t>
  </si>
  <si>
    <t>BR-6-1</t>
  </si>
  <si>
    <t>WHSWBIW02S217</t>
  </si>
  <si>
    <t>??</t>
  </si>
  <si>
    <t>Morvane Essence (BR-6-2)</t>
  </si>
  <si>
    <t>BR-6-2</t>
  </si>
  <si>
    <t>BR-7-1</t>
  </si>
  <si>
    <t>BR-7-2</t>
  </si>
  <si>
    <t>Mirevan Grove (BR-8-1)</t>
  </si>
  <si>
    <t>BR-8-1</t>
  </si>
  <si>
    <t>Mid</t>
  </si>
  <si>
    <t>WHSWSSBWBMWS172</t>
  </si>
  <si>
    <t>Alba Caliza (BR-8-2)</t>
  </si>
  <si>
    <t>BR-8-2</t>
  </si>
  <si>
    <t>Velvet Whisperline (BR-12-1)</t>
  </si>
  <si>
    <t>BR-12-1</t>
  </si>
  <si>
    <t>WHSWS300SLWS191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</si>
  <si>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</si>
  <si>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</si>
  <si>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</si>
  <si>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</si>
  <si>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</si>
  <si>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</si>
  <si>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</si>
  <si>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</si>
  <si>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</si>
  <si>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</si>
  <si>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</si>
  <si>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</si>
  <si>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</si>
  <si>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</si>
  <si>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</si>
  <si>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</si>
  <si>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</si>
  <si>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</si>
  <si>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</si>
  <si>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</si>
  <si>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</si>
  <si>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</si>
  <si>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</si>
  <si>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</si>
  <si>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</si>
  <si>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</si>
  <si>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</si>
  <si>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</si>
  <si>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</si>
  <si>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</si>
  <si>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</si>
  <si>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</si>
  <si>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</si>
  <si>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</si>
  <si>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</si>
  <si>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</si>
  <si>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</si>
  <si>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</si>
  <si>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</si>
  <si>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</si>
  <si>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</si>
  <si>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</si>
  <si>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</si>
  <si>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</si>
  <si>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WHSWSRBWBMWS182</t>
  </si>
  <si>
    <t>Graphite Horizon (LR-09L-2)</t>
  </si>
  <si>
    <t>LR-09L-2</t>
  </si>
  <si>
    <t>Solid dark</t>
  </si>
  <si>
    <t>WHSWSRBWBSDS179</t>
  </si>
  <si>
    <t>Caramel Contemporary (LR-10L-1)</t>
  </si>
  <si>
    <t>LR-10L-1</t>
  </si>
  <si>
    <t>Monora Bloom (LR-10L-2)</t>
  </si>
  <si>
    <t>LR-10L-2</t>
  </si>
  <si>
    <t>WHSWSSBWBSDS169</t>
  </si>
  <si>
    <t>LR-11L-1</t>
  </si>
  <si>
    <t>Auric Timberline (LR-20L-1)</t>
  </si>
  <si>
    <t>LR-20L-1</t>
  </si>
  <si>
    <t>WHSWBIW10S225</t>
  </si>
  <si>
    <t>Armon Lumera (LR-20L-2)</t>
  </si>
  <si>
    <t>LR-20L-2</t>
  </si>
  <si>
    <t>LR-18-1</t>
  </si>
  <si>
    <t>LR-18-2</t>
  </si>
  <si>
    <t>Brinova Rustic (LR-21L-1)</t>
  </si>
  <si>
    <t>LR-21L-1</t>
  </si>
  <si>
    <t>WHSWS300SMWS192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</si>
  <si>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</si>
  <si>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</si>
  <si>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</si>
  <si>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</si>
  <si>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</si>
  <si>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</si>
  <si>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</si>
  <si>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</si>
  <si>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</si>
  <si>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</si>
  <si>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</si>
  <si>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</si>
  <si>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</si>
  <si>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</si>
  <si>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</si>
  <si>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</si>
  <si>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</si>
  <si>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</si>
  <si>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</si>
  <si>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</si>
  <si>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</si>
  <si>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</si>
  <si>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</si>
  <si>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</si>
  <si>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</si>
  <si>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</si>
  <si>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</si>
  <si>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</si>
  <si>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</si>
  <si>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</si>
  <si>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</si>
  <si>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</si>
  <si>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</si>
  <si>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</si>
  <si>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</si>
  <si>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</si>
  <si>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</si>
  <si>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</si>
  <si>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</si>
  <si>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</si>
  <si>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</si>
  <si>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</si>
  <si>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</si>
  <si>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</si>
  <si>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</si>
  <si>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WHSWBIP02S210</t>
  </si>
  <si>
    <t>Timber Whisper (TV-61)</t>
  </si>
  <si>
    <t>TV-61</t>
  </si>
  <si>
    <t>Dark</t>
  </si>
  <si>
    <t>WHSWS300SDWS193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</si>
  <si>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</si>
  <si>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</si>
  <si>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</si>
  <si>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</si>
  <si>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</si>
  <si>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</si>
  <si>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</si>
  <si>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</si>
  <si>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</si>
  <si>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</si>
  <si>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</si>
  <si>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</si>
  <si>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</si>
  <si>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</si>
  <si>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</si>
  <si>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</si>
  <si>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</si>
  <si>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</si>
  <si>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</si>
  <si>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</si>
  <si>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</si>
  <si>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</si>
  <si>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Sylvena Crest (BR-34)</t>
  </si>
  <si>
    <t>BR-34</t>
  </si>
  <si>
    <t>Corin Nuvella (BR-35)</t>
  </si>
  <si>
    <t>BR-35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</si>
  <si>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</si>
  <si>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</si>
  <si>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</si>
  <si>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</si>
  <si>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</si>
  <si>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</si>
  <si>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</si>
  <si>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</si>
  <si>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</si>
  <si>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</si>
  <si>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</si>
  <si>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</si>
  <si>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cost</t>
  </si>
  <si>
    <t>material</t>
  </si>
  <si>
    <t>WHSWPLCS017</t>
  </si>
  <si>
    <t>WHSWPLCS020</t>
  </si>
  <si>
    <t>WHSWPLCS103</t>
  </si>
  <si>
    <t>WHSWPLCS079</t>
  </si>
  <si>
    <t>WHSWLTLEDS164</t>
  </si>
  <si>
    <t>WHSWLTLEDS165</t>
  </si>
  <si>
    <t>WHSWLTLEDS167</t>
  </si>
  <si>
    <t>WHSWCHALS162</t>
  </si>
  <si>
    <t>WHSWBDPS161</t>
  </si>
  <si>
    <t>WHSWPLCS042</t>
  </si>
  <si>
    <t>WHSWPLCS021</t>
  </si>
  <si>
    <t>WHSWPLCS055</t>
  </si>
  <si>
    <t>WHSWPLCS106</t>
  </si>
  <si>
    <t>WHSWPLCS025</t>
  </si>
  <si>
    <t>WHSWPLCS102</t>
  </si>
  <si>
    <t>WHSWPLCS076</t>
  </si>
  <si>
    <t>WHSWPLCS051</t>
  </si>
  <si>
    <t>WHSWPLCS029</t>
  </si>
  <si>
    <t>WHSWPLCS036</t>
  </si>
  <si>
    <t>WHSWPLCPCS118</t>
  </si>
  <si>
    <t>WHSWTSSBG6TS233</t>
  </si>
  <si>
    <t>WHSWPLCPCS150</t>
  </si>
  <si>
    <t>WHSWPLCPCS138</t>
  </si>
  <si>
    <t>WHSWPLCPCS132</t>
  </si>
  <si>
    <t>WHSWPLCPCS153</t>
  </si>
  <si>
    <t>WHSWPLCPCS131</t>
  </si>
  <si>
    <t>WHSWPLCPCS128</t>
  </si>
  <si>
    <t>WHSWPLCPCS127</t>
  </si>
  <si>
    <t>WHSWPLCPCS124</t>
  </si>
  <si>
    <t>WHSWPLCPCS133</t>
  </si>
  <si>
    <t>WHSWPLCPCS130</t>
  </si>
  <si>
    <t>WHSWPLCPCS115</t>
  </si>
  <si>
    <t>WHSWPLCPCS112</t>
  </si>
  <si>
    <t>WHSWPLCPCS159</t>
  </si>
  <si>
    <t>WHSWPLCPCS152</t>
  </si>
  <si>
    <t>WHSWPLCPCS155</t>
  </si>
  <si>
    <t>WHSWPLCS006</t>
  </si>
  <si>
    <t>WHSWPLCS033</t>
  </si>
  <si>
    <t>WHSWPLCS078</t>
  </si>
  <si>
    <t>WHSWPLCS035</t>
  </si>
  <si>
    <t>WHSWPLCPCS140</t>
  </si>
  <si>
    <t>WHSWPLCPCS114</t>
  </si>
  <si>
    <t>WHSWPLCPCS154</t>
  </si>
  <si>
    <t>WHSWPLCPCS144</t>
  </si>
  <si>
    <t>WHSWBIW09S224</t>
  </si>
  <si>
    <t>WHSWS450SLWS196</t>
  </si>
  <si>
    <t>WHSWBIP05S213</t>
  </si>
  <si>
    <t>WHSWTSSRGG6TS232</t>
  </si>
  <si>
    <t>WHSWPLCS032</t>
  </si>
  <si>
    <t>WHSWSRBBMWS187</t>
  </si>
  <si>
    <t>WHSWPLCS075</t>
  </si>
  <si>
    <t>WHSWTSSGG6TS231</t>
  </si>
  <si>
    <t>WHSWBIW05S220</t>
  </si>
  <si>
    <t>WHSWBIP06S214</t>
  </si>
  <si>
    <t>WHSWPLCS007</t>
  </si>
  <si>
    <t>WHSWPLCS060</t>
  </si>
  <si>
    <t>WHSWBIW07S222</t>
  </si>
  <si>
    <t>WHSWPLCS030</t>
  </si>
  <si>
    <t>WHSWPLCS041</t>
  </si>
  <si>
    <t>WHSWPLCPCS126</t>
  </si>
  <si>
    <t>WHSWPLCPCS151</t>
  </si>
  <si>
    <t>WHSWPLCPCS136</t>
  </si>
  <si>
    <t>WHSWPLCPCS129</t>
  </si>
  <si>
    <t>WHSWPLCS009</t>
  </si>
  <si>
    <t>WHSWPLCS063</t>
  </si>
  <si>
    <t>WHSWPLCS088</t>
  </si>
  <si>
    <t>WHSWPLCS101</t>
  </si>
  <si>
    <t>WHSWS600SMWS202</t>
  </si>
  <si>
    <t>WHSWS600SLWS201</t>
  </si>
  <si>
    <t>WHSWPLCS090</t>
  </si>
  <si>
    <t>WHSWPLCS023</t>
  </si>
  <si>
    <t>WHSWSRBBDWS188</t>
  </si>
  <si>
    <t>WHSWSSBBDWS178</t>
  </si>
  <si>
    <t>WHSWPLCS043</t>
  </si>
  <si>
    <t>WHSWSRBBSDS184</t>
  </si>
  <si>
    <t>WHSWPLCPCS149</t>
  </si>
  <si>
    <t>WHSWS450SMWS197</t>
  </si>
  <si>
    <t>WHSWGLSS168</t>
  </si>
  <si>
    <t>material_md_code</t>
  </si>
  <si>
    <t>qty</t>
  </si>
  <si>
    <t>cost_price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</si>
  <si>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</si>
  <si>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</si>
  <si>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</si>
  <si>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</si>
  <si>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</si>
  <si>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</si>
  <si>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</si>
  <si>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</si>
  <si>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BD-03</t>
  </si>
  <si>
    <t>BD-02</t>
  </si>
  <si>
    <t>RB</t>
  </si>
  <si>
    <t>T-01</t>
  </si>
  <si>
    <t>2307 B</t>
  </si>
  <si>
    <t>2305 B</t>
  </si>
  <si>
    <t>2315 B</t>
  </si>
  <si>
    <t>2325 B</t>
  </si>
  <si>
    <t>2313B</t>
  </si>
  <si>
    <t>BD</t>
  </si>
  <si>
    <t>2313 B</t>
  </si>
  <si>
    <t>BR-36</t>
  </si>
  <si>
    <t>T-02</t>
  </si>
  <si>
    <t>T-03</t>
  </si>
  <si>
    <t>BDP-02</t>
  </si>
  <si>
    <t>BDP-06</t>
  </si>
  <si>
    <t>BD-10</t>
  </si>
  <si>
    <t>02328 B</t>
  </si>
  <si>
    <t>02312 B</t>
  </si>
  <si>
    <t>2311 B</t>
  </si>
  <si>
    <t>02324 B</t>
  </si>
  <si>
    <t>02325 B</t>
  </si>
  <si>
    <t>02324</t>
  </si>
  <si>
    <t>02327 B</t>
  </si>
  <si>
    <t>GL-1</t>
  </si>
  <si>
    <t>Calculated Field 1</t>
  </si>
  <si>
    <t>Calculated Field 2</t>
  </si>
  <si>
    <t>Product name</t>
  </si>
  <si>
    <t>Basic</t>
  </si>
  <si>
    <t>Storage</t>
  </si>
  <si>
    <t xml:space="preserve">Basic </t>
  </si>
  <si>
    <t>Stoarge</t>
  </si>
  <si>
    <t>TV Cabinat</t>
  </si>
  <si>
    <t>TV cabinet</t>
  </si>
  <si>
    <t>SUM of Calculated Field 1</t>
  </si>
  <si>
    <t>SUM of Calculated Field 2</t>
  </si>
  <si>
    <t>Revenue Segment</t>
  </si>
  <si>
    <t>Product Type/ Generic Name</t>
  </si>
  <si>
    <t>Country of Origin</t>
  </si>
  <si>
    <t>Parent SKU Code</t>
  </si>
  <si>
    <t>Parent Product Name</t>
  </si>
  <si>
    <t>Characters Length
(40 Characters)</t>
  </si>
  <si>
    <t>Child SKU Code</t>
  </si>
  <si>
    <t>Child Product Name</t>
  </si>
  <si>
    <t>UOM</t>
  </si>
  <si>
    <t>Packing Dimensions (MM) (LXWXH)</t>
  </si>
  <si>
    <t>Product Dimensions (MM) (LXWXH)</t>
  </si>
  <si>
    <t>Gross Weight (KG)</t>
  </si>
  <si>
    <t>Net Weight (KG)</t>
  </si>
  <si>
    <t>HSN Code</t>
  </si>
  <si>
    <t>Conversion Factor</t>
  </si>
  <si>
    <t>Plant</t>
  </si>
  <si>
    <t>MAP (Child)</t>
  </si>
  <si>
    <t>MRP</t>
  </si>
  <si>
    <t>SAP Code Parent</t>
  </si>
  <si>
    <t>SAP Code child</t>
  </si>
  <si>
    <t>Product Name with size</t>
  </si>
  <si>
    <t>HIF</t>
  </si>
  <si>
    <t>Wall Panel</t>
  </si>
  <si>
    <t>India</t>
  </si>
  <si>
    <t>WHSWPLPS001</t>
  </si>
  <si>
    <t>PVC-Wooden/Multi-clr-Wood Grain-PN 06186</t>
  </si>
  <si>
    <t>N</t>
  </si>
  <si>
    <t>3048 x 254 x 6</t>
  </si>
  <si>
    <t>KA04,MTN9</t>
  </si>
  <si>
    <t>PVC-Wooden/Multi-clr-Wood Grain-PN 06186 || 10 ft x 10 inch</t>
  </si>
  <si>
    <t>WHSWPLPS002</t>
  </si>
  <si>
    <t>PVC-Walnut/Dark Wood-Wood Grain-PN 00402</t>
  </si>
  <si>
    <t>PVC-Walnut/Dark Wood-Wood Grain-PN 00402 || 10 ft x 10 inch</t>
  </si>
  <si>
    <t>WHSWPLWS003</t>
  </si>
  <si>
    <t>WPC-Natural Wood-Wood Grain-PN 00273</t>
  </si>
  <si>
    <t>2895.6 x 127 x 12</t>
  </si>
  <si>
    <t>WPC-Natural Wood-Wood Grain-PN 00273 || 9.5 ft x 5 inch</t>
  </si>
  <si>
    <t>WHSWPLWS004</t>
  </si>
  <si>
    <t>WPC-Charcoal Grey-Matte-PN 02898</t>
  </si>
  <si>
    <t>WPC-Charcoal Grey-Matte-PN 02898 || 9.5 ft x 5 inch</t>
  </si>
  <si>
    <t>WHSWPLWS005</t>
  </si>
  <si>
    <t>WPC-Black-Matte-PN 02912</t>
  </si>
  <si>
    <t>WPC-Black-Matte-PN 02912 || 9.5 ft x 5 inch</t>
  </si>
  <si>
    <t>Charcoal PS-Beige-Matte-PN 03851</t>
  </si>
  <si>
    <t>2895.6 x 152.4 x 10</t>
  </si>
  <si>
    <t>Charcoal (PS)-Beige-Matte-PN 03851 || 9.5 ft x 6 inch</t>
  </si>
  <si>
    <t>Charcoal PS-Grey-Matte-PN 03856</t>
  </si>
  <si>
    <t>Charcoal (PS)-Grey-Matte-PN 03856 || 9.5 ft x 6 inch</t>
  </si>
  <si>
    <t>WHSWPLCS008</t>
  </si>
  <si>
    <t>Charcoal PS-Walnut-Wood Grain-PN 03864</t>
  </si>
  <si>
    <t>Charcoal (PS)-Walnut-Wood Grain-PN 03864 || 9.5 ft x 6 inch</t>
  </si>
  <si>
    <t>Charcoal PS-Pine-Wood Grain-PN 03865</t>
  </si>
  <si>
    <t>Charcoal (PS)-Pine-Wood Grain-PN 03865 || 9.5 ft x 6 inch</t>
  </si>
  <si>
    <t>WHSWPLCS010</t>
  </si>
  <si>
    <t>Charcoal PS-Teak-Wood Grain-PN 03044</t>
  </si>
  <si>
    <t>2438.4 x 127 x 12</t>
  </si>
  <si>
    <t>Charcoal (PS)-Teak-Wood Grain-PN 03044 || 8 ft x 5 inch</t>
  </si>
  <si>
    <t>WHSWPLCS011</t>
  </si>
  <si>
    <t>Charcoal PS-Grey-Matte-PN 00901</t>
  </si>
  <si>
    <t>Charcoal (PS)-Grey-Matte-PN 00901 || 8 ft x 5 inch</t>
  </si>
  <si>
    <t>WHSWPLCS012</t>
  </si>
  <si>
    <t>Charcoal PS-Walnut-Wood Grain-PN 03043</t>
  </si>
  <si>
    <t>Charcoal (PS)-Walnut-Wood Grain-PN 03043 || 8 ft x 5 inch</t>
  </si>
  <si>
    <t>WHSWPLCS013</t>
  </si>
  <si>
    <t>Charcoal PS-Brown-Wood Grain-PN 05777</t>
  </si>
  <si>
    <t>2438.4 x 127 x 11</t>
  </si>
  <si>
    <t>Charcoal (PS)-Brown-Wood Grain-PN 05777 || 8 ft x 5 inch</t>
  </si>
  <si>
    <t>WHSWPLCS014</t>
  </si>
  <si>
    <t>Charcoal PS-Teak-Wood Grain-PN 06161</t>
  </si>
  <si>
    <t>Charcoal (PS)-Teak-Wood Grain-PN 06161 || 8 ft x 5 inch</t>
  </si>
  <si>
    <t>WHSWPLCS015</t>
  </si>
  <si>
    <t>Charcoal PS-Pine-Wood Grain-PN 06158</t>
  </si>
  <si>
    <t>Charcoal (PS)-Pine-Wood Grain-PN 06158 || 8 ft x 5 inch</t>
  </si>
  <si>
    <t>WHSWPLCS016</t>
  </si>
  <si>
    <t>Charcoal PS-Black-Matte-PN 06159</t>
  </si>
  <si>
    <t>Charcoal (PS)-Black-Matte-PN 06159 || 8 ft x 5 inch</t>
  </si>
  <si>
    <t>Charcoal PS-Cream-Matte-PN 06167</t>
  </si>
  <si>
    <t>Charcoal (PS)-Cream-Matte-PN 06167 || 8 ft x 5 inch</t>
  </si>
  <si>
    <t>WHSWPLCS018</t>
  </si>
  <si>
    <t>Charcoal PS-Ivory-Matte-PN 06156</t>
  </si>
  <si>
    <t>Charcoal (PS)-Ivory-Matte-PN 06156 || 8 ft x 5 inch</t>
  </si>
  <si>
    <t>WHSWPLCS019</t>
  </si>
  <si>
    <t>Charcoal PS-Dark-Wood Grain-PN 03208</t>
  </si>
  <si>
    <t>Charcoal (PS)-Dark-Wood Grain-PN 03208 || 8 ft x 5 inch</t>
  </si>
  <si>
    <t>Charcoal PS-Pine-Wood Grain-PN 03221</t>
  </si>
  <si>
    <t>Charcoal (PS)-Pine-Wood Grain-PN 03221 || 8 ft x 5 inch</t>
  </si>
  <si>
    <t>Charcoal PS-Walnut-Wood Grain-PN 03223</t>
  </si>
  <si>
    <t>Charcoal (PS)-Walnut-Wood Grain-PN 03223 || 8 ft x 5 inch</t>
  </si>
  <si>
    <t>WHSWPLCS022</t>
  </si>
  <si>
    <t>Charcoal PS-Teak-Wood Grain-PN 03222</t>
  </si>
  <si>
    <t>Charcoal (PS)-Teak-Wood Grain-PN 03222 || 8 ft x 5 inch</t>
  </si>
  <si>
    <t>Charcoal PS-Grey-Matte-PN 03210</t>
  </si>
  <si>
    <t>Charcoal (PS)-Grey-Matte-PN 03210 || 8 ft x 5 inch</t>
  </si>
  <si>
    <t>WHSWPLCS024</t>
  </si>
  <si>
    <t>Charcoal PS-Oak-Wood Grain-PN 05610</t>
  </si>
  <si>
    <t>Charcoal (PS)-Oak-Wood Grain-PN 05610 || 8 ft x 5 inch</t>
  </si>
  <si>
    <t>Charcoal PS-Dark Grey-Matte-PN 00545</t>
  </si>
  <si>
    <t>Charcoal (PS)-Dark Grey-Matte-PN 00545 || 8 ft x 5 inch</t>
  </si>
  <si>
    <t>WHSWPLCS026</t>
  </si>
  <si>
    <t>Charcoal PS-Pine-Wood Grain-PN 05291</t>
  </si>
  <si>
    <t>Charcoal (PS)-Pine-Wood Grain-PN 05291 || 8 ft x 5 inch</t>
  </si>
  <si>
    <t>WHSWPLCS027</t>
  </si>
  <si>
    <t>Charcoal PS-Walnut-Wood Grain-PN 05289</t>
  </si>
  <si>
    <t>Charcoal (PS)-Walnut-Wood Grain-PN 05289 || 8 ft x 5 inch</t>
  </si>
  <si>
    <t>WHSWPLCS028</t>
  </si>
  <si>
    <t>Charcoal PS-Multi-Wood Grain-PN 06288</t>
  </si>
  <si>
    <t>Charcoal (PS)-Multi-Wood Grain-PN 06288 || 8 ft x 5 inch</t>
  </si>
  <si>
    <t>Charcoal PS-White-Matte-PN 00155</t>
  </si>
  <si>
    <t>Charcoal (PS)-White-Matte-PN 00155 || 8 ft x 5 inch</t>
  </si>
  <si>
    <t>Charcoal PS-Medium-Wood Grain-PN 05514</t>
  </si>
  <si>
    <t>Charcoal (PS)-Medium-Wood Grain-PN 05514 || 8 ft x 5 inch</t>
  </si>
  <si>
    <t>WHSWPLCS031</t>
  </si>
  <si>
    <t>Charcoal PS-Teak-Wood Grain-PN 00140</t>
  </si>
  <si>
    <t>Charcoal (PS)-Teak-Wood Grain-PN 00140 || 8 ft x 5 inch</t>
  </si>
  <si>
    <t>Charcoal PS-Dark-Wood Grain-PN 05484</t>
  </si>
  <si>
    <t>Charcoal (PS)-Dark-Wood Grain-PN 05484 || 8 ft x 5 inch</t>
  </si>
  <si>
    <t>Charcoal PS-Pine-Wood Grain-PN 00147</t>
  </si>
  <si>
    <t>Charcoal (PS)-Pine-Wood Grain-PN 00147 || 8 ft x 5 inch</t>
  </si>
  <si>
    <t>WHSWPLCS034</t>
  </si>
  <si>
    <t>Charcoal PS-Oak-Wood Grain-PN 05606</t>
  </si>
  <si>
    <t>Charcoal (PS)-Oak-Wood Grain-PN 05606 || 8 ft x 5 inch</t>
  </si>
  <si>
    <t>Charcoal PS-Teak-Wood Grain-PN 02343</t>
  </si>
  <si>
    <t>2438.4 x 609.6 x 10</t>
  </si>
  <si>
    <t>Charcoal (PS)-Teak-Wood Grain-PN 02343 || 8 ft x 2 ft</t>
  </si>
  <si>
    <t>Charcoal PS-Walnut-Wood Grain-PN 02347</t>
  </si>
  <si>
    <t>Charcoal (PS)-Walnut-Wood Grain-PN 02347 || 8 ft x 2 ft</t>
  </si>
  <si>
    <t>WHSWPLCS037</t>
  </si>
  <si>
    <t>Charcoal PS-Grey-Matte-PN 02341</t>
  </si>
  <si>
    <t>Charcoal (PS)-Grey-Matte-PN 02341 || 8 ft x 2 ft</t>
  </si>
  <si>
    <t>WHSWPLCS038</t>
  </si>
  <si>
    <t>Charcoal PS-Beige-Matte-PN 02345 B</t>
  </si>
  <si>
    <t>Charcoal (PS)-Beige-Matte-PN 02345 B || 8 ft x 2 ft</t>
  </si>
  <si>
    <t>WHSWPLCS039</t>
  </si>
  <si>
    <t>Charcoal PS-Black-Matte-PN 02346</t>
  </si>
  <si>
    <t>Charcoal (PS)-Black-Matte-PN 02346 || 8 ft x 2 ft</t>
  </si>
  <si>
    <t>WHSWPLCS040</t>
  </si>
  <si>
    <t>Charcoal PS-Brown-Wood Grain-PN 05926</t>
  </si>
  <si>
    <t>2895.6 x 121.92 x 12</t>
  </si>
  <si>
    <t>Charcoal (PS)-Brown-Wood Grain-PN 05926 || 9.5 ft x 4.8 inch</t>
  </si>
  <si>
    <t>Charcoal PS-Walnut-Wood Grain-PN 05925</t>
  </si>
  <si>
    <t>Charcoal (PS)-Walnut-Wood Grain-PN 05925 || 9.5 ft x 4.8 inch</t>
  </si>
  <si>
    <t>Charcoal PS-Dark-Wood Grain-PN 02746</t>
  </si>
  <si>
    <t>Charcoal (PS)-Dark-Wood Grain-PN 02746 || 9.5 ft x 4.8 inch</t>
  </si>
  <si>
    <t>Charcoal PS-Ivory-Matte-PN 02750</t>
  </si>
  <si>
    <t>Charcoal (PS)-Ivory-Matte-PN 02750 || 9.5 ft x 4.8 inch</t>
  </si>
  <si>
    <t>WHSWPLCS044</t>
  </si>
  <si>
    <t>Charcoal PS-Cream-Plain-clr-PN 00521</t>
  </si>
  <si>
    <t>Charcoal (PS)-Cream-Plain-clr-PN 00521 || 9.5 ft x 4.8 inch</t>
  </si>
  <si>
    <t>WHSWPLCS045</t>
  </si>
  <si>
    <t>Charcoal PS-Grey-Matte-PN 05494</t>
  </si>
  <si>
    <t>Charcoal (PS)-Grey-Matte-PN 05494 || 9.5 ft x 4.8 inch</t>
  </si>
  <si>
    <t>WHSWPLCS046</t>
  </si>
  <si>
    <t>Charcoal PS-Pine-Wood Grain-PN 00486</t>
  </si>
  <si>
    <t>Charcoal (PS)-Pine-Wood Grain-PN 00486 || 9.5 ft x 4.8 inch</t>
  </si>
  <si>
    <t>WHSWPLCS047</t>
  </si>
  <si>
    <t>Charcoal PS-Walnut-Wood Grain-PN 04567</t>
  </si>
  <si>
    <t>Charcoal (PS)-Walnut-Wood Grain-PN 04567 || 8 ft x 5 inch</t>
  </si>
  <si>
    <t>WHSWPLCS048</t>
  </si>
  <si>
    <t>Charcoal PS-Grey-Matte-PN 05599</t>
  </si>
  <si>
    <t>Charcoal (PS)-Grey-Matte-PN 05599 || 8 ft x 5 inch</t>
  </si>
  <si>
    <t>WHSWPLCS049</t>
  </si>
  <si>
    <t>Charcoal PS-Brown-Wood Grain-PN 05698</t>
  </si>
  <si>
    <t>Charcoal (PS)-Brown-Wood Grain-PN 05698 || 8 ft x 5 inch</t>
  </si>
  <si>
    <t>WHSWPLCS050</t>
  </si>
  <si>
    <t>Charcoal PS-Teak-Wood Grain-PN 04616</t>
  </si>
  <si>
    <t>Charcoal (PS)-Teak-Wood Grain-PN 04616 || 8 ft x 5 inch</t>
  </si>
  <si>
    <t>Charcoal PS-Walnut-Wood Grain-PN 00149</t>
  </si>
  <si>
    <t>Charcoal (PS)-Walnut-Wood Grain-PN 00149 || 8 ft x 5 inch</t>
  </si>
  <si>
    <t>WHSWPLCS052</t>
  </si>
  <si>
    <t>Charcoal PS-Cream-Matte-PN 00137</t>
  </si>
  <si>
    <t>Charcoal (PS)-Cream-Matte-PN 00137 || 8 ft x 5 inch</t>
  </si>
  <si>
    <t>WHSWPLCS053</t>
  </si>
  <si>
    <t>Charcoal PS-Brown-Wood Grain-PN 04590</t>
  </si>
  <si>
    <t>Charcoal (PS)-Brown-Wood Grain-PN 04590 || 8 ft x 5 inch</t>
  </si>
  <si>
    <t>WHSWPLCS054</t>
  </si>
  <si>
    <t>Charcoal PS-Oak-Wood Grain-PN 04574</t>
  </si>
  <si>
    <t>Charcoal (PS)-Oak-Wood Grain-PN 04574 || 8 ft x 5 inch</t>
  </si>
  <si>
    <t>Charcoal PS-Medium-Wood Grain-PN 05656</t>
  </si>
  <si>
    <t>Charcoal (PS)-Medium-Wood Grain-PN 05656 || 8 ft x 5 inch</t>
  </si>
  <si>
    <t>WHSWPLCS056</t>
  </si>
  <si>
    <t>Charcoal PS-Walnut-Wood Grain-PN 05852</t>
  </si>
  <si>
    <t>Charcoal (PS)-Walnut-Wood Grain-PN 05852 || 8 ft x 5 inch</t>
  </si>
  <si>
    <t>WHSWPLCS057</t>
  </si>
  <si>
    <t>Charcoal PS-Brown-Wood Grain-PN 03556</t>
  </si>
  <si>
    <t>Charcoal (PS)-Brown-Wood Grain-PN 03556 || 8 ft x 5 inch</t>
  </si>
  <si>
    <t>WHSWPLCS058</t>
  </si>
  <si>
    <t>Charcoal PS-Oak-Wood Grain-PN 05855</t>
  </si>
  <si>
    <t>Charcoal (PS)-Oak-Wood Grain-PN 05855 || 8 ft x 5 inch</t>
  </si>
  <si>
    <t>WHSWPLCS059</t>
  </si>
  <si>
    <t>Charcoal PS-Teak-Wood Grain-PN 04075</t>
  </si>
  <si>
    <t>2438.4 x 203.2 x 14</t>
  </si>
  <si>
    <t>Charcoal (PS)-Teak-Wood Grain-PN 04075 || 8 ft x 8 inch</t>
  </si>
  <si>
    <t>Charcoal PS-Pine-Wood Grain-PN 04073</t>
  </si>
  <si>
    <t>Charcoal (PS)-Pine-Wood Grain-PN 04073 || 8 ft x 8 inch</t>
  </si>
  <si>
    <t>WHSWPLCS061</t>
  </si>
  <si>
    <t>Charcoal PS-Light-Wood Grain-PN 04072</t>
  </si>
  <si>
    <t>Charcoal (PS)-Light-Wood Grain-PN 04072 || 8 ft x 8 inch</t>
  </si>
  <si>
    <t>WHSWPLCS062</t>
  </si>
  <si>
    <t>Charcoal PS-Teak-Wood Grain-PN 02339</t>
  </si>
  <si>
    <t>2438.4 x 149.86 x 8</t>
  </si>
  <si>
    <t>Charcoal (PS)-Teak-Wood Grain-PN 02339 || 8 ft x 5.9 inch</t>
  </si>
  <si>
    <t>Charcoal PS-Medium-Wood Grain-PN 03214</t>
  </si>
  <si>
    <t>Charcoal (PS)-Medium-Wood Grain-PN 03214 || 8 ft x 8 inch</t>
  </si>
  <si>
    <t>WHSWPLCS064</t>
  </si>
  <si>
    <t>Charcoal PS-Beige-Matte-PN 05296</t>
  </si>
  <si>
    <t>Charcoal (PS)-Beige-Matte-PN 05296 || 8 ft x 8 inch</t>
  </si>
  <si>
    <t>WHSWPLCS065</t>
  </si>
  <si>
    <t>Charcoal PS-Grey-Matte-PN 05375</t>
  </si>
  <si>
    <t>Charcoal (PS)-Grey-Matte-PN 05375 || 8 ft x 8 inch</t>
  </si>
  <si>
    <t>WHSWPLCS066</t>
  </si>
  <si>
    <t>Charcoal PS-Pine-Wood Grain-PN 03022</t>
  </si>
  <si>
    <t>2895.6 x 203.2 x 14</t>
  </si>
  <si>
    <t>Charcoal (PS)-Pine-Wood Grain-PN 03022 || 9.5 ft x 8 inch</t>
  </si>
  <si>
    <t>WHSWPLCS067</t>
  </si>
  <si>
    <t>Charcoal PS-White-Matte-PN 05383</t>
  </si>
  <si>
    <t>Charcoal (PS)-White-Matte-PN 05383 || 9.5 ft x 8 inch</t>
  </si>
  <si>
    <t>WHSWPLCS068</t>
  </si>
  <si>
    <t>Charcoal PS-Pine-Wood Grain-PN 05350</t>
  </si>
  <si>
    <t>Charcoal (PS)-Pine-Wood Grain-PN 05350 || 9.5 ft x 8 inch</t>
  </si>
  <si>
    <t>WHSWPLCS069</t>
  </si>
  <si>
    <t>Charcoal PS-Brown-Wood Grain-PN 05334</t>
  </si>
  <si>
    <t>Charcoal (PS)-Brown-Wood Grain-PN 05334 || 9.5 ft x 8 inch</t>
  </si>
  <si>
    <t>WHSWPLCS070</t>
  </si>
  <si>
    <t>Charcoal PS-Pine-Wood Grain-PN 05328</t>
  </si>
  <si>
    <t>Charcoal (PS)-Pine-Wood Grain-PN 05328 || 9.5 ft x 8 inch</t>
  </si>
  <si>
    <t>WHSWPLCS071</t>
  </si>
  <si>
    <t>Charcoal PS-Beige-Matte-PN 02796</t>
  </si>
  <si>
    <t>Charcoal (PS)-Beige-Matte-PN 02796 || 9.5 ft x 8 inch</t>
  </si>
  <si>
    <t>WHSWPLCS072</t>
  </si>
  <si>
    <t>Charcoal PS-Cream-Matte-PN 05380</t>
  </si>
  <si>
    <t>Charcoal (PS)-Cream-Matte-PN 05380 || 9.5 ft x 8 inch</t>
  </si>
  <si>
    <t>WHSWPLCS073</t>
  </si>
  <si>
    <t>Charcoal PS-Brown-Wood Grain-PN 02754</t>
  </si>
  <si>
    <t>Charcoal (PS)-Brown-Wood Grain-PN 02754 || 8 ft x 5 inch</t>
  </si>
  <si>
    <t>WHSWPLCS074</t>
  </si>
  <si>
    <t>Charcoal PS-Grey-Matte-PN 02759</t>
  </si>
  <si>
    <t>Charcoal (PS)-Grey-Matte-PN 02759 || 8 ft x 5 inch</t>
  </si>
  <si>
    <t>Charcoal PS-Walnut-Wood Grain-PN 03026</t>
  </si>
  <si>
    <t>Charcoal (PS)-Walnut-Wood Grain-PN 03026 || 8 ft x 5 inch</t>
  </si>
  <si>
    <t>Charcoal PS-Dark-Wood Grain-PN 03027</t>
  </si>
  <si>
    <t>Charcoal (PS)-Dark-Wood Grain-PN 03027 || 8 ft x 5 inch</t>
  </si>
  <si>
    <t>WHSWPLCS077</t>
  </si>
  <si>
    <t>Charcoal PS-Beige-Matte-PN 00138</t>
  </si>
  <si>
    <t>Charcoal (PS)-Beige-Matte-PN 00138 || 8 ft x 5 inch</t>
  </si>
  <si>
    <t>Charcoal PS-Brown-Wood Grain-PN 05755</t>
  </si>
  <si>
    <t>Charcoal (PS)-Brown-Wood Grain-PN 05755 || 8 ft x 5 inch</t>
  </si>
  <si>
    <t>Charcoal PS-Brown-Wood Grain-PN 03399</t>
  </si>
  <si>
    <t>2438.4 x 127 x 10</t>
  </si>
  <si>
    <t>Charcoal (PS)-Brown-Wood Grain-PN 03399 || 8 ft x 5 inch</t>
  </si>
  <si>
    <t>WHSWPLCS080</t>
  </si>
  <si>
    <t>Charcoal PS-Grey-Matte-PN 05472</t>
  </si>
  <si>
    <t>Charcoal (PS)-Grey-Matte-PN 05472 || 8 ft x 5 inch</t>
  </si>
  <si>
    <t>WHSWPLCS081</t>
  </si>
  <si>
    <t>Charcoal PS-Beige-Matte-PN 06446</t>
  </si>
  <si>
    <t>Charcoal (PS)-Beige-Matte-PN 06446 || 8 ft x 5 inch</t>
  </si>
  <si>
    <t>WHSWPLCS082</t>
  </si>
  <si>
    <t>Charcoal PS-Dark-Wood Grain-PN 02743</t>
  </si>
  <si>
    <t>Charcoal (PS)-Dark-Wood Grain-PN 02743 || 8 ft x 5 inch</t>
  </si>
  <si>
    <t>WHSWPLCS083</t>
  </si>
  <si>
    <t>Charcoal PS-Pine-Wood Grain-PN 06812</t>
  </si>
  <si>
    <t>Charcoal (PS)-Pine-Wood Grain-PN 06812 || 8 ft x 5 inch</t>
  </si>
  <si>
    <t>WHSWPLCS084</t>
  </si>
  <si>
    <t>Charcoal PS-Cream-Matte-PN 00808</t>
  </si>
  <si>
    <t>Charcoal (PS)-Cream-Matte-PN 00808 || 8 ft x 5 inch</t>
  </si>
  <si>
    <t>WHSWPLCS085</t>
  </si>
  <si>
    <t>Charcoal PS-Black-Matte-PN 04886</t>
  </si>
  <si>
    <t>Charcoal (PS)-Black-Matte-PN 04886 || 8 ft x 5 inch</t>
  </si>
  <si>
    <t>WHSWPLCS086</t>
  </si>
  <si>
    <t>Charcoal PS-Brown-Wood Grain-PN 04881</t>
  </si>
  <si>
    <t>Charcoal (PS)-Brown-Wood Grain-PN 04881 || 8 ft x 5 inch</t>
  </si>
  <si>
    <t>WHSWPLCS087</t>
  </si>
  <si>
    <t>Charcoal PS-Teak-Wood Grain-PN 04882</t>
  </si>
  <si>
    <t>Charcoal (PS)-Teak-Wood Grain-PN 04882 || 8 ft x 5 inch</t>
  </si>
  <si>
    <t>Charcoal PS-Walnut-Wood Grain-PN 04598</t>
  </si>
  <si>
    <t>Charcoal (PS)-Walnut-Wood Grain-PN 04598 || 8 ft x 5 inch</t>
  </si>
  <si>
    <t>WHSWPLCS089</t>
  </si>
  <si>
    <t>Charcoal PS-Oak-Wood Grain-PN 04561</t>
  </si>
  <si>
    <t>Charcoal (PS)-Oak-Wood Grain-PN 04561 || 8 ft x 5 inch</t>
  </si>
  <si>
    <t>Charcoal PS-Medium-Wood Grain-PN 03914</t>
  </si>
  <si>
    <t>Charcoal (PS)-Medium-Wood Grain-PN 03914 || 8 ft x 5 inch</t>
  </si>
  <si>
    <t>WHSWPLCS091</t>
  </si>
  <si>
    <t>Charcoal PS-Walnut-Wood Grain-PN 03908</t>
  </si>
  <si>
    <t>Charcoal (PS)-Walnut-Wood Grain-PN 03908 || 8 ft x 5 inch</t>
  </si>
  <si>
    <t>WHSWPLCS092</t>
  </si>
  <si>
    <t>Charcoal PS-Beige-Matte-PN 03911</t>
  </si>
  <si>
    <t>Charcoal (PS)-Beige-Matte-PN 03911 || 8 ft x 5 inch</t>
  </si>
  <si>
    <t>WHSWPLCS093</t>
  </si>
  <si>
    <t>Charcoal PS-Oak-Wood Grain-PN 03917</t>
  </si>
  <si>
    <t>Charcoal (PS)-Oak-Wood Grain-PN 03917 || 8 ft x 5 inch</t>
  </si>
  <si>
    <t>WHSWPLCS094</t>
  </si>
  <si>
    <t>Charcoal PS-Ivory-Matte-PN 03912</t>
  </si>
  <si>
    <t>Charcoal (PS)-Ivory-Matte-PN 03912 || 8 ft x 5 inch</t>
  </si>
  <si>
    <t>WHSWPLCS095</t>
  </si>
  <si>
    <t>Charcoal PS-White-Matte-PN 03918</t>
  </si>
  <si>
    <t>Charcoal (PS)-White-Matte-PN 03918 || 8 ft x 5 inch</t>
  </si>
  <si>
    <t>WHSWPLCS096</t>
  </si>
  <si>
    <t>Charcoal PS-Brown-Wood Grain-PN 05509</t>
  </si>
  <si>
    <t>Charcoal (PS)-Brown-Wood Grain-PN 05509 || 8 ft x 5 inch</t>
  </si>
  <si>
    <t>WHSWPLCS097</t>
  </si>
  <si>
    <t>Charcoal PS-Dark-Wood Grain-PN 03173</t>
  </si>
  <si>
    <t>Charcoal (PS)-Dark-Wood Grain-PN 03173 || 8 ft x 5 inch</t>
  </si>
  <si>
    <t>WHSWPLCS098</t>
  </si>
  <si>
    <t>Charcoal PS-Walnut-Wood Grain-PN 00554</t>
  </si>
  <si>
    <t>Charcoal (PS)-Walnut-Wood Grain-PN 00554 || 8 ft x 5 inch</t>
  </si>
  <si>
    <t>WHSWPLCS099</t>
  </si>
  <si>
    <t>Charcoal PS-Grey-Matte-PN 00909</t>
  </si>
  <si>
    <t>Charcoal (PS)-Grey-Matte-PN 00909 || 8 ft x 5 inch</t>
  </si>
  <si>
    <t>WHSWPLCS100</t>
  </si>
  <si>
    <t>Charcoal PS-Beige-Matte-PN 00475</t>
  </si>
  <si>
    <t>Charcoal (PS)-Beige-Matte-PN 00475 || 8 ft x 5 inch</t>
  </si>
  <si>
    <t>Charcoal PS-Brown-Wood Grain-PN 05662</t>
  </si>
  <si>
    <t>Charcoal (PS)-Brown-Wood Grain-PN 05662 || 8 ft x 5 inch</t>
  </si>
  <si>
    <t>Charcoal PS-Cream-Matte-PN 05667</t>
  </si>
  <si>
    <t>Charcoal (PS)-Cream-Matte-PN 05667 || 8 ft x 5 inch</t>
  </si>
  <si>
    <t>Charcoal PS-Light-Wood Grain-PN 06277</t>
  </si>
  <si>
    <t>Charcoal (PS)-Light-Wood Grain-PN 06277 || 8 ft x 5 inch</t>
  </si>
  <si>
    <t>WHSWPLCS104</t>
  </si>
  <si>
    <t>Charcoal PS-Grey-Matte-PN 06273</t>
  </si>
  <si>
    <t>Charcoal (PS)-Grey-Matte-PN 06273 || 8 ft x 5 inch</t>
  </si>
  <si>
    <t>WHSWPLCS105</t>
  </si>
  <si>
    <t>Charcoal PS-Med-Wood Grain-PN 06274 B</t>
  </si>
  <si>
    <t>Charcoal (PS)-Med-Wood Grain-PN 06274 B || 8 ft x 5 inch</t>
  </si>
  <si>
    <t>Charcoal PS-Dark-Wood Grain-PN 03889</t>
  </si>
  <si>
    <t>Charcoal (PS)-Dark-Wood Grain-PN 03889 || 8 ft x 5 inch</t>
  </si>
  <si>
    <t>WHSWPLCS107</t>
  </si>
  <si>
    <t>Charcoal PS-Grey-Matte-PN 03902</t>
  </si>
  <si>
    <t>Charcoal (PS)-Grey-Matte-PN 03902 || 8 ft x 5 inch</t>
  </si>
  <si>
    <t>WHSWPLCS108</t>
  </si>
  <si>
    <t>Charcoal PS-White-Matte-PN 03567</t>
  </si>
  <si>
    <t>Charcoal (PS)-White-Matte-PN 03567 || 8 ft x 5 inch</t>
  </si>
  <si>
    <t>WHSWPLCS109</t>
  </si>
  <si>
    <t>Charcoal PS-3D / Textured-PN 06075</t>
  </si>
  <si>
    <t>2438.4 x 609.6 x 6</t>
  </si>
  <si>
    <t>Charcoal (PS)-3D / Textured-PN 06075 || 8 ft x 2 ft</t>
  </si>
  <si>
    <t>WHSWPLCS110</t>
  </si>
  <si>
    <t>Charcoal PS-Metallic/Textured-PN 05984</t>
  </si>
  <si>
    <t>Charcoal (PS)-Metallic/Textured-PN 05984 || 8 ft x 2 ft</t>
  </si>
  <si>
    <t>WHSWPLCPCS111</t>
  </si>
  <si>
    <t>Grey Patterned CPC Decorative PN 05859</t>
  </si>
  <si>
    <t>2440 x 1220</t>
  </si>
  <si>
    <t xml:space="preserve">White Marble Louver PN 02304 CPC Panel </t>
  </si>
  <si>
    <t>2804.16 x 609.6</t>
  </si>
  <si>
    <t>WHSWPLCPCS113</t>
  </si>
  <si>
    <t>White Wooden Louver PN 02304 B CPC Panel</t>
  </si>
  <si>
    <t>2743.2 x 152.4</t>
  </si>
  <si>
    <t>Grey Marble Louver PN 02325 B-CPC Panel</t>
  </si>
  <si>
    <t xml:space="preserve">Grey Marble Louver PN 02325 - CPC Panel </t>
  </si>
  <si>
    <t>WHSWPLCPCS116</t>
  </si>
  <si>
    <t xml:space="preserve">PN 02316 B Cadet Blue Fluted CPC Board </t>
  </si>
  <si>
    <t>WHSWPLCPCS117</t>
  </si>
  <si>
    <t xml:space="preserve">PN 02316 Cadet Blue Plain CPC Board </t>
  </si>
  <si>
    <t>Brown Wooden Louver PN 02308 - CPC Panel</t>
  </si>
  <si>
    <t>WHSWPLCPCS119</t>
  </si>
  <si>
    <t>Brown Wooden Louver PN 02308 B-CPC Panel</t>
  </si>
  <si>
    <t>WHSWPLCPCS120</t>
  </si>
  <si>
    <t xml:space="preserve">PN 02320 B Ivory Fluted CPC Board </t>
  </si>
  <si>
    <t>WHSWPLCPCS121</t>
  </si>
  <si>
    <t xml:space="preserve">PN 02320 Ivory Plain CPC Board </t>
  </si>
  <si>
    <t>WHSWPLCPCS122</t>
  </si>
  <si>
    <t>Grey Stone Louver PN 02321 B - CPC Panel</t>
  </si>
  <si>
    <t>WHSWPLCPCS123</t>
  </si>
  <si>
    <t xml:space="preserve">Grey Stone Louver PN 02321 - CPC Panel </t>
  </si>
  <si>
    <t>Grey Stone Louver PN 02322 - CPC Panel</t>
  </si>
  <si>
    <t>WHSWPLCPCS125</t>
  </si>
  <si>
    <t>Grey Stone Louver PN 02322 B - CPC Panel</t>
  </si>
  <si>
    <t>Brown Louver PN 02328 B - CPC Panel</t>
  </si>
  <si>
    <t xml:space="preserve">Brown Fabric Louver PN 02328 CPC Panel </t>
  </si>
  <si>
    <t xml:space="preserve">Grey Stone Louver PN 02324 - CPC Panel </t>
  </si>
  <si>
    <t>Grey Stone Louver PN 02324 B - CPC Panel</t>
  </si>
  <si>
    <t>Brown Wooden Louver PN 02305 B-CPC Panel</t>
  </si>
  <si>
    <t xml:space="preserve">Brown Wooden PN 02305 CPC Panel </t>
  </si>
  <si>
    <t xml:space="preserve">Brown Wooden Louver PN 02307 CPC Panel </t>
  </si>
  <si>
    <t>Brown Wooden Louver PN 02307 B-CPC Panel</t>
  </si>
  <si>
    <t>WHSWPLCPCS134</t>
  </si>
  <si>
    <t>Grey Colour Louver PN 02310 B-CPC Panel</t>
  </si>
  <si>
    <t>WHSWPLCPCS135</t>
  </si>
  <si>
    <t>Grey Wooden Decor PN 02310-CPC Panel</t>
  </si>
  <si>
    <t>Beige Plain Louver PN 02311 B-CPC Panel</t>
  </si>
  <si>
    <t>WHSWPLCPCS137</t>
  </si>
  <si>
    <t>Beige Wooden Decor PN 02311-CPC Panel</t>
  </si>
  <si>
    <t>Brown Wooden Decor PN 02314 CPC Panel</t>
  </si>
  <si>
    <t>WHSWPLCPCS139</t>
  </si>
  <si>
    <t>Brown Wooden Louver PN 02314 B CPC Panel</t>
  </si>
  <si>
    <t xml:space="preserve">PN 02315 B Crema Fluted CPC Board </t>
  </si>
  <si>
    <t>WHSWPLCPCS141</t>
  </si>
  <si>
    <t xml:space="preserve">PN 02315 Crema Plain CPC Board </t>
  </si>
  <si>
    <t>WHSWPLCPCS142</t>
  </si>
  <si>
    <t>PN 02318 B Charcoal Gr Fluted CPC Board</t>
  </si>
  <si>
    <t>WHSWPLCPCS143</t>
  </si>
  <si>
    <t xml:space="preserve">PN 02318 Charcoal Grey Plain CPC Board </t>
  </si>
  <si>
    <t>Beige Fabric Decor PN 02326 CPC Panel</t>
  </si>
  <si>
    <t>WHSWPLCPCS145</t>
  </si>
  <si>
    <t xml:space="preserve">Beige Stone Louver PN 02326 B CPC Panel </t>
  </si>
  <si>
    <t>WHSWPLCPCS146</t>
  </si>
  <si>
    <t>Grey Patterned CPC Decor Panel PN 06363</t>
  </si>
  <si>
    <t>WHSWPLCPCS147</t>
  </si>
  <si>
    <t xml:space="preserve">PN 02319 Leather Brown Plain CPC Board </t>
  </si>
  <si>
    <t>WHSWPLCPCS148</t>
  </si>
  <si>
    <t>PN 02319 B Leather Brown Fluted CPCBoard</t>
  </si>
  <si>
    <t>Beige Pattern Louver PN 02327 B CPCPanel</t>
  </si>
  <si>
    <t xml:space="preserve">Beige Fabric Louver PN 02327 CPC Panel </t>
  </si>
  <si>
    <t xml:space="preserve">Brown Plain Louver PN 02312 B CPC Panel </t>
  </si>
  <si>
    <t xml:space="preserve">Brown Wooden Louver PN 02312 CPC Panel </t>
  </si>
  <si>
    <t xml:space="preserve">Brown Wooden Louver PN 02313 CPC Panel </t>
  </si>
  <si>
    <t>Brown Wooden Louver PN 02313 B CPC Panel</t>
  </si>
  <si>
    <t>Beige Wooden Louver PN 02309 CPC Panel</t>
  </si>
  <si>
    <t>WHSWPLCPCS156</t>
  </si>
  <si>
    <t>Beige Wooden Louver PN 02309 B CPC Panel</t>
  </si>
  <si>
    <t>WHSWPLCPCS157</t>
  </si>
  <si>
    <t xml:space="preserve">PN 02317 Light Grey Plain CPC Board </t>
  </si>
  <si>
    <t>WHSWPLCPCS158</t>
  </si>
  <si>
    <t xml:space="preserve">PN 02317 B Light Grey Fluted CPC Board </t>
  </si>
  <si>
    <t>Brown Stone Decor PN 02323 CPC Panel</t>
  </si>
  <si>
    <t>WHSWPLCPCS160</t>
  </si>
  <si>
    <t xml:space="preserve">Brown Stone Louver PN 02323 B CPC Panel </t>
  </si>
  <si>
    <t>PVC board 11 mm (8 X 4)</t>
  </si>
  <si>
    <t>2438.4 x 1219.2 x 11</t>
  </si>
  <si>
    <t>PVC board 11 mm || 8 ft x 4 ft</t>
  </si>
  <si>
    <t>Aluminium Channel</t>
  </si>
  <si>
    <t>Aluminium channels reactangular 1 mm</t>
  </si>
  <si>
    <t>3657.6 x 50 x 25</t>
  </si>
  <si>
    <t>Aluminium channels reactangular 1 mm || 12 ft x 50 mm</t>
  </si>
  <si>
    <t>LED Light</t>
  </si>
  <si>
    <t>WHSWLTLEDS163</t>
  </si>
  <si>
    <t>120 LED strip light 5m</t>
  </si>
  <si>
    <t>220 x 220 x 150</t>
  </si>
  <si>
    <t>120 LED strip light (5m)</t>
  </si>
  <si>
    <t>240 LED strip light 5m</t>
  </si>
  <si>
    <t>240 LED strip light (5m)</t>
  </si>
  <si>
    <t>LED Light Profile</t>
  </si>
  <si>
    <t>16X16 Alumnium Angular Profile 3m</t>
  </si>
  <si>
    <t>914.4 x 16 x 16</t>
  </si>
  <si>
    <t>16X16 Alumnium Angular Profile (3m) || 16 x 16 mm</t>
  </si>
  <si>
    <t>Power Adapter</t>
  </si>
  <si>
    <t>WHSWLTLEDS166</t>
  </si>
  <si>
    <t>5 AMP 12V LED Power Adapter</t>
  </si>
  <si>
    <t>62x 35x 22</t>
  </si>
  <si>
    <t>5 AMP (12V) LED Power Adapter</t>
  </si>
  <si>
    <t>10 AMP 24V LED Power Adapter</t>
  </si>
  <si>
    <t>10 AMP (24V) LED Power Adapter</t>
  </si>
  <si>
    <t>Adhesive</t>
  </si>
  <si>
    <t>Silicon sealant glue nail free</t>
  </si>
  <si>
    <t>40 x 40 x 230</t>
  </si>
  <si>
    <t>Silicon sealant glue</t>
  </si>
  <si>
    <t>Wall Storage</t>
  </si>
  <si>
    <t>Square box wo backpanel solid dark</t>
  </si>
  <si>
    <t>300 x 300</t>
  </si>
  <si>
    <t>WHSWSSBWBSWS170</t>
  </si>
  <si>
    <t>Square box wo backpanel solid white</t>
  </si>
  <si>
    <t>Square box wo backpanel light wood grain</t>
  </si>
  <si>
    <t>Square box wo backpanel mid wood grain</t>
  </si>
  <si>
    <t>WHSWSSBWBDWS173</t>
  </si>
  <si>
    <t>Square box wo backpanel dark wood grain</t>
  </si>
  <si>
    <t>WHSWSSBBSDS174</t>
  </si>
  <si>
    <t>Square box backpanel solid dark</t>
  </si>
  <si>
    <t>WHSWSSBBSWS175</t>
  </si>
  <si>
    <t>Square box backpanel solid white</t>
  </si>
  <si>
    <t>WHSWSSBBLWS176</t>
  </si>
  <si>
    <t>Square box backpanel light wood grain</t>
  </si>
  <si>
    <t>WHSWSSBBMWS177</t>
  </si>
  <si>
    <t>Square box backpanel mid wood grain</t>
  </si>
  <si>
    <t>Square box backpanel dark wood grain</t>
  </si>
  <si>
    <t>Rangular box wo backpanel solid dark</t>
  </si>
  <si>
    <t>300 x 600</t>
  </si>
  <si>
    <t>WHSWSRBWBSWS180</t>
  </si>
  <si>
    <t>Rangular box wo backpanel solid white</t>
  </si>
  <si>
    <t>Rangular box wo backpanel lightwoodgrain</t>
  </si>
  <si>
    <t>Rangular box wo backpanel mid wood grain</t>
  </si>
  <si>
    <t>WHSWSRBWBDWS183</t>
  </si>
  <si>
    <t>Rangular box wo backpanel dark woodgrain</t>
  </si>
  <si>
    <t>Rangular box backpanel solid dark</t>
  </si>
  <si>
    <t>WHSWSRBBSWS185</t>
  </si>
  <si>
    <t>Rangular box backpanel solid white</t>
  </si>
  <si>
    <t>WHSWSRBBLWS186</t>
  </si>
  <si>
    <t>Rangular box backpanel lightwoodgrain</t>
  </si>
  <si>
    <t>Rangular box backpanel mid woodgrain</t>
  </si>
  <si>
    <t>Rangular box backpanel dark woodgrain</t>
  </si>
  <si>
    <t>WHSWS300SSDS189</t>
  </si>
  <si>
    <t>Wall storage 300mm shelf solid wood</t>
  </si>
  <si>
    <t>WHSWS300SSWS190</t>
  </si>
  <si>
    <t>Wall storage 300mm shelf solid white</t>
  </si>
  <si>
    <t>Wall storage 300mm shelf light woodgrain</t>
  </si>
  <si>
    <t>Wall storage 300mm shelf mid wood grain</t>
  </si>
  <si>
    <t>Wall storage 300mm shelf dark wood grain</t>
  </si>
  <si>
    <t>WHSWS450SSDS194</t>
  </si>
  <si>
    <t>Wall storage 450 mm shelf solid wood</t>
  </si>
  <si>
    <t>450 x 300</t>
  </si>
  <si>
    <t>WHSWS450SSWS195</t>
  </si>
  <si>
    <t>Wall storage 450 mm shelf solid white</t>
  </si>
  <si>
    <t>Wall storage 450mm shelf light woodgrain</t>
  </si>
  <si>
    <t>Wall storage 450 mm shelf mid wood grain</t>
  </si>
  <si>
    <t>WHSWS450SDWS198</t>
  </si>
  <si>
    <t>Wall storage 450mm shelf dark wood grain</t>
  </si>
  <si>
    <t>WHSWS600SSDS199</t>
  </si>
  <si>
    <t>Wall storage 600 mm shelf solid wood</t>
  </si>
  <si>
    <t>600 x 300</t>
  </si>
  <si>
    <t>WHSWS600SSWS200</t>
  </si>
  <si>
    <t>Wall storage 600 mm shelf solid white</t>
  </si>
  <si>
    <t>Wall storage 600mm shelf light woodgrain</t>
  </si>
  <si>
    <t>Wall storage 600 mm shelf mid wood grain</t>
  </si>
  <si>
    <t>WHSWS600SDWS203</t>
  </si>
  <si>
    <t>Wall storage 600mm shelf dark wood grain</t>
  </si>
  <si>
    <t>WHSWS750SSDS204</t>
  </si>
  <si>
    <t>Wall storage 750 mm shelf solid wood</t>
  </si>
  <si>
    <t>750 x 300</t>
  </si>
  <si>
    <t>WHSWS750SSWS205</t>
  </si>
  <si>
    <t>Wall storage 750 mm shelf solid white</t>
  </si>
  <si>
    <t>WHSWS750SLWS206</t>
  </si>
  <si>
    <t>Wall storage 750mm shelf light woodgrain</t>
  </si>
  <si>
    <t>WHSWS750SMWS207</t>
  </si>
  <si>
    <t>Wall storage 750 mm shelf mid wood grain</t>
  </si>
  <si>
    <t>WHSWS750SDWS208</t>
  </si>
  <si>
    <t>Wall storage 750mm shelf dark wood grain</t>
  </si>
  <si>
    <t>WHSWBIP01S209</t>
  </si>
  <si>
    <t>Wall Bidding PVC 01</t>
  </si>
  <si>
    <t>2895 X 25 X 25</t>
  </si>
  <si>
    <t>Wall Bidding PVC 02</t>
  </si>
  <si>
    <t>WHSWBIP03S211</t>
  </si>
  <si>
    <t>Wall Bidding PVC 03</t>
  </si>
  <si>
    <t>WHSWBIP04S212</t>
  </si>
  <si>
    <t>Wall Bidding PVC 04</t>
  </si>
  <si>
    <t>Wall Bidding PVC 05</t>
  </si>
  <si>
    <t>Wall Bidding PVC 06</t>
  </si>
  <si>
    <t>WHSWBIP07S215</t>
  </si>
  <si>
    <t>Wall Bidding PVC 07</t>
  </si>
  <si>
    <t>Wall Bidding WPC 01</t>
  </si>
  <si>
    <t>2895 X 30 X 30</t>
  </si>
  <si>
    <t>Wall Bidding WPC 02</t>
  </si>
  <si>
    <t>Wall Bidding WPC 03</t>
  </si>
  <si>
    <t>WHSWBIW04S219</t>
  </si>
  <si>
    <t>Wall Bidding WPC 04</t>
  </si>
  <si>
    <t>Wall Bidding WPC 05</t>
  </si>
  <si>
    <t>WHSWBIW06S221</t>
  </si>
  <si>
    <t>Wall Bidding WPC 06</t>
  </si>
  <si>
    <t>Wall Bidding WPC 07</t>
  </si>
  <si>
    <t>Wall Bidding WPC 08</t>
  </si>
  <si>
    <t>Wall Bidding WPC 09</t>
  </si>
  <si>
    <t>Wall Bidding WPC 10</t>
  </si>
  <si>
    <t>WHSWBIW11S226</t>
  </si>
  <si>
    <t>Wall Bidding WPC 11</t>
  </si>
  <si>
    <t>WHSWBIW12S227</t>
  </si>
  <si>
    <t>Wall Bidding WPC 12</t>
  </si>
  <si>
    <t>WHSWBIW13S228</t>
  </si>
  <si>
    <t>Wall Bidding WPC 13</t>
  </si>
  <si>
    <t>WHSWBIW14S229</t>
  </si>
  <si>
    <t>Wall Bidding WPC 14</t>
  </si>
  <si>
    <t>WHSWBIW15S230</t>
  </si>
  <si>
    <t>Wall Bidding WPC 15</t>
  </si>
  <si>
    <t>Wall Trim</t>
  </si>
  <si>
    <t>Wall Trim 6 mm SS: Golden Glossy</t>
  </si>
  <si>
    <t>3000 X 6</t>
  </si>
  <si>
    <t>Wall Trim 6 mm SS: Rose Gold Glossy</t>
  </si>
  <si>
    <t>Wall Trim 6 mm SS: Black Glossy</t>
  </si>
  <si>
    <t>WHSWPLUGGS234</t>
  </si>
  <si>
    <t>UV Sheet Golden Gray Marble 8 X 4 ft</t>
  </si>
  <si>
    <t>2438.4 X 1219.2</t>
  </si>
  <si>
    <t>WHSWPLUWGS235</t>
  </si>
  <si>
    <t>UV Sheet White Gray Marble 8 X 4 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</si>
</sst>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color rgb="FF1B2332"/>
      <name val="Outfit"/>
    </font>
    <font>
      <b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1" numFmtId="9" xfId="0" applyFont="1" applyNumberFormat="1"/>
    <xf borderId="1" fillId="2" fontId="3" numFmtId="0" xfId="0" applyBorder="1" applyFill="1" applyFont="1"/>
    <xf borderId="1" fillId="2" fontId="3" numFmtId="0" xfId="0" applyAlignment="1" applyBorder="1" applyFont="1">
      <alignment readingOrder="0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2" fontId="1" numFmtId="0" xfId="0" applyAlignment="1" applyFont="1">
      <alignment readingOrder="0"/>
    </xf>
    <xf borderId="0" fillId="5" fontId="1" numFmtId="0" xfId="0" applyFill="1" applyFont="1"/>
    <xf borderId="0" fillId="0" fontId="1" numFmtId="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" xfId="0" applyFont="1" applyNumberFormat="1"/>
    <xf borderId="1" fillId="3" fontId="3" numFmtId="49" xfId="0" applyBorder="1" applyFont="1" applyNumberForma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1" fillId="3" fontId="3" numFmtId="0" xfId="0" applyBorder="1" applyFont="1"/>
    <xf borderId="0" fillId="0" fontId="2" numFmtId="0" xfId="0" applyAlignment="1" applyFont="1">
      <alignment horizontal="right" vertical="bottom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1" fillId="3" fontId="3" numFmtId="49" xfId="0" applyAlignment="1" applyBorder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1" numFmtId="0" xfId="0" applyAlignment="1" applyFont="1">
      <alignment horizontal="right"/>
    </xf>
    <xf borderId="0" fillId="3" fontId="4" numFmtId="0" xfId="0" applyAlignment="1" applyFont="1">
      <alignment readingOrder="0"/>
    </xf>
    <xf borderId="1" fillId="2" fontId="3" numFmtId="49" xfId="0" applyAlignment="1" applyBorder="1" applyFont="1" applyNumberFormat="1">
      <alignment vertical="bottom"/>
    </xf>
    <xf borderId="0" fillId="0" fontId="1" numFmtId="0" xfId="0" applyAlignment="1" applyFont="1">
      <alignment horizontal="center" readingOrder="0"/>
    </xf>
    <xf borderId="0" fillId="2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3" fontId="4" numFmtId="0" xfId="0" applyAlignment="1" applyFont="1">
      <alignment horizontal="right" readingOrder="0"/>
    </xf>
    <xf borderId="0" fillId="3" fontId="1" numFmtId="0" xfId="0" applyAlignment="1" applyFont="1">
      <alignment horizontal="center" readingOrder="0"/>
    </xf>
    <xf borderId="0" fillId="3" fontId="4" numFmtId="49" xfId="0" applyAlignment="1" applyFont="1" applyNumberFormat="1">
      <alignment horizontal="right"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horizontal="right" vertical="bottom"/>
    </xf>
    <xf borderId="0" fillId="3" fontId="2" numFmtId="0" xfId="0" applyAlignment="1" applyFont="1">
      <alignment horizontal="right" vertical="bottom"/>
    </xf>
    <xf borderId="0" fillId="0" fontId="2" numFmtId="10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2" fontId="6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3" fontId="4" numFmtId="0" xfId="0" applyFont="1"/>
    <xf borderId="0" fillId="3" fontId="1" numFmtId="0" xfId="0" applyAlignment="1" applyFont="1">
      <alignment horizontal="center"/>
    </xf>
    <xf borderId="0" fillId="0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44" sheet="Mapping"/>
  </cacheSource>
  <cacheFields>
    <cacheField name="sno" numFmtId="0">
      <sharedItems containsString="0" containsBlank="1">
        <m/>
      </sharedItems>
    </cacheField>
    <cacheField name="design_code" numFmtId="0">
      <sharedItems>
        <s v="BR-1-1"/>
        <s v="BR-1-2"/>
        <s v="BR-2-1"/>
        <s v="BR-2-2"/>
        <s v="BR-3-1"/>
        <s v="BR-3-2"/>
        <s v="BR-4-1"/>
        <s v="BR-4-2"/>
        <s v="BR-5-1"/>
        <s v="BR-5-2"/>
        <s v="BR-6-1"/>
        <s v="BR-6-2"/>
        <s v="BR-7-1"/>
        <s v="BR-7-2"/>
        <s v="BR-8-1"/>
        <s v="BR-8-2"/>
        <s v="BR-12-1"/>
        <s v="BR-13-1"/>
        <s v="BR-15-1"/>
        <s v="BR-15-2"/>
        <s v="BR-9-1"/>
        <s v="BR-10-2"/>
        <s v="BR-31-1"/>
        <s v="BR-31-2"/>
        <s v="BR-20-1"/>
        <s v="BR-20-2"/>
        <s v="BR-11-1"/>
        <s v="BR-11-2"/>
        <s v="BR-22-1"/>
        <s v="BR-23-1"/>
        <s v="BR-23-2"/>
        <s v="BR-14-1"/>
        <s v="BR-14-2"/>
        <s v="BR-28-1"/>
        <s v="BR-16-1"/>
        <s v="BR-16-2"/>
        <s v="BR-17-1"/>
        <s v="BR-17-2"/>
        <s v="BR-18-1"/>
        <s v="BR-29-1"/>
        <s v="BR-30-1"/>
        <s v="BR-21-1"/>
        <s v="BR-21-2"/>
        <s v="BR-25-1"/>
        <s v="BR-25-2"/>
        <s v="BR-26-1"/>
        <s v="BR-26-2"/>
        <s v="BR-27-1"/>
        <s v="BR-27-2"/>
        <s v="BR-24-1"/>
        <s v="BR-24-2"/>
        <s v="BR-32-1"/>
        <s v="BR-33-1"/>
        <s v="LR-34L-1"/>
        <s v="LR-34L-2"/>
        <s v="BR-34"/>
        <s v="BR-35"/>
        <s v="BR-36"/>
        <s v="BR-38"/>
        <s v="BR-39"/>
        <s v="TV-60"/>
        <s v="TV-61"/>
        <s v="TV-62"/>
        <s v="TV-63"/>
        <s v="TV-64"/>
        <s v="TV-65"/>
        <s v="TV-66"/>
        <s v="TV-67"/>
        <s v="TV-68"/>
        <s v="TV-69"/>
        <s v="TV-70"/>
        <s v="TV-71"/>
        <s v="TV-72"/>
        <s v="TV-73"/>
        <s v="TV-74"/>
        <s v="TV-75"/>
        <s v="TV-76"/>
        <s v="TV-77"/>
        <s v="TV-78"/>
        <s v="TV-79"/>
        <s v="LR-09L-1"/>
        <s v="LR-09L-2"/>
        <s v="LR-10L-1"/>
        <s v="LR-10L-2"/>
        <s v="LR-20L-1"/>
        <s v="LR-20L-2"/>
        <s v="LR-21L-1"/>
        <s v="LR-21L-2"/>
        <s v="LR-26L-1"/>
        <s v="LR-27L-1"/>
        <s v="LR-28L-1"/>
        <s v="LR-29L-1"/>
        <s v="LR-31L-1"/>
        <s v="LR-32L-1"/>
        <s v="LR-33L-2"/>
        <s v="LR-35L-1"/>
        <s v="LR-37L-1"/>
        <s v="LR-38L-1"/>
        <s v="LR-40L-1"/>
        <s v="BR-19-1"/>
        <s v="BR-10-1"/>
        <s v="LR-11L-1"/>
        <s v="LR-18-1"/>
        <s v="LR-18-2"/>
        <s v="LR-22L-1"/>
        <s v="LR-22L-2"/>
        <s v="LR-23L-1"/>
        <s v="LR-23L-2"/>
        <s v="LR-24L-1"/>
        <s v="LR-24L-2"/>
        <s v="LR-25L-1"/>
        <s v="LR-25L-2"/>
        <s v="LR-28L-2"/>
        <s v="LR-29L-2"/>
        <s v="LR-30L-1"/>
        <s v="LR-30L-2"/>
        <s v="LR-31L-2"/>
        <s v="LR-33L-1"/>
        <s v="LR-35L-2"/>
        <s v="LR-36L-1"/>
        <s v="LR-39L-1"/>
        <s v="BR-37"/>
      </sharedItems>
    </cacheField>
    <cacheField name="material_crm_code" numFmtId="0">
      <sharedItems>
        <s v="WHSWPLCS017"/>
        <s v="WHSWPLCS020"/>
        <s v="WHSWPLCS103"/>
        <s v="WHSWPLCS079"/>
        <s v="WHSWLTLEDS164"/>
        <s v="WHSWLTLEDS165"/>
        <s v="WHSWLTLEDS167"/>
        <s v="WHSWCHALS162"/>
        <s v="WHSWBDPS161"/>
        <s v="WHSWBIW08S223"/>
        <s v="WHSWPLCS042"/>
        <s v="WHSWBIW01S216"/>
        <s v="WHSWPLCS021"/>
        <s v="WHSWSSBWBLWS171"/>
        <s v="WHSWSRBWBLWS181"/>
        <s v="WHSWPLCS055"/>
        <s v="WHSWBIW03S218"/>
        <s v="WHSWPLCS106"/>
        <s v="WHSWPLCS025"/>
        <s v="WHSWBIW02S217"/>
        <s v="WHSWPLCS102"/>
        <s v="WHSWPLCS076"/>
        <s v="WHSWPLCS051"/>
        <s v="WHSWPLCS029"/>
        <s v="WHSWSSBWBMWS172"/>
        <s v="WHSWS300SLWS191"/>
        <s v="WHSWPLCS036"/>
        <s v="WHSWPLCPCS118"/>
        <s v="WHSWTSSBG6TS233"/>
        <s v="WHSWPLCPCS150"/>
        <s v="WHSWPLCPCS138"/>
        <s v="WHSWPLCPCS132"/>
        <s v="WHSWPLCPCS153"/>
        <s v="WHSWPLCPCS131"/>
        <s v="WHSWPLCPCS128"/>
        <s v="WHSWPLCPCS127"/>
        <s v="WHSWPLCPCS124"/>
        <s v="WHSWPLCPCS133"/>
        <s v="WHSWPLCPCS130"/>
        <s v="WHSWPLCPCS115"/>
        <s v="WHSWPLCPCS112"/>
        <s v="WHSWPLCPCS159"/>
        <s v="WHSWPLCPCS152"/>
        <s v="WHSWPLCPCS155"/>
        <s v="WHSWPLCS006"/>
        <s v="WHSWPLCS033"/>
        <s v="WHSWPLCS078"/>
        <s v="WHSWPLCS035"/>
        <s v="WHSWPLCPCS140"/>
        <s v="WHSWPLCPCS114"/>
        <s v="WHSWPLCPCS154"/>
        <s v="WHSWPLCPCS144"/>
        <s v="WHSWBIW09S224"/>
        <s v="WHSWS450SLWS196"/>
        <s v="WHSWBIP05S213"/>
        <s v="WHSWTSSRGG6TS232"/>
        <s v="WHSWS300SMWS192"/>
        <s v="WHSWBIP02S210"/>
        <s v="WHSWS300SDWS193"/>
        <s v="WHSWPLCS032"/>
        <s v="WHSWSRBBMWS187"/>
        <s v="WHSWPLCS075"/>
        <s v="WHSWTSSGG6TS231"/>
        <s v="WHSWBIW05S220"/>
        <s v="WHSWBIP06S214"/>
        <s v="WHSWPLCS007"/>
        <s v="WHSWPLCS060"/>
        <s v="WHSWBIW10S225"/>
        <s v="WHSWBIW07S222"/>
        <s v="WHSWPLCS030"/>
        <s v="WHSWPLCS041"/>
        <s v="WHSWPLCPCS126"/>
        <s v="WHSWPLCPCS151"/>
        <s v="WHSWPLCPCS136"/>
        <s v="WHSWPLCPCS129"/>
        <s v="WHSWPLCS009"/>
        <s v="WHSWSRBWBMWS182"/>
        <s v="WHSWPLCS063"/>
        <s v="WHSWSRBWBSDS179"/>
        <s v="WHSWPLCS088"/>
        <s v="WHSWSSBWBSDS169"/>
        <s v="WHSWPLCS101"/>
        <s v="WHSWS600SMWS202"/>
        <s v="WHSWS600SLWS201"/>
        <s v="WHSWPLCS090"/>
        <s v="WHSWPLCS023"/>
        <s v="WHSWSRBBDWS188"/>
        <s v="WHSWSSBBDWS178"/>
        <s v="WHSWPLCS043"/>
        <s v="WHSWSRBBSDS184"/>
        <s v="WHSWPLCPCS149"/>
        <s v="WHSWS450SMWS197"/>
        <s v="WHSWGLSS168"/>
      </sharedItems>
    </cacheField>
    <cacheField name="material_md_code">
      <sharedItems containsMixedTypes="1" containsNumber="1" containsInteger="1">
        <n v="6167.0"/>
        <n v="3221.0"/>
        <n v="6277.0"/>
        <n v="3399.0"/>
        <s v="LED-1"/>
        <s v="AL-1"/>
        <s v="PA-1"/>
        <s v="ALC-1"/>
        <s v="PVCBD-1"/>
        <s v="BD-08"/>
        <n v="2746.0"/>
        <s v="BD-01"/>
        <n v="3223.0"/>
        <s v="SB"/>
        <s v="Shelf"/>
        <n v="5656.0"/>
        <s v="BD-03"/>
        <n v="3889.0"/>
        <n v="545.0"/>
        <s v="BD-02"/>
        <n v="5667.0"/>
        <n v="3027.0"/>
        <n v="149.0"/>
        <n v="155.0"/>
        <s v="RB"/>
        <n v="2347.0"/>
        <n v="2308.0"/>
        <s v="T-01"/>
        <n v="2327.0"/>
        <n v="2314.0"/>
        <n v="2307.0"/>
        <n v="2313.0"/>
        <n v="2305.0"/>
        <n v="2324.0"/>
        <n v="2328.0"/>
        <n v="2322.0"/>
        <s v="2307 B"/>
        <s v="2305 B"/>
        <n v="2325.0"/>
        <n v="2304.0"/>
        <n v="2323.0"/>
        <n v="2312.0"/>
        <n v="2309.0"/>
        <n v="3851.0"/>
        <n v="147.0"/>
        <n v="5755.0"/>
        <n v="2343.0"/>
        <s v="2315 B"/>
        <s v="2325 B"/>
        <s v="2313B"/>
        <n v="2326.0"/>
        <s v="BD"/>
        <s v="2313 B"/>
        <s v="T-02"/>
        <s v="T-03"/>
        <s v="BDP-02"/>
        <n v="5484.0"/>
        <n v="3026.0"/>
        <s v="BDP-06"/>
        <n v="3856.0"/>
        <n v="4073.0"/>
        <s v="BD-10"/>
        <n v="5514.0"/>
        <n v="5925.0"/>
        <s v="02328 B"/>
        <s v="02312 B"/>
        <s v="2311 B"/>
        <s v="02324 B"/>
        <n v="3865.0"/>
        <s v="02325 B"/>
        <n v="3214.0"/>
        <n v="4598.0"/>
        <n v="5662.0"/>
        <s v="02324"/>
        <n v="3914.0"/>
        <n v="3210.0"/>
        <n v="2750.0"/>
        <s v="02327 B"/>
        <s v="GL-1"/>
      </sharedItems>
    </cacheField>
    <cacheField name="qty" numFmtId="0">
      <sharedItems containsSemiMixedTypes="0" containsString="0" containsNumber="1" containsInteger="1">
        <n v="0.0"/>
        <n v="5.0"/>
        <n v="1.0"/>
        <n v="2.0"/>
        <n v="10.0"/>
        <n v="20.0"/>
        <n v="3.0"/>
        <n v="4.0"/>
        <n v="14.0"/>
        <n v="12.0"/>
        <n v="15.0"/>
        <n v="18.0"/>
        <n v="8.0"/>
        <n v="6.0"/>
        <n v="7.0"/>
        <n v="13.0"/>
        <n v="16.0"/>
      </sharedItems>
    </cacheField>
    <cacheField name="Price" numFmtId="0">
      <sharedItems containsSemiMixedTypes="0" containsString="0" containsNumber="1" containsInteger="1">
        <n v="2500.0"/>
        <n v="1500.0"/>
        <n v="2000.0"/>
        <n v="500.0"/>
        <n v="1000.0"/>
        <n v="7500.0"/>
        <n v="600.0"/>
      </sharedItems>
    </cacheField>
    <cacheField name="cost_price" numFmtId="1">
      <sharedItems containsSemiMixedTypes="0" containsString="0" containsNumber="1">
        <n v="1084.0677966101696"/>
        <n v="595.8644067796611"/>
        <n v="609.4915254237288"/>
        <n v="894.1694915254237"/>
        <n v="750.0"/>
        <n v="270.0"/>
        <n v="675.0"/>
        <n v="2050.0"/>
        <n v="250.0"/>
        <n v="819.5932203389831"/>
        <n v="968.7457627118644"/>
        <n v="745.0169491525425"/>
        <n v="670.4406779661017"/>
        <n v="1117.8983050847457"/>
        <n v="4148.387118644067"/>
        <n v="500.0"/>
        <n v="4741.014915254238"/>
        <n v="1014.5505084745764"/>
        <n v="648.8050847457628"/>
        <n v="1016.2711864406781"/>
        <n v="1087.0237288135593"/>
        <n v="200.0"/>
        <n v="677.2881355932204"/>
        <n v="948.4745762711865"/>
        <n v="711.1864406779662"/>
        <n v="745.0847457627119"/>
        <n v="273.6"/>
      </sharedItems>
    </cacheField>
    <cacheField name="Calculated Field 1" formula="qty*Price" databaseField="0"/>
    <cacheField name="Calculated Field 2" formula="qty*cost_price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73" sheet="Pivot Table 1"/>
  </cacheSource>
  <cacheFields>
    <cacheField name="design_code" numFmtId="0">
      <sharedItems>
        <s v="BR-1-1"/>
        <s v="BR-1-2"/>
        <s v="BR-10-1"/>
        <s v="BR-10-2"/>
        <s v="BR-11-1"/>
        <s v="BR-11-2"/>
        <s v="BR-12-1"/>
        <s v="BR-13-1"/>
        <s v="BR-14-1"/>
        <s v="BR-14-2"/>
        <s v="BR-15-1"/>
        <s v="BR-15-2"/>
        <s v="BR-16-1"/>
        <s v="BR-16-2"/>
        <s v="BR-17-1"/>
        <s v="BR-17-2"/>
        <s v="BR-18-1"/>
        <s v="BR-19-1"/>
        <s v="BR-2-1"/>
        <s v="BR-2-2"/>
        <s v="BR-20-1"/>
        <s v="BR-20-2"/>
        <s v="BR-21-1"/>
        <s v="BR-21-2"/>
        <s v="BR-22-1"/>
        <s v="BR-23-1"/>
        <s v="BR-23-2"/>
        <s v="BR-24-1"/>
        <s v="BR-24-2"/>
        <s v="BR-25-1"/>
        <s v="BR-25-2"/>
        <s v="BR-26-1"/>
        <s v="BR-26-2"/>
        <s v="BR-27-1"/>
        <s v="BR-27-2"/>
        <s v="BR-28-1"/>
        <s v="BR-29-1"/>
        <s v="BR-3-1"/>
        <s v="BR-3-2"/>
        <s v="BR-30-1"/>
        <s v="BR-31-1"/>
        <s v="BR-31-2"/>
        <s v="BR-32-1"/>
        <s v="BR-33-1"/>
        <s v="BR-34"/>
        <s v="BR-35"/>
        <s v="BR-36"/>
        <s v="BR-37"/>
        <s v="BR-38"/>
        <s v="BR-39"/>
        <s v="BR-4-1"/>
        <s v="BR-4-2"/>
        <s v="BR-5-1"/>
        <s v="BR-5-2"/>
        <s v="BR-6-1"/>
        <s v="BR-6-2"/>
        <s v="BR-7-1"/>
        <s v="BR-7-2"/>
        <s v="BR-8-1"/>
        <s v="BR-8-2"/>
        <s v="BR-9-1"/>
        <s v="LR-09L-1"/>
        <s v="LR-09L-2"/>
        <s v="LR-10L-1"/>
        <s v="LR-10L-2"/>
        <s v="LR-11L-1"/>
        <s v="LR-18-1"/>
        <s v="LR-18-2"/>
        <s v="LR-20L-1"/>
        <s v="LR-20L-2"/>
        <s v="LR-21L-1"/>
        <s v="LR-21L-2"/>
        <s v="LR-22L-1"/>
        <s v="LR-22L-2"/>
        <s v="LR-23L-1"/>
        <s v="LR-23L-2"/>
        <s v="LR-24L-1"/>
        <s v="LR-24L-2"/>
        <s v="LR-25L-1"/>
        <s v="LR-25L-2"/>
        <s v="LR-26L-1"/>
        <s v="LR-27L-1"/>
        <s v="LR-28L-1"/>
        <s v="LR-28L-2"/>
        <s v="LR-29L-1"/>
        <s v="LR-29L-2"/>
        <s v="LR-30L-1"/>
        <s v="LR-30L-2"/>
        <s v="LR-31L-1"/>
        <s v="LR-31L-2"/>
        <s v="LR-32L-1"/>
        <s v="LR-33L-1"/>
        <s v="LR-33L-2"/>
        <s v="LR-34L-1"/>
        <s v="LR-34L-2"/>
        <s v="LR-35L-1"/>
        <s v="LR-35L-2"/>
        <s v="LR-36L-1"/>
        <s v="LR-37L-1"/>
        <s v="LR-38L-1"/>
        <s v="LR-39L-1"/>
        <s v="LR-40L-1"/>
        <s v="TV-60"/>
        <s v="TV-61"/>
        <s v="TV-62"/>
        <s v="TV-63"/>
        <s v="TV-64"/>
        <s v="TV-65"/>
        <s v="TV-66"/>
        <s v="TV-67"/>
        <s v="TV-68"/>
        <s v="TV-69"/>
        <s v="TV-70"/>
        <s v="TV-71"/>
        <s v="TV-72"/>
        <s v="TV-73"/>
        <s v="TV-74"/>
        <s v="TV-75"/>
        <s v="TV-76"/>
        <s v="TV-77"/>
        <s v="TV-78"/>
        <s v="TV-79"/>
      </sharedItems>
    </cacheField>
    <cacheField name="material_crm_code" numFmtId="0">
      <sharedItems>
        <s v="WHSWGLSS168"/>
        <s v="WHSWBDPS161"/>
        <s v="WHSWBIW02S217"/>
        <s v="WHSWCHALS162"/>
        <s v="WHSWLTLEDS164"/>
        <s v="WHSWLTLEDS167"/>
        <s v="WHSWPLCPCS132"/>
        <s v="WHSWLTLEDS165"/>
        <s v="WHSWPLCS102"/>
        <s v="WHSWS300SLWS191"/>
        <s v="WHSWSRBWBLWS181"/>
        <s v="WHSWPLCS036"/>
        <s v="WHSWPLCPCS118"/>
        <s v="WHSWSSBWBMWS172"/>
        <s v="WHSWTSSBG6TS233"/>
        <s v="WHSWPLCPCS150"/>
        <s v="WHSWBIW08S223"/>
        <s v="WHSWPLCS017"/>
        <s v="WHSWBIW01S216"/>
        <s v="WHSWPLCS042"/>
        <s v="WHSWPLCPCS153"/>
        <s v="WHSWBIW09S224"/>
        <s v="WHSWPLCPCS144"/>
        <s v="WHSWPLCS021"/>
        <s v="WHSWSSBWBLWS171"/>
        <s v="WHSWPLCPCS154"/>
        <s v="WHSWS450SLWS196"/>
        <s v="WHSWBIP05S213"/>
        <s v="WHSWPLCPCS115"/>
        <s v="WHSWPLCPCS128"/>
        <s v="WHSWTSSRGG6TS232"/>
        <s v="WHSWPLCPCS138"/>
        <s v="WHSWBIW03S218"/>
        <s v="WHSWPLCS055"/>
        <s v="WHSWPLCS106"/>
        <s v="WHSWPLCS020"/>
        <s v="WHSWPLCS025"/>
        <s v="WHSWPLCS076"/>
        <s v="WHSWPLCS051"/>
        <s v="WHSWPLCS029"/>
        <s v="WHSWSRBWBMWS182"/>
        <s v="WHSWPLCS063"/>
        <s v="WHSWSRBWBSDS179"/>
        <s v="WHSWPLCS088"/>
        <s v="WHSWPLCS009"/>
        <s v="WHSWSSBWBSDS169"/>
        <s v="WHSWBIW10S225"/>
        <s v="WHSWS300SMWS192"/>
        <s v="WHSWTSSGG6TS231"/>
        <s v="WHSWPLCS030"/>
        <s v="WHSWPLCS101"/>
        <s v="WHSWS600SMWS202"/>
        <s v="WHSWPLCPCS112"/>
        <s v="WHSWPLCS006"/>
        <s v="WHSWPLCPCS124"/>
        <s v="WHSWS600SLWS201"/>
        <s v="WHSWPLCS090"/>
        <s v="WHSWPLCS023"/>
        <s v="WHSWSRBBDWS188"/>
        <s v="WHSWSSBBDWS178"/>
        <s v="WHSWPLCS043"/>
        <s v="WHSWSRBBSDS184"/>
        <s v="WHSWPLCPCS149"/>
        <s v="WHSWPLCS103"/>
        <s v="WHSWS450SMWS197"/>
        <s v="WHSWBIP02S210"/>
        <s v="WHSWS300SDWS193"/>
        <s v="WHSWPLCS032"/>
        <s v="WHSWSRBBMWS187"/>
        <s v="WHSWPLCPCS114"/>
        <s v="WHSWBIW05S220"/>
        <s v="WHSWPLCPCS152"/>
        <s v="WHSWPLCS075"/>
        <s v="WHSWBIP06S214"/>
        <s v="WHSWPLCS007"/>
        <s v="WHSWPLCS060"/>
        <s v="WHSWBIW07S222"/>
        <s v="WHSWPLCPCS131"/>
        <s v="WHSWPLCPCS126"/>
        <s v="WHSWPLCPCS151"/>
      </sharedItems>
    </cacheField>
    <cacheField name="qty" numFmtId="0">
      <sharedItems containsSemiMixedTypes="0" containsString="0" containsNumber="1" containsInteger="1">
        <n v="10.0"/>
        <n v="2.0"/>
        <n v="1.0"/>
        <n v="4.0"/>
        <n v="12.0"/>
        <n v="15.0"/>
        <n v="3.0"/>
        <n v="5.0"/>
        <n v="18.0"/>
        <n v="8.0"/>
        <n v="20.0"/>
        <n v="14.0"/>
        <n v="6.0"/>
        <n v="7.0"/>
      </sharedItems>
    </cacheField>
    <cacheField name="Price" numFmtId="0">
      <sharedItems containsSemiMixedTypes="0" containsString="0" containsNumber="1" containsInteger="1">
        <n v="500.0"/>
        <n v="2500.0"/>
        <n v="1000.0"/>
        <n v="1500.0"/>
        <n v="7500.0"/>
        <n v="600.0"/>
        <n v="2000.0"/>
      </sharedItems>
    </cacheField>
    <cacheField name="cost_price" numFmtId="1">
      <sharedItems containsSemiMixedTypes="0" containsString="0" containsNumber="1">
        <n v="273.6"/>
        <n v="2050.0"/>
        <n v="250.0"/>
        <n v="675.0"/>
        <n v="750.0"/>
        <n v="4148.387118644067"/>
        <n v="270.0"/>
        <n v="609.4915254237288"/>
        <n v="1117.8983050847457"/>
        <n v="500.0"/>
        <n v="1084.0677966101696"/>
        <n v="819.5932203389831"/>
        <n v="595.8644067796611"/>
        <n v="1014.5505084745764"/>
        <n v="200.0"/>
        <n v="968.7457627118644"/>
        <n v="745.0169491525425"/>
        <n v="670.4406779661017"/>
        <n v="948.4745762711865"/>
        <n v="648.8050847457628"/>
        <n v="4741.014915254238"/>
        <n v="711.1864406779662"/>
        <n v="745.0847457627119"/>
        <n v="677.2881355932204"/>
      </sharedItems>
    </cacheField>
    <cacheField name="Calculated Field 1" numFmtId="0">
      <sharedItems containsSemiMixedTypes="0" containsString="0" containsNumber="1" containsInteger="1">
        <n v="5000.0"/>
        <n v="1000.0"/>
        <n v="2000.0"/>
        <n v="3000.0"/>
        <n v="1500.0"/>
        <n v="30000.0"/>
        <n v="18000.0"/>
        <n v="37500.0"/>
        <n v="500.0"/>
        <n v="22500.0"/>
        <n v="1800.0"/>
        <n v="2500.0"/>
        <n v="12500.0"/>
        <n v="10000.0"/>
        <n v="135000.0"/>
        <n v="15000.0"/>
        <n v="24000.0"/>
        <n v="4000.0"/>
        <n v="12000.0"/>
        <n v="20000.0"/>
        <n v="7500.0"/>
        <n v="40000.0"/>
        <n v="21000.0"/>
        <n v="90000.0"/>
        <n v="1200.0"/>
        <n v="6000.0"/>
        <n v="2400.0"/>
        <n v="10500.0"/>
        <n v="3600.0"/>
        <n v="4500.0"/>
        <n v="16000.0"/>
      </sharedItems>
    </cacheField>
    <cacheField name="Calculated Field 2" numFmtId="0">
      <sharedItems containsSemiMixedTypes="0" containsString="0" containsNumber="1">
        <n v="2736.0"/>
        <n v="4100.0"/>
        <n v="500.0"/>
        <n v="1350.0"/>
        <n v="1500.0"/>
        <n v="750.0"/>
        <n v="16593.54847457627"/>
        <n v="540.0"/>
        <n v="7313.8983050847455"/>
        <n v="250.0"/>
        <n v="16768.474576271186"/>
        <n v="270.0"/>
        <n v="12445.161355932203"/>
        <n v="675.0"/>
        <n v="2050.0"/>
        <n v="5420.338983050848"/>
        <n v="4097.966101694916"/>
        <n v="74670.96813559321"/>
        <n v="20741.935593220336"/>
        <n v="5958.644067796611"/>
        <n v="4058.2020338983057"/>
        <n v="1000.0"/>
        <n v="9835.118644067798"/>
        <n v="2700.0"/>
        <n v="4875.932203389831"/>
        <n v="2500.0"/>
        <n v="11917.288135593222"/>
        <n v="9687.457627118643"/>
        <n v="14900.33898305085"/>
        <n v="6150.0"/>
        <n v="16391.864406779663"/>
        <n v="12189.830508474577"/>
        <n v="13408.813559322034"/>
        <n v="8200.0"/>
        <n v="9386.169491525423"/>
        <n v="49780.64542372881"/>
        <n v="8045.28813559322"/>
        <n v="7150.372881355933"/>
        <n v="9484.745762711866"/>
        <n v="8195.932203389832"/>
        <n v="8296.774237288135"/>
        <n v="2595.220338983051"/>
        <n v="18964.059661016952"/>
        <n v="4148.387118644067"/>
        <n v="4766.9152542372885"/>
        <n v="2000.0"/>
        <n v="9482.029830508476"/>
        <n v="14223.044745762714"/>
        <n v="2844.7457627118647"/>
        <n v="2383.4576271186443"/>
        <n v="8941.016949152543"/>
        <n v="2029.1010169491528"/>
        <n v="800.0"/>
        <n v="6504.406779661018"/>
        <n v="400.0"/>
        <n v="12174.606101694917"/>
        <n v="7450.169491525425"/>
        <n v="4741.016949152543"/>
        <n v="3000.0"/>
        <n v="2025.0"/>
        <n v="4050.0"/>
        <n v="2250.0"/>
        <n v="1080.0"/>
        <n v="6556.745762711865"/>
        <n v="6087.303050847458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G473" firstHeaderRow="0" firstDataRow="6" firstDataCol="0"/>
  <pivotFields>
    <pivotField name="sno" compact="0" outline="0" multipleItemSelectionAllowed="1" showAll="0">
      <items>
        <item x="0"/>
        <item t="default"/>
      </items>
    </pivotField>
    <pivotField name="design_code" axis="axisRow" compact="0" outline="0" multipleItemSelectionAllowed="1" showAll="0" sortType="ascending" defaultSubtotal="0">
      <items>
        <item x="0"/>
        <item x="1"/>
        <item x="100"/>
        <item x="21"/>
        <item x="26"/>
        <item x="27"/>
        <item x="16"/>
        <item x="17"/>
        <item x="31"/>
        <item x="32"/>
        <item x="18"/>
        <item x="19"/>
        <item x="34"/>
        <item x="35"/>
        <item x="36"/>
        <item x="37"/>
        <item x="38"/>
        <item x="99"/>
        <item x="2"/>
        <item x="3"/>
        <item x="24"/>
        <item x="25"/>
        <item x="41"/>
        <item x="42"/>
        <item x="28"/>
        <item x="29"/>
        <item x="30"/>
        <item x="49"/>
        <item x="50"/>
        <item x="43"/>
        <item x="44"/>
        <item x="45"/>
        <item x="46"/>
        <item x="47"/>
        <item x="48"/>
        <item x="33"/>
        <item x="39"/>
        <item x="4"/>
        <item x="5"/>
        <item x="40"/>
        <item x="22"/>
        <item x="23"/>
        <item x="51"/>
        <item x="52"/>
        <item x="55"/>
        <item x="56"/>
        <item x="57"/>
        <item x="121"/>
        <item x="58"/>
        <item x="59"/>
        <item x="6"/>
        <item x="7"/>
        <item x="8"/>
        <item x="9"/>
        <item x="10"/>
        <item x="11"/>
        <item x="12"/>
        <item x="13"/>
        <item x="14"/>
        <item x="15"/>
        <item x="20"/>
        <item x="80"/>
        <item x="81"/>
        <item x="82"/>
        <item x="83"/>
        <item x="101"/>
        <item x="102"/>
        <item x="103"/>
        <item x="84"/>
        <item x="85"/>
        <item x="86"/>
        <item x="87"/>
        <item x="104"/>
        <item x="105"/>
        <item x="106"/>
        <item x="107"/>
        <item x="108"/>
        <item x="109"/>
        <item x="110"/>
        <item x="111"/>
        <item x="88"/>
        <item x="89"/>
        <item x="90"/>
        <item x="112"/>
        <item x="91"/>
        <item x="113"/>
        <item x="114"/>
        <item x="115"/>
        <item x="92"/>
        <item x="116"/>
        <item x="93"/>
        <item x="117"/>
        <item x="94"/>
        <item x="53"/>
        <item x="54"/>
        <item x="95"/>
        <item x="118"/>
        <item x="119"/>
        <item x="96"/>
        <item x="97"/>
        <item x="120"/>
        <item x="9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</pivotField>
    <pivotField name="material_crm_code" axis="axisRow" compact="0" outline="0" multipleItemSelectionAllowed="1" showAll="0" sortType="ascending" defaultSubtotal="0">
      <items>
        <item x="8"/>
        <item x="57"/>
        <item x="54"/>
        <item x="64"/>
        <item x="11"/>
        <item x="19"/>
        <item x="16"/>
        <item x="63"/>
        <item x="68"/>
        <item x="9"/>
        <item x="52"/>
        <item x="67"/>
        <item x="7"/>
        <item x="92"/>
        <item x="4"/>
        <item x="5"/>
        <item x="6"/>
        <item x="40"/>
        <item x="49"/>
        <item x="39"/>
        <item x="27"/>
        <item x="36"/>
        <item x="71"/>
        <item x="35"/>
        <item x="34"/>
        <item x="74"/>
        <item x="38"/>
        <item x="33"/>
        <item x="31"/>
        <item x="37"/>
        <item x="73"/>
        <item x="30"/>
        <item x="48"/>
        <item x="51"/>
        <item x="90"/>
        <item x="29"/>
        <item x="72"/>
        <item x="42"/>
        <item x="32"/>
        <item x="50"/>
        <item x="43"/>
        <item x="41"/>
        <item x="44"/>
        <item x="65"/>
        <item x="75"/>
        <item x="0"/>
        <item x="1"/>
        <item x="12"/>
        <item x="85"/>
        <item x="18"/>
        <item x="23"/>
        <item x="69"/>
        <item x="59"/>
        <item x="45"/>
        <item x="47"/>
        <item x="26"/>
        <item x="70"/>
        <item x="10"/>
        <item x="88"/>
        <item x="22"/>
        <item x="15"/>
        <item x="66"/>
        <item x="77"/>
        <item x="61"/>
        <item x="21"/>
        <item x="46"/>
        <item x="3"/>
        <item x="79"/>
        <item x="84"/>
        <item x="81"/>
        <item x="20"/>
        <item x="2"/>
        <item x="17"/>
        <item x="58"/>
        <item x="25"/>
        <item x="56"/>
        <item x="53"/>
        <item x="91"/>
        <item x="83"/>
        <item x="82"/>
        <item x="86"/>
        <item x="60"/>
        <item x="89"/>
        <item x="14"/>
        <item x="76"/>
        <item x="78"/>
        <item x="87"/>
        <item x="13"/>
        <item x="24"/>
        <item x="80"/>
        <item x="28"/>
        <item x="62"/>
        <item x="55"/>
      </items>
    </pivotField>
    <pivotField name="material_md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qty" axis="axisRow" compact="0" outline="0" multipleItemSelectionAllowed="1" showAll="0" sortType="ascending" defaultSubtotal="0">
      <items>
        <item h="1" x="0"/>
        <item x="2"/>
        <item x="3"/>
        <item x="6"/>
        <item x="7"/>
        <item x="1"/>
        <item x="13"/>
        <item x="14"/>
        <item x="12"/>
        <item x="4"/>
        <item x="9"/>
        <item h="1" x="15"/>
        <item x="8"/>
        <item x="10"/>
        <item h="1" x="16"/>
        <item x="11"/>
        <item x="5"/>
      </items>
    </pivotField>
    <pivotField name="Price" axis="axisRow" compact="0" outline="0" multipleItemSelectionAllowed="1" showAll="0" sortType="ascending" defaultSubtotal="0">
      <items>
        <item x="3"/>
        <item x="6"/>
        <item x="4"/>
        <item x="1"/>
        <item x="2"/>
        <item x="0"/>
        <item x="5"/>
      </items>
    </pivotField>
    <pivotField name="cost_price" axis="axisRow" compact="0" numFmtId="1" outline="0" multipleItemSelectionAllowed="1" showAll="0" sortType="ascending">
      <items>
        <item x="21"/>
        <item x="8"/>
        <item x="5"/>
        <item x="26"/>
        <item x="15"/>
        <item x="1"/>
        <item x="2"/>
        <item x="18"/>
        <item x="12"/>
        <item x="6"/>
        <item x="22"/>
        <item x="24"/>
        <item x="11"/>
        <item x="25"/>
        <item x="4"/>
        <item x="9"/>
        <item x="3"/>
        <item x="23"/>
        <item x="10"/>
        <item x="17"/>
        <item x="19"/>
        <item x="0"/>
        <item x="20"/>
        <item x="13"/>
        <item x="7"/>
        <item x="14"/>
        <item x="16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1"/>
    <field x="2"/>
    <field x="4"/>
    <field x="5"/>
    <field x="6"/>
  </rowFields>
  <colFields>
    <field x="-2"/>
  </colFields>
  <dataFields>
    <dataField name="SUM of Calculated Field 1" fld="7" baseField="0"/>
    <dataField name="SUM of Calculated Field 2" fld="8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rowGrandTotals="0" compact="0" compactData="0">
  <location ref="A1:C123" firstHeaderRow="0" firstDataRow="2" firstDataCol="0"/>
  <pivotFields>
    <pivotField name="design_cod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aterial_crm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_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culated Field 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alculated Field 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</pivotFields>
  <rowFields>
    <field x="0"/>
  </rowFields>
  <colFields>
    <field x="-2"/>
  </colFields>
  <dataFields>
    <dataField name="SUM of Calculated Field 1" fld="5" baseField="0"/>
    <dataField name="SUM of Calculated Field 2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63"/>
    <col customWidth="1" min="2" max="2" width="26.88"/>
    <col customWidth="1" min="9" max="9" width="17.38"/>
    <col customWidth="1" min="15" max="15" width="15.38"/>
    <col customWidth="1" min="16" max="16" width="7.0"/>
    <col customWidth="1" min="17" max="17" width="17.5"/>
    <col customWidth="1" min="18" max="18" width="17.63"/>
    <col customWidth="1" min="19" max="19" width="18.38"/>
    <col customWidth="1" min="21" max="21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10</v>
      </c>
      <c r="S1" s="1" t="s">
        <v>11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>
      <c r="A2" s="1">
        <v>1.0</v>
      </c>
      <c r="B2" s="2" t="s">
        <v>21</v>
      </c>
      <c r="C2" s="2" t="s">
        <v>21</v>
      </c>
      <c r="D2" s="1" t="s">
        <v>22</v>
      </c>
      <c r="E2" s="1" t="s">
        <v>23</v>
      </c>
      <c r="F2" s="2">
        <f>VLOOKUP(C2, 'Pivot Table 2'!$A$1:$B$123, 2, FALSE)</f>
        <v>5000</v>
      </c>
      <c r="G2" s="1">
        <v>0.0</v>
      </c>
      <c r="H2" s="1">
        <v>0.0</v>
      </c>
      <c r="I2" s="1">
        <v>0.0</v>
      </c>
      <c r="J2" s="1">
        <v>0.0</v>
      </c>
      <c r="N2" s="2">
        <f t="shared" ref="N2:N93" si="1">F2+G2*4*1000+H2*10000+1*1500*I2+1*J2*1000+1*K2*1000+1*L2*1000</f>
        <v>5000</v>
      </c>
      <c r="T2" s="2">
        <f>VLOOKUP(C2, 'Pivot Table 2'!$A$1:$C$119, 3, FALSE)</f>
        <v>2736</v>
      </c>
      <c r="U2" s="2">
        <f t="shared" ref="U2:U93" si="2">(1-AA$6)*F2</f>
        <v>3000</v>
      </c>
      <c r="V2" s="2">
        <f t="shared" ref="V2:V93" si="3">$AA$7</f>
        <v>500</v>
      </c>
      <c r="W2" s="2">
        <f t="shared" ref="W2:W93" si="4">$AA$8</f>
        <v>4500</v>
      </c>
      <c r="X2" s="2">
        <f t="shared" ref="X2:X93" si="5">U2-T2-V2-W2</f>
        <v>-4736</v>
      </c>
    </row>
    <row r="3">
      <c r="A3" s="1">
        <v>2.0</v>
      </c>
      <c r="B3" s="2" t="s">
        <v>24</v>
      </c>
      <c r="C3" s="2" t="s">
        <v>24</v>
      </c>
      <c r="D3" s="1" t="s">
        <v>22</v>
      </c>
      <c r="E3" s="1" t="s">
        <v>23</v>
      </c>
      <c r="F3" s="2">
        <f>VLOOKUP(C3, 'Pivot Table 2'!$A$1:$B$123, 2, FALSE)</f>
        <v>5000</v>
      </c>
      <c r="G3" s="1">
        <v>0.0</v>
      </c>
      <c r="H3" s="1">
        <v>0.0</v>
      </c>
      <c r="I3" s="1">
        <v>0.0</v>
      </c>
      <c r="J3" s="1">
        <v>0.0</v>
      </c>
      <c r="N3" s="2">
        <f t="shared" si="1"/>
        <v>5000</v>
      </c>
      <c r="T3" s="2">
        <f>VLOOKUP(C3, 'Pivot Table 2'!$A$1:$C$119, 3, FALSE)</f>
        <v>2736</v>
      </c>
      <c r="U3" s="2">
        <f t="shared" si="2"/>
        <v>3000</v>
      </c>
      <c r="V3" s="2">
        <f t="shared" si="3"/>
        <v>500</v>
      </c>
      <c r="W3" s="2">
        <f t="shared" si="4"/>
        <v>4500</v>
      </c>
      <c r="X3" s="2">
        <f t="shared" si="5"/>
        <v>-4736</v>
      </c>
    </row>
    <row r="4">
      <c r="A4" s="1">
        <v>3.0</v>
      </c>
      <c r="B4" s="2" t="s">
        <v>25</v>
      </c>
      <c r="C4" s="2" t="s">
        <v>25</v>
      </c>
      <c r="D4" s="1" t="s">
        <v>22</v>
      </c>
      <c r="E4" s="1" t="s">
        <v>23</v>
      </c>
      <c r="F4" s="2">
        <f>VLOOKUP(C4, 'Pivot Table 2'!$A$1:$B$123, 2, FALSE)</f>
        <v>5000</v>
      </c>
      <c r="G4" s="1">
        <v>0.0</v>
      </c>
      <c r="H4" s="1">
        <v>0.0</v>
      </c>
      <c r="I4" s="1">
        <v>0.0</v>
      </c>
      <c r="J4" s="1">
        <v>0.0</v>
      </c>
      <c r="N4" s="2">
        <f t="shared" si="1"/>
        <v>5000</v>
      </c>
      <c r="T4" s="2">
        <f>VLOOKUP(C4, 'Pivot Table 2'!$A$1:$C$119, 3, FALSE)</f>
        <v>2736</v>
      </c>
      <c r="U4" s="2">
        <f t="shared" si="2"/>
        <v>3000</v>
      </c>
      <c r="V4" s="2">
        <f t="shared" si="3"/>
        <v>500</v>
      </c>
      <c r="W4" s="2">
        <f t="shared" si="4"/>
        <v>4500</v>
      </c>
      <c r="X4" s="2">
        <f t="shared" si="5"/>
        <v>-4736</v>
      </c>
    </row>
    <row r="5">
      <c r="A5" s="1">
        <v>4.0</v>
      </c>
      <c r="B5" s="2" t="s">
        <v>26</v>
      </c>
      <c r="C5" s="2" t="s">
        <v>26</v>
      </c>
      <c r="D5" s="1" t="s">
        <v>22</v>
      </c>
      <c r="E5" s="1" t="s">
        <v>23</v>
      </c>
      <c r="F5" s="2">
        <f>VLOOKUP(C5, 'Pivot Table 2'!$A$1:$B$123, 2, FALSE)</f>
        <v>5000</v>
      </c>
      <c r="G5" s="1">
        <v>0.0</v>
      </c>
      <c r="H5" s="1">
        <v>0.0</v>
      </c>
      <c r="I5" s="1">
        <v>0.0</v>
      </c>
      <c r="J5" s="1">
        <v>0.0</v>
      </c>
      <c r="N5" s="2">
        <f t="shared" si="1"/>
        <v>5000</v>
      </c>
      <c r="T5" s="2">
        <f>VLOOKUP(C5, 'Pivot Table 2'!$A$1:$C$119, 3, FALSE)</f>
        <v>2736</v>
      </c>
      <c r="U5" s="2">
        <f t="shared" si="2"/>
        <v>3000</v>
      </c>
      <c r="V5" s="2">
        <f t="shared" si="3"/>
        <v>500</v>
      </c>
      <c r="W5" s="2">
        <f t="shared" si="4"/>
        <v>4500</v>
      </c>
      <c r="X5" s="2">
        <f t="shared" si="5"/>
        <v>-4736</v>
      </c>
    </row>
    <row r="6">
      <c r="A6" s="1">
        <v>5.0</v>
      </c>
      <c r="B6" s="3" t="s">
        <v>27</v>
      </c>
      <c r="C6" s="2" t="s">
        <v>28</v>
      </c>
      <c r="D6" s="1" t="s">
        <v>23</v>
      </c>
      <c r="E6" s="1" t="s">
        <v>23</v>
      </c>
      <c r="F6" s="2">
        <f>VLOOKUP(C6, 'Pivot Table 2'!$A$1:$B$123, 2, FALSE)</f>
        <v>26500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 t="s">
        <v>29</v>
      </c>
      <c r="N6" s="2">
        <f t="shared" si="1"/>
        <v>26500</v>
      </c>
      <c r="O6" s="1" t="s">
        <v>30</v>
      </c>
      <c r="P6" s="1" t="s">
        <v>22</v>
      </c>
      <c r="Q6" s="1">
        <v>0.0</v>
      </c>
      <c r="R6" s="1">
        <v>0.0</v>
      </c>
      <c r="S6" s="1">
        <v>0.0</v>
      </c>
      <c r="T6" s="2">
        <f>VLOOKUP(C6, 'Pivot Table 2'!$A$1:$C$119, 3, FALSE)</f>
        <v>13826.33898</v>
      </c>
      <c r="U6" s="2">
        <f t="shared" si="2"/>
        <v>15900</v>
      </c>
      <c r="V6" s="2">
        <f t="shared" si="3"/>
        <v>500</v>
      </c>
      <c r="W6" s="2">
        <f t="shared" si="4"/>
        <v>4500</v>
      </c>
      <c r="X6" s="2">
        <f t="shared" si="5"/>
        <v>-2926.338983</v>
      </c>
      <c r="Y6" s="4">
        <f t="shared" ref="Y6:Y7" si="6">25%</f>
        <v>0.25</v>
      </c>
      <c r="Z6" s="1" t="s">
        <v>31</v>
      </c>
      <c r="AA6" s="4">
        <f>40%</f>
        <v>0.4</v>
      </c>
    </row>
    <row r="7">
      <c r="A7" s="1">
        <v>6.0</v>
      </c>
      <c r="B7" s="3" t="s">
        <v>32</v>
      </c>
      <c r="C7" s="2" t="s">
        <v>33</v>
      </c>
      <c r="D7" s="1" t="s">
        <v>23</v>
      </c>
      <c r="E7" s="1" t="s">
        <v>23</v>
      </c>
      <c r="F7" s="2">
        <f>VLOOKUP(C7, 'Pivot Table 2'!$A$1:$B$123, 2, FALSE)</f>
        <v>24000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 t="s">
        <v>29</v>
      </c>
      <c r="N7" s="2">
        <f t="shared" si="1"/>
        <v>24000</v>
      </c>
      <c r="O7" s="1" t="s">
        <v>34</v>
      </c>
      <c r="P7" s="1" t="s">
        <v>22</v>
      </c>
      <c r="Q7" s="1">
        <v>0.0</v>
      </c>
      <c r="R7" s="1">
        <v>0.0</v>
      </c>
      <c r="S7" s="1">
        <v>0.0</v>
      </c>
      <c r="T7" s="2">
        <f>VLOOKUP(C7, 'Pivot Table 2'!$A$1:$C$119, 3, FALSE)</f>
        <v>12503.9661</v>
      </c>
      <c r="U7" s="2">
        <f t="shared" si="2"/>
        <v>14400</v>
      </c>
      <c r="V7" s="2">
        <f t="shared" si="3"/>
        <v>500</v>
      </c>
      <c r="W7" s="2">
        <f t="shared" si="4"/>
        <v>4500</v>
      </c>
      <c r="X7" s="2">
        <f t="shared" si="5"/>
        <v>-3103.966102</v>
      </c>
      <c r="Y7" s="4">
        <f t="shared" si="6"/>
        <v>0.25</v>
      </c>
      <c r="Z7" s="1" t="s">
        <v>35</v>
      </c>
      <c r="AA7" s="2">
        <f>500</f>
        <v>500</v>
      </c>
    </row>
    <row r="8">
      <c r="A8" s="1">
        <v>7.0</v>
      </c>
      <c r="B8" s="3" t="s">
        <v>36</v>
      </c>
      <c r="C8" s="2" t="s">
        <v>37</v>
      </c>
      <c r="D8" s="1" t="s">
        <v>23</v>
      </c>
      <c r="E8" s="1" t="s">
        <v>23</v>
      </c>
      <c r="F8" s="2">
        <f>VLOOKUP(C8, 'Pivot Table 2'!$A$1:$B$123, 2, FALSE)</f>
        <v>34500</v>
      </c>
      <c r="G8" s="1">
        <v>0.0</v>
      </c>
      <c r="H8" s="1">
        <v>0.0</v>
      </c>
      <c r="I8" s="1">
        <v>0.0</v>
      </c>
      <c r="J8" s="1">
        <v>2.0</v>
      </c>
      <c r="K8" s="1">
        <v>1.0</v>
      </c>
      <c r="L8" s="1">
        <v>0.0</v>
      </c>
      <c r="M8" s="1" t="s">
        <v>6</v>
      </c>
      <c r="N8" s="2">
        <f t="shared" si="1"/>
        <v>37500</v>
      </c>
      <c r="O8" s="1" t="s">
        <v>34</v>
      </c>
      <c r="P8" s="1" t="s">
        <v>22</v>
      </c>
      <c r="Q8" s="5" t="s">
        <v>38</v>
      </c>
      <c r="R8" s="6" t="s">
        <v>39</v>
      </c>
      <c r="S8" s="1">
        <v>0.0</v>
      </c>
      <c r="T8" s="2">
        <f>VLOOKUP(C8, 'Pivot Table 2'!$A$1:$C$119, 3, FALSE)</f>
        <v>17164.64407</v>
      </c>
      <c r="U8" s="2">
        <f t="shared" si="2"/>
        <v>20700</v>
      </c>
      <c r="V8" s="2">
        <f t="shared" si="3"/>
        <v>500</v>
      </c>
      <c r="W8" s="2">
        <f t="shared" si="4"/>
        <v>4500</v>
      </c>
      <c r="X8" s="2">
        <f t="shared" si="5"/>
        <v>-1464.644068</v>
      </c>
      <c r="Y8" s="4">
        <f t="shared" ref="Y8:Y9" si="7">35%</f>
        <v>0.35</v>
      </c>
      <c r="Z8" s="1" t="s">
        <v>19</v>
      </c>
      <c r="AA8" s="2">
        <f>4500</f>
        <v>4500</v>
      </c>
      <c r="AB8" s="2">
        <f>AA8/(9.5*10)</f>
        <v>47.36842105</v>
      </c>
    </row>
    <row r="9">
      <c r="A9" s="1">
        <v>8.0</v>
      </c>
      <c r="B9" s="7" t="s">
        <v>40</v>
      </c>
      <c r="C9" s="2" t="s">
        <v>41</v>
      </c>
      <c r="D9" s="1" t="s">
        <v>23</v>
      </c>
      <c r="E9" s="1" t="s">
        <v>23</v>
      </c>
      <c r="F9" s="2">
        <f>VLOOKUP(C9, 'Pivot Table 2'!$A$1:$B$123, 2, FALSE)</f>
        <v>39500</v>
      </c>
      <c r="G9" s="1">
        <v>0.0</v>
      </c>
      <c r="H9" s="1">
        <v>0.0</v>
      </c>
      <c r="I9" s="1">
        <v>0.0</v>
      </c>
      <c r="J9" s="1">
        <v>2.0</v>
      </c>
      <c r="K9" s="1">
        <v>1.0</v>
      </c>
      <c r="L9" s="1">
        <v>0.0</v>
      </c>
      <c r="M9" s="1" t="s">
        <v>6</v>
      </c>
      <c r="N9" s="2">
        <f t="shared" si="1"/>
        <v>42500</v>
      </c>
      <c r="O9" s="1" t="s">
        <v>42</v>
      </c>
      <c r="P9" s="1" t="s">
        <v>22</v>
      </c>
      <c r="Q9" s="5" t="s">
        <v>38</v>
      </c>
      <c r="R9" s="6" t="s">
        <v>39</v>
      </c>
      <c r="S9" s="1">
        <v>0.0</v>
      </c>
      <c r="T9" s="2">
        <f>VLOOKUP(C9, 'Pivot Table 2'!$A$1:$C$119, 3, FALSE)</f>
        <v>20893.45763</v>
      </c>
      <c r="U9" s="2">
        <f t="shared" si="2"/>
        <v>23700</v>
      </c>
      <c r="V9" s="2">
        <f t="shared" si="3"/>
        <v>500</v>
      </c>
      <c r="W9" s="2">
        <f t="shared" si="4"/>
        <v>4500</v>
      </c>
      <c r="X9" s="2">
        <f t="shared" si="5"/>
        <v>-2193.457627</v>
      </c>
      <c r="Y9" s="4">
        <f t="shared" si="7"/>
        <v>0.35</v>
      </c>
    </row>
    <row r="10">
      <c r="A10" s="1">
        <v>9.0</v>
      </c>
      <c r="B10" s="2" t="s">
        <v>43</v>
      </c>
      <c r="C10" s="2" t="s">
        <v>43</v>
      </c>
      <c r="D10" s="1" t="s">
        <v>22</v>
      </c>
      <c r="E10" s="1" t="s">
        <v>23</v>
      </c>
      <c r="F10" s="2">
        <f>VLOOKUP(C10, 'Pivot Table 2'!$A$1:$B$123, 2, FALSE)</f>
        <v>35000</v>
      </c>
      <c r="G10" s="1">
        <v>0.0</v>
      </c>
      <c r="H10" s="1">
        <v>0.0</v>
      </c>
      <c r="I10" s="1">
        <v>0.0</v>
      </c>
      <c r="J10" s="1">
        <v>0.0</v>
      </c>
      <c r="N10" s="2">
        <f t="shared" si="1"/>
        <v>35000</v>
      </c>
      <c r="T10" s="2">
        <f>VLOOKUP(C10, 'Pivot Table 2'!$A$1:$C$119, 3, FALSE)</f>
        <v>17636.33898</v>
      </c>
      <c r="U10" s="2">
        <f t="shared" si="2"/>
        <v>21000</v>
      </c>
      <c r="V10" s="2">
        <f t="shared" si="3"/>
        <v>500</v>
      </c>
      <c r="W10" s="2">
        <f t="shared" si="4"/>
        <v>4500</v>
      </c>
      <c r="X10" s="2">
        <f t="shared" si="5"/>
        <v>-1636.338983</v>
      </c>
    </row>
    <row r="11">
      <c r="A11" s="1">
        <v>10.0</v>
      </c>
      <c r="B11" s="2" t="s">
        <v>44</v>
      </c>
      <c r="C11" s="2" t="s">
        <v>44</v>
      </c>
      <c r="D11" s="1" t="s">
        <v>22</v>
      </c>
      <c r="E11" s="1" t="s">
        <v>23</v>
      </c>
      <c r="F11" s="2">
        <f>VLOOKUP(C11, 'Pivot Table 2'!$A$1:$B$123, 2, FALSE)</f>
        <v>35000</v>
      </c>
      <c r="G11" s="1">
        <v>0.0</v>
      </c>
      <c r="H11" s="1">
        <v>0.0</v>
      </c>
      <c r="I11" s="1">
        <v>0.0</v>
      </c>
      <c r="J11" s="1">
        <v>0.0</v>
      </c>
      <c r="N11" s="2">
        <f t="shared" si="1"/>
        <v>35000</v>
      </c>
      <c r="T11" s="2">
        <f>VLOOKUP(C11, 'Pivot Table 2'!$A$1:$C$119, 3, FALSE)</f>
        <v>14653.28814</v>
      </c>
      <c r="U11" s="2">
        <f t="shared" si="2"/>
        <v>21000</v>
      </c>
      <c r="V11" s="2">
        <f t="shared" si="3"/>
        <v>500</v>
      </c>
      <c r="W11" s="2">
        <f t="shared" si="4"/>
        <v>4500</v>
      </c>
      <c r="X11" s="2">
        <f t="shared" si="5"/>
        <v>1346.711864</v>
      </c>
    </row>
    <row r="12">
      <c r="A12" s="1">
        <v>11.0</v>
      </c>
      <c r="B12" s="8" t="s">
        <v>45</v>
      </c>
      <c r="C12" s="2" t="s">
        <v>46</v>
      </c>
      <c r="D12" s="1" t="s">
        <v>23</v>
      </c>
      <c r="E12" s="1" t="s">
        <v>23</v>
      </c>
      <c r="F12" s="2">
        <f>VLOOKUP(C12, 'Pivot Table 2'!$A$1:$B$123, 2, FALSE)</f>
        <v>63000</v>
      </c>
      <c r="G12" s="1">
        <v>0.0</v>
      </c>
      <c r="H12" s="1">
        <v>0.0</v>
      </c>
      <c r="I12" s="1">
        <v>0.0</v>
      </c>
      <c r="J12" s="1">
        <v>4.0</v>
      </c>
      <c r="K12" s="1">
        <v>0.0</v>
      </c>
      <c r="L12" s="1">
        <v>0.0</v>
      </c>
      <c r="M12" s="1" t="s">
        <v>6</v>
      </c>
      <c r="N12" s="2">
        <f t="shared" si="1"/>
        <v>67000</v>
      </c>
      <c r="O12" s="1" t="s">
        <v>47</v>
      </c>
      <c r="P12" s="1" t="s">
        <v>48</v>
      </c>
      <c r="Q12" s="5" t="s">
        <v>38</v>
      </c>
      <c r="R12" s="1">
        <v>0.0</v>
      </c>
      <c r="S12" s="1">
        <v>0.0</v>
      </c>
      <c r="T12" s="2">
        <f>VLOOKUP(C12, 'Pivot Table 2'!$A$1:$C$119, 3, FALSE)</f>
        <v>29897.86441</v>
      </c>
      <c r="U12" s="2">
        <f t="shared" si="2"/>
        <v>37800</v>
      </c>
      <c r="V12" s="2">
        <f t="shared" si="3"/>
        <v>500</v>
      </c>
      <c r="W12" s="2">
        <f t="shared" si="4"/>
        <v>4500</v>
      </c>
      <c r="X12" s="2">
        <f t="shared" si="5"/>
        <v>2902.135593</v>
      </c>
      <c r="Y12" s="4">
        <f t="shared" ref="Y12:Y13" si="8">40%</f>
        <v>0.4</v>
      </c>
    </row>
    <row r="13">
      <c r="A13" s="1">
        <v>12.0</v>
      </c>
      <c r="B13" s="3" t="s">
        <v>49</v>
      </c>
      <c r="C13" s="2" t="s">
        <v>50</v>
      </c>
      <c r="D13" s="1" t="s">
        <v>23</v>
      </c>
      <c r="E13" s="1" t="s">
        <v>23</v>
      </c>
      <c r="F13" s="2">
        <f>VLOOKUP(C13, 'Pivot Table 2'!$A$1:$B$123, 2, FALSE)</f>
        <v>53000</v>
      </c>
      <c r="G13" s="1">
        <v>0.0</v>
      </c>
      <c r="H13" s="1">
        <v>0.0</v>
      </c>
      <c r="I13" s="1">
        <v>0.0</v>
      </c>
      <c r="J13" s="1">
        <v>4.0</v>
      </c>
      <c r="K13" s="1">
        <v>0.0</v>
      </c>
      <c r="L13" s="1">
        <v>0.0</v>
      </c>
      <c r="M13" s="1" t="s">
        <v>6</v>
      </c>
      <c r="N13" s="2">
        <f t="shared" si="1"/>
        <v>57000</v>
      </c>
      <c r="O13" s="1" t="s">
        <v>34</v>
      </c>
      <c r="P13" s="1" t="s">
        <v>22</v>
      </c>
      <c r="Q13" s="5" t="s">
        <v>38</v>
      </c>
      <c r="R13" s="1">
        <v>0.0</v>
      </c>
      <c r="S13" s="1">
        <v>0.0</v>
      </c>
      <c r="T13" s="2">
        <f>VLOOKUP(C13, 'Pivot Table 2'!$A$1:$C$119, 3, FALSE)</f>
        <v>25695.83051</v>
      </c>
      <c r="U13" s="2">
        <f t="shared" si="2"/>
        <v>31800</v>
      </c>
      <c r="V13" s="2">
        <f t="shared" si="3"/>
        <v>500</v>
      </c>
      <c r="W13" s="2">
        <f t="shared" si="4"/>
        <v>4500</v>
      </c>
      <c r="X13" s="2">
        <f t="shared" si="5"/>
        <v>1104.169492</v>
      </c>
      <c r="Y13" s="4">
        <f t="shared" si="8"/>
        <v>0.4</v>
      </c>
    </row>
    <row r="14">
      <c r="A14" s="1">
        <v>13.0</v>
      </c>
      <c r="B14" s="2" t="s">
        <v>51</v>
      </c>
      <c r="C14" s="2" t="s">
        <v>51</v>
      </c>
      <c r="D14" s="1" t="s">
        <v>22</v>
      </c>
      <c r="E14" s="1" t="s">
        <v>23</v>
      </c>
      <c r="F14" s="2">
        <f>VLOOKUP(C14, 'Pivot Table 2'!$A$1:$B$123, 2, FALSE)</f>
        <v>35000</v>
      </c>
      <c r="G14" s="1">
        <v>0.0</v>
      </c>
      <c r="H14" s="1">
        <v>0.0</v>
      </c>
      <c r="I14" s="1">
        <v>0.0</v>
      </c>
      <c r="J14" s="1">
        <v>0.0</v>
      </c>
      <c r="N14" s="2">
        <f t="shared" si="1"/>
        <v>35000</v>
      </c>
      <c r="T14" s="2">
        <f>VLOOKUP(C14, 'Pivot Table 2'!$A$1:$C$119, 3, FALSE)</f>
        <v>14925.83051</v>
      </c>
      <c r="U14" s="2">
        <f t="shared" si="2"/>
        <v>21000</v>
      </c>
      <c r="V14" s="2">
        <f t="shared" si="3"/>
        <v>500</v>
      </c>
      <c r="W14" s="2">
        <f t="shared" si="4"/>
        <v>4500</v>
      </c>
      <c r="X14" s="2">
        <f t="shared" si="5"/>
        <v>1074.169492</v>
      </c>
    </row>
    <row r="15">
      <c r="A15" s="1">
        <v>14.0</v>
      </c>
      <c r="B15" s="2" t="s">
        <v>52</v>
      </c>
      <c r="C15" s="2" t="s">
        <v>52</v>
      </c>
      <c r="D15" s="1" t="s">
        <v>22</v>
      </c>
      <c r="E15" s="1" t="s">
        <v>23</v>
      </c>
      <c r="F15" s="2">
        <f>VLOOKUP(C15, 'Pivot Table 2'!$A$1:$B$123, 2, FALSE)</f>
        <v>35000</v>
      </c>
      <c r="G15" s="1">
        <v>0.0</v>
      </c>
      <c r="H15" s="1">
        <v>0.0</v>
      </c>
      <c r="I15" s="1">
        <v>0.0</v>
      </c>
      <c r="J15" s="1">
        <v>0.0</v>
      </c>
      <c r="N15" s="2">
        <f t="shared" si="1"/>
        <v>35000</v>
      </c>
      <c r="T15" s="2">
        <f>VLOOKUP(C15, 'Pivot Table 2'!$A$1:$C$119, 3, FALSE)</f>
        <v>16144.81356</v>
      </c>
      <c r="U15" s="2">
        <f t="shared" si="2"/>
        <v>21000</v>
      </c>
      <c r="V15" s="2">
        <f t="shared" si="3"/>
        <v>500</v>
      </c>
      <c r="W15" s="2">
        <f t="shared" si="4"/>
        <v>4500</v>
      </c>
      <c r="X15" s="2">
        <f t="shared" si="5"/>
        <v>-144.8135593</v>
      </c>
    </row>
    <row r="16">
      <c r="A16" s="1">
        <v>15.0</v>
      </c>
      <c r="B16" s="3" t="s">
        <v>53</v>
      </c>
      <c r="C16" s="2" t="s">
        <v>54</v>
      </c>
      <c r="D16" s="1" t="s">
        <v>23</v>
      </c>
      <c r="E16" s="1" t="s">
        <v>23</v>
      </c>
      <c r="F16" s="2">
        <f>VLOOKUP(C16, 'Pivot Table 2'!$A$1:$B$123, 2, FALSE)</f>
        <v>50000</v>
      </c>
      <c r="G16" s="1">
        <v>0.0</v>
      </c>
      <c r="H16" s="1">
        <v>0.0</v>
      </c>
      <c r="I16" s="1">
        <v>0.0</v>
      </c>
      <c r="J16" s="1">
        <v>4.0</v>
      </c>
      <c r="K16" s="1">
        <v>0.0</v>
      </c>
      <c r="L16" s="1">
        <v>0.0</v>
      </c>
      <c r="M16" s="1" t="s">
        <v>55</v>
      </c>
      <c r="N16" s="2">
        <f t="shared" si="1"/>
        <v>54000</v>
      </c>
      <c r="O16" s="1" t="s">
        <v>42</v>
      </c>
      <c r="P16" s="1" t="s">
        <v>22</v>
      </c>
      <c r="Q16" s="5" t="s">
        <v>56</v>
      </c>
      <c r="R16" s="1">
        <v>0.0</v>
      </c>
      <c r="S16" s="1">
        <v>0.0</v>
      </c>
      <c r="T16" s="2">
        <f>VLOOKUP(C16, 'Pivot Table 2'!$A$1:$C$119, 3, FALSE)</f>
        <v>26712.16949</v>
      </c>
      <c r="U16" s="2">
        <f t="shared" si="2"/>
        <v>30000</v>
      </c>
      <c r="V16" s="2">
        <f t="shared" si="3"/>
        <v>500</v>
      </c>
      <c r="W16" s="2">
        <f t="shared" si="4"/>
        <v>4500</v>
      </c>
      <c r="X16" s="2">
        <f t="shared" si="5"/>
        <v>-1712.169492</v>
      </c>
      <c r="Y16" s="4">
        <f t="shared" ref="Y16:Y18" si="9">35%</f>
        <v>0.35</v>
      </c>
    </row>
    <row r="17">
      <c r="A17" s="1">
        <v>16.0</v>
      </c>
      <c r="B17" s="3" t="s">
        <v>57</v>
      </c>
      <c r="C17" s="2" t="s">
        <v>58</v>
      </c>
      <c r="D17" s="1" t="s">
        <v>23</v>
      </c>
      <c r="E17" s="1" t="s">
        <v>23</v>
      </c>
      <c r="F17" s="2">
        <f>VLOOKUP(C17, 'Pivot Table 2'!$A$1:$B$123, 2, FALSE)</f>
        <v>50000</v>
      </c>
      <c r="G17" s="1">
        <v>0.0</v>
      </c>
      <c r="H17" s="1">
        <v>0.0</v>
      </c>
      <c r="I17" s="1">
        <v>0.0</v>
      </c>
      <c r="J17" s="1">
        <v>4.0</v>
      </c>
      <c r="K17" s="1">
        <v>0.0</v>
      </c>
      <c r="L17" s="1">
        <v>0.0</v>
      </c>
      <c r="M17" s="1" t="s">
        <v>55</v>
      </c>
      <c r="N17" s="2">
        <f t="shared" si="1"/>
        <v>54000</v>
      </c>
      <c r="O17" s="1" t="s">
        <v>47</v>
      </c>
      <c r="P17" s="1" t="s">
        <v>23</v>
      </c>
      <c r="Q17" s="5" t="s">
        <v>56</v>
      </c>
      <c r="R17" s="1">
        <v>0.0</v>
      </c>
      <c r="S17" s="1">
        <v>0.0</v>
      </c>
      <c r="T17" s="2">
        <f>VLOOKUP(C17, 'Pivot Table 2'!$A$1:$C$119, 3, FALSE)</f>
        <v>26712.16949</v>
      </c>
      <c r="U17" s="2">
        <f t="shared" si="2"/>
        <v>30000</v>
      </c>
      <c r="V17" s="2">
        <f t="shared" si="3"/>
        <v>500</v>
      </c>
      <c r="W17" s="2">
        <f t="shared" si="4"/>
        <v>4500</v>
      </c>
      <c r="X17" s="2">
        <f t="shared" si="5"/>
        <v>-1712.169492</v>
      </c>
      <c r="Y17" s="4">
        <f t="shared" si="9"/>
        <v>0.35</v>
      </c>
    </row>
    <row r="18">
      <c r="A18" s="1">
        <v>17.0</v>
      </c>
      <c r="B18" s="1" t="s">
        <v>59</v>
      </c>
      <c r="C18" s="2" t="s">
        <v>60</v>
      </c>
      <c r="D18" s="1" t="s">
        <v>23</v>
      </c>
      <c r="E18" s="1" t="s">
        <v>23</v>
      </c>
      <c r="F18" s="2">
        <f>VLOOKUP(C18, 'Pivot Table 2'!$A$1:$B$123, 2, FALSE)</f>
        <v>41000</v>
      </c>
      <c r="G18" s="1">
        <v>0.0</v>
      </c>
      <c r="H18" s="1">
        <v>0.0</v>
      </c>
      <c r="I18" s="1">
        <v>0.0</v>
      </c>
      <c r="J18" s="1">
        <v>0.0</v>
      </c>
      <c r="K18" s="1">
        <v>2.0</v>
      </c>
      <c r="L18" s="1">
        <v>1.0</v>
      </c>
      <c r="M18" s="1" t="s">
        <v>6</v>
      </c>
      <c r="N18" s="2">
        <f t="shared" si="1"/>
        <v>44000</v>
      </c>
      <c r="O18" s="1" t="s">
        <v>47</v>
      </c>
      <c r="P18" s="1" t="s">
        <v>22</v>
      </c>
      <c r="Q18" s="1">
        <v>0.0</v>
      </c>
      <c r="R18" s="6" t="s">
        <v>39</v>
      </c>
      <c r="S18" s="9" t="s">
        <v>61</v>
      </c>
      <c r="T18" s="2">
        <f>VLOOKUP(C18, 'Pivot Table 2'!$A$1:$C$119, 3, FALSE)</f>
        <v>20289.89831</v>
      </c>
      <c r="U18" s="2">
        <f t="shared" si="2"/>
        <v>24600</v>
      </c>
      <c r="V18" s="2">
        <f t="shared" si="3"/>
        <v>500</v>
      </c>
      <c r="W18" s="2">
        <f t="shared" si="4"/>
        <v>4500</v>
      </c>
      <c r="X18" s="2">
        <f t="shared" si="5"/>
        <v>-689.8983051</v>
      </c>
      <c r="Y18" s="4">
        <f t="shared" si="9"/>
        <v>0.35</v>
      </c>
    </row>
    <row r="19">
      <c r="A19" s="1">
        <v>18.0</v>
      </c>
      <c r="B19" s="2" t="s">
        <v>62</v>
      </c>
      <c r="C19" s="2" t="s">
        <v>62</v>
      </c>
      <c r="D19" s="1" t="s">
        <v>22</v>
      </c>
      <c r="E19" s="1" t="s">
        <v>23</v>
      </c>
      <c r="F19" s="2">
        <f>VLOOKUP(C19, 'Pivot Table 2'!$A$1:$B$123, 2, FALSE)</f>
        <v>42500</v>
      </c>
      <c r="G19" s="1">
        <v>0.0</v>
      </c>
      <c r="H19" s="1">
        <v>0.0</v>
      </c>
      <c r="I19" s="1">
        <v>0.0</v>
      </c>
      <c r="J19" s="1">
        <v>0.0</v>
      </c>
      <c r="N19" s="2">
        <f t="shared" si="1"/>
        <v>42500</v>
      </c>
      <c r="T19" s="2">
        <f>VLOOKUP(C19, 'Pivot Table 2'!$A$1:$C$119, 3, FALSE)</f>
        <v>19504.47458</v>
      </c>
      <c r="U19" s="2">
        <f t="shared" si="2"/>
        <v>25500</v>
      </c>
      <c r="V19" s="2">
        <f t="shared" si="3"/>
        <v>500</v>
      </c>
      <c r="W19" s="2">
        <f t="shared" si="4"/>
        <v>4500</v>
      </c>
      <c r="X19" s="2">
        <f t="shared" si="5"/>
        <v>995.5254237</v>
      </c>
    </row>
    <row r="20">
      <c r="A20" s="1">
        <v>19.0</v>
      </c>
      <c r="B20" s="3" t="s">
        <v>63</v>
      </c>
      <c r="C20" s="2" t="s">
        <v>64</v>
      </c>
      <c r="D20" s="1" t="s">
        <v>23</v>
      </c>
      <c r="E20" s="1" t="s">
        <v>23</v>
      </c>
      <c r="F20" s="2">
        <f>VLOOKUP(C20, 'Pivot Table 2'!$A$1:$B$123, 2, FALSE)</f>
        <v>45800</v>
      </c>
      <c r="G20" s="1">
        <v>0.0</v>
      </c>
      <c r="H20" s="1">
        <v>0.0</v>
      </c>
      <c r="I20" s="1">
        <v>0.0</v>
      </c>
      <c r="J20" s="1">
        <v>3.0</v>
      </c>
      <c r="K20" s="1">
        <v>0.0</v>
      </c>
      <c r="L20" s="1">
        <v>2.0</v>
      </c>
      <c r="M20" s="1" t="s">
        <v>6</v>
      </c>
      <c r="N20" s="2">
        <f t="shared" si="1"/>
        <v>50800</v>
      </c>
      <c r="O20" s="1" t="s">
        <v>47</v>
      </c>
      <c r="P20" s="1" t="s">
        <v>23</v>
      </c>
      <c r="Q20" s="5" t="s">
        <v>56</v>
      </c>
      <c r="R20" s="1">
        <v>0.0</v>
      </c>
      <c r="S20" s="9" t="s">
        <v>61</v>
      </c>
      <c r="T20" s="2">
        <f>VLOOKUP(C20, 'Pivot Table 2'!$A$1:$C$119, 3, FALSE)</f>
        <v>25651.16136</v>
      </c>
      <c r="U20" s="2">
        <f t="shared" si="2"/>
        <v>27480</v>
      </c>
      <c r="V20" s="2">
        <f t="shared" si="3"/>
        <v>500</v>
      </c>
      <c r="W20" s="2">
        <f t="shared" si="4"/>
        <v>4500</v>
      </c>
      <c r="X20" s="2">
        <f t="shared" si="5"/>
        <v>-3171.161356</v>
      </c>
      <c r="Y20" s="4">
        <f t="shared" ref="Y20:Y21" si="10">30%</f>
        <v>0.3</v>
      </c>
    </row>
    <row r="21">
      <c r="A21" s="1">
        <v>20.0</v>
      </c>
      <c r="B21" s="3" t="s">
        <v>65</v>
      </c>
      <c r="C21" s="2" t="s">
        <v>66</v>
      </c>
      <c r="D21" s="1" t="s">
        <v>23</v>
      </c>
      <c r="E21" s="1" t="s">
        <v>23</v>
      </c>
      <c r="F21" s="2">
        <f>VLOOKUP(C21, 'Pivot Table 2'!$A$1:$B$123, 2, FALSE)</f>
        <v>44800</v>
      </c>
      <c r="G21" s="1">
        <v>0.0</v>
      </c>
      <c r="H21" s="1">
        <v>0.0</v>
      </c>
      <c r="I21" s="1">
        <v>0.0</v>
      </c>
      <c r="J21" s="1">
        <v>3.0</v>
      </c>
      <c r="K21" s="1">
        <v>0.0</v>
      </c>
      <c r="L21" s="1">
        <v>2.0</v>
      </c>
      <c r="M21" s="1" t="s">
        <v>6</v>
      </c>
      <c r="N21" s="2">
        <f t="shared" si="1"/>
        <v>49800</v>
      </c>
      <c r="O21" s="1" t="s">
        <v>47</v>
      </c>
      <c r="P21" s="1" t="s">
        <v>22</v>
      </c>
      <c r="Q21" s="5" t="s">
        <v>56</v>
      </c>
      <c r="R21" s="1">
        <v>0.0</v>
      </c>
      <c r="S21" s="9" t="s">
        <v>61</v>
      </c>
      <c r="T21" s="2">
        <f>VLOOKUP(C21, 'Pivot Table 2'!$A$1:$C$119, 3, FALSE)</f>
        <v>24976.16136</v>
      </c>
      <c r="U21" s="2">
        <f t="shared" si="2"/>
        <v>26880</v>
      </c>
      <c r="V21" s="2">
        <f t="shared" si="3"/>
        <v>500</v>
      </c>
      <c r="W21" s="2">
        <f t="shared" si="4"/>
        <v>4500</v>
      </c>
      <c r="X21" s="2">
        <f t="shared" si="5"/>
        <v>-3096.161356</v>
      </c>
      <c r="Y21" s="4">
        <f t="shared" si="10"/>
        <v>0.3</v>
      </c>
    </row>
    <row r="22">
      <c r="A22" s="1">
        <v>21.0</v>
      </c>
      <c r="B22" s="2" t="s">
        <v>67</v>
      </c>
      <c r="C22" s="2" t="s">
        <v>67</v>
      </c>
      <c r="D22" s="1" t="s">
        <v>22</v>
      </c>
      <c r="E22" s="1" t="s">
        <v>23</v>
      </c>
      <c r="F22" s="2">
        <f>VLOOKUP(C22, 'Pivot Table 2'!$A$1:$B$123, 2, FALSE)</f>
        <v>95000</v>
      </c>
      <c r="G22" s="1">
        <v>0.0</v>
      </c>
      <c r="H22" s="1">
        <v>0.0</v>
      </c>
      <c r="I22" s="1">
        <v>0.0</v>
      </c>
      <c r="J22" s="1">
        <v>0.0</v>
      </c>
      <c r="N22" s="2">
        <f t="shared" si="1"/>
        <v>95000</v>
      </c>
      <c r="T22" s="2">
        <f>VLOOKUP(C22, 'Pivot Table 2'!$A$1:$C$119, 3, FALSE)</f>
        <v>52516.64542</v>
      </c>
      <c r="U22" s="2">
        <f t="shared" si="2"/>
        <v>57000</v>
      </c>
      <c r="V22" s="2">
        <f t="shared" si="3"/>
        <v>500</v>
      </c>
      <c r="W22" s="2">
        <f t="shared" si="4"/>
        <v>4500</v>
      </c>
      <c r="X22" s="2">
        <f t="shared" si="5"/>
        <v>-516.6454237</v>
      </c>
    </row>
    <row r="23">
      <c r="A23" s="1">
        <v>22.0</v>
      </c>
      <c r="B23" s="2" t="s">
        <v>68</v>
      </c>
      <c r="C23" s="2" t="s">
        <v>68</v>
      </c>
      <c r="D23" s="1" t="s">
        <v>22</v>
      </c>
      <c r="E23" s="1" t="s">
        <v>23</v>
      </c>
      <c r="F23" s="2">
        <f>VLOOKUP(C23, 'Pivot Table 2'!$A$1:$B$123, 2, FALSE)</f>
        <v>5000</v>
      </c>
      <c r="G23" s="1">
        <v>0.0</v>
      </c>
      <c r="H23" s="1">
        <v>0.0</v>
      </c>
      <c r="I23" s="1">
        <v>0.0</v>
      </c>
      <c r="J23" s="1">
        <v>0.0</v>
      </c>
      <c r="N23" s="2">
        <f t="shared" si="1"/>
        <v>5000</v>
      </c>
      <c r="T23" s="2">
        <f>VLOOKUP(C23, 'Pivot Table 2'!$A$1:$C$119, 3, FALSE)</f>
        <v>2736</v>
      </c>
      <c r="U23" s="2">
        <f t="shared" si="2"/>
        <v>3000</v>
      </c>
      <c r="V23" s="2">
        <f t="shared" si="3"/>
        <v>500</v>
      </c>
      <c r="W23" s="2">
        <f t="shared" si="4"/>
        <v>4500</v>
      </c>
      <c r="X23" s="2">
        <f t="shared" si="5"/>
        <v>-4736</v>
      </c>
    </row>
    <row r="24">
      <c r="A24" s="1">
        <v>23.0</v>
      </c>
      <c r="B24" s="3" t="s">
        <v>69</v>
      </c>
      <c r="C24" s="2" t="s">
        <v>70</v>
      </c>
      <c r="D24" s="1" t="s">
        <v>23</v>
      </c>
      <c r="E24" s="1" t="s">
        <v>23</v>
      </c>
      <c r="F24" s="2">
        <f>VLOOKUP(C24, 'Pivot Table 2'!$A$1:$B$123, 2, FALSE)</f>
        <v>5000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 t="s">
        <v>29</v>
      </c>
      <c r="N24" s="2">
        <f t="shared" si="1"/>
        <v>5000</v>
      </c>
      <c r="O24" s="1" t="s">
        <v>47</v>
      </c>
      <c r="P24" s="1" t="s">
        <v>22</v>
      </c>
      <c r="Q24" s="1">
        <v>0.0</v>
      </c>
      <c r="R24" s="1">
        <v>0.0</v>
      </c>
      <c r="S24" s="1">
        <v>0.0</v>
      </c>
      <c r="T24" s="2">
        <f>VLOOKUP(C24, 'Pivot Table 2'!$A$1:$C$119, 3, FALSE)</f>
        <v>2736</v>
      </c>
      <c r="U24" s="2">
        <f t="shared" si="2"/>
        <v>3000</v>
      </c>
      <c r="V24" s="2">
        <f t="shared" si="3"/>
        <v>500</v>
      </c>
      <c r="W24" s="2">
        <f t="shared" si="4"/>
        <v>4500</v>
      </c>
      <c r="X24" s="10">
        <f t="shared" si="5"/>
        <v>-4736</v>
      </c>
    </row>
    <row r="25">
      <c r="A25" s="1">
        <v>24.0</v>
      </c>
      <c r="B25" s="3" t="s">
        <v>71</v>
      </c>
      <c r="C25" s="2" t="s">
        <v>72</v>
      </c>
      <c r="D25" s="1" t="s">
        <v>23</v>
      </c>
      <c r="E25" s="1" t="s">
        <v>23</v>
      </c>
      <c r="F25" s="2">
        <f>VLOOKUP(C25, 'Pivot Table 2'!$A$1:$B$123, 2, FALSE)</f>
        <v>47500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 t="s">
        <v>29</v>
      </c>
      <c r="N25" s="2">
        <f t="shared" si="1"/>
        <v>47500</v>
      </c>
      <c r="O25" s="1" t="s">
        <v>47</v>
      </c>
      <c r="P25" s="1" t="s">
        <v>22</v>
      </c>
      <c r="Q25" s="1">
        <v>0.0</v>
      </c>
      <c r="R25" s="1">
        <v>0.0</v>
      </c>
      <c r="S25" s="1">
        <v>0.0</v>
      </c>
      <c r="T25" s="2">
        <f>VLOOKUP(C25, 'Pivot Table 2'!$A$1:$C$119, 3, FALSE)</f>
        <v>27529.54847</v>
      </c>
      <c r="U25" s="2">
        <f t="shared" si="2"/>
        <v>28500</v>
      </c>
      <c r="V25" s="2">
        <f t="shared" si="3"/>
        <v>500</v>
      </c>
      <c r="W25" s="2">
        <f t="shared" si="4"/>
        <v>4500</v>
      </c>
      <c r="X25" s="2">
        <f t="shared" si="5"/>
        <v>-4029.548475</v>
      </c>
      <c r="Y25" s="4">
        <f>30%</f>
        <v>0.3</v>
      </c>
    </row>
    <row r="26">
      <c r="A26" s="1">
        <v>25.0</v>
      </c>
      <c r="B26" s="2" t="s">
        <v>73</v>
      </c>
      <c r="C26" s="2" t="s">
        <v>73</v>
      </c>
      <c r="D26" s="1" t="s">
        <v>22</v>
      </c>
      <c r="E26" s="1" t="s">
        <v>23</v>
      </c>
      <c r="F26" s="2">
        <f>VLOOKUP(C26, 'Pivot Table 2'!$A$1:$B$123, 2, FALSE)</f>
        <v>140000</v>
      </c>
      <c r="G26" s="1">
        <v>0.0</v>
      </c>
      <c r="H26" s="1">
        <v>0.0</v>
      </c>
      <c r="I26" s="1">
        <v>0.0</v>
      </c>
      <c r="J26" s="1">
        <v>0.0</v>
      </c>
      <c r="N26" s="2">
        <f t="shared" si="1"/>
        <v>140000</v>
      </c>
      <c r="T26" s="2">
        <f>VLOOKUP(C26, 'Pivot Table 2'!$A$1:$C$119, 3, FALSE)</f>
        <v>77406.96814</v>
      </c>
      <c r="U26" s="2">
        <f t="shared" si="2"/>
        <v>84000</v>
      </c>
      <c r="V26" s="2">
        <f t="shared" si="3"/>
        <v>500</v>
      </c>
      <c r="W26" s="2">
        <f t="shared" si="4"/>
        <v>4500</v>
      </c>
      <c r="X26" s="2">
        <f t="shared" si="5"/>
        <v>1593.031864</v>
      </c>
    </row>
    <row r="27">
      <c r="A27" s="1">
        <v>26.0</v>
      </c>
      <c r="B27" s="2" t="s">
        <v>74</v>
      </c>
      <c r="C27" s="2" t="s">
        <v>74</v>
      </c>
      <c r="D27" s="1" t="s">
        <v>22</v>
      </c>
      <c r="E27" s="1" t="s">
        <v>23</v>
      </c>
      <c r="F27" s="2">
        <f>VLOOKUP(C27, 'Pivot Table 2'!$A$1:$B$123, 2, FALSE)</f>
        <v>140000</v>
      </c>
      <c r="G27" s="1">
        <v>0.0</v>
      </c>
      <c r="H27" s="1">
        <v>0.0</v>
      </c>
      <c r="I27" s="1">
        <v>0.0</v>
      </c>
      <c r="J27" s="1">
        <v>0.0</v>
      </c>
      <c r="N27" s="2">
        <f t="shared" si="1"/>
        <v>140000</v>
      </c>
      <c r="T27" s="2">
        <f>VLOOKUP(C27, 'Pivot Table 2'!$A$1:$C$119, 3, FALSE)</f>
        <v>77406.96814</v>
      </c>
      <c r="U27" s="2">
        <f t="shared" si="2"/>
        <v>84000</v>
      </c>
      <c r="V27" s="2">
        <f t="shared" si="3"/>
        <v>500</v>
      </c>
      <c r="W27" s="2">
        <f t="shared" si="4"/>
        <v>4500</v>
      </c>
      <c r="X27" s="2">
        <f t="shared" si="5"/>
        <v>1593.031864</v>
      </c>
    </row>
    <row r="28">
      <c r="A28" s="1">
        <v>27.0</v>
      </c>
      <c r="B28" s="2" t="s">
        <v>75</v>
      </c>
      <c r="C28" s="2" t="s">
        <v>75</v>
      </c>
      <c r="D28" s="1" t="s">
        <v>22</v>
      </c>
      <c r="E28" s="1" t="s">
        <v>23</v>
      </c>
      <c r="F28" s="2">
        <f>VLOOKUP(C28, 'Pivot Table 2'!$A$1:$B$123, 2, FALSE)</f>
        <v>5000</v>
      </c>
      <c r="G28" s="1">
        <v>0.0</v>
      </c>
      <c r="H28" s="1">
        <v>0.0</v>
      </c>
      <c r="I28" s="1">
        <v>0.0</v>
      </c>
      <c r="J28" s="1">
        <v>0.0</v>
      </c>
      <c r="N28" s="2">
        <f t="shared" si="1"/>
        <v>5000</v>
      </c>
      <c r="T28" s="2">
        <f>VLOOKUP(C28, 'Pivot Table 2'!$A$1:$C$119, 3, FALSE)</f>
        <v>2736</v>
      </c>
      <c r="U28" s="2">
        <f t="shared" si="2"/>
        <v>3000</v>
      </c>
      <c r="V28" s="2">
        <f t="shared" si="3"/>
        <v>500</v>
      </c>
      <c r="W28" s="2">
        <f t="shared" si="4"/>
        <v>4500</v>
      </c>
      <c r="X28" s="2">
        <f t="shared" si="5"/>
        <v>-4736</v>
      </c>
    </row>
    <row r="29">
      <c r="A29" s="1">
        <v>28.0</v>
      </c>
      <c r="B29" s="2" t="s">
        <v>76</v>
      </c>
      <c r="C29" s="2" t="s">
        <v>76</v>
      </c>
      <c r="D29" s="1" t="s">
        <v>22</v>
      </c>
      <c r="E29" s="1" t="s">
        <v>23</v>
      </c>
      <c r="F29" s="2">
        <f>VLOOKUP(C29, 'Pivot Table 2'!$A$1:$B$123, 2, FALSE)</f>
        <v>5000</v>
      </c>
      <c r="G29" s="1">
        <v>0.0</v>
      </c>
      <c r="H29" s="1">
        <v>0.0</v>
      </c>
      <c r="I29" s="1">
        <v>0.0</v>
      </c>
      <c r="J29" s="1">
        <v>0.0</v>
      </c>
      <c r="N29" s="2">
        <f t="shared" si="1"/>
        <v>5000</v>
      </c>
      <c r="T29" s="2">
        <f>VLOOKUP(C29, 'Pivot Table 2'!$A$1:$C$119, 3, FALSE)</f>
        <v>2736</v>
      </c>
      <c r="U29" s="2">
        <f t="shared" si="2"/>
        <v>3000</v>
      </c>
      <c r="V29" s="2">
        <f t="shared" si="3"/>
        <v>500</v>
      </c>
      <c r="W29" s="2">
        <f t="shared" si="4"/>
        <v>4500</v>
      </c>
      <c r="X29" s="2">
        <f t="shared" si="5"/>
        <v>-4736</v>
      </c>
    </row>
    <row r="30">
      <c r="A30" s="1">
        <v>29.0</v>
      </c>
      <c r="B30" s="2" t="s">
        <v>77</v>
      </c>
      <c r="C30" s="2" t="s">
        <v>77</v>
      </c>
      <c r="D30" s="1" t="s">
        <v>22</v>
      </c>
      <c r="E30" s="1" t="s">
        <v>23</v>
      </c>
      <c r="F30" s="2">
        <f>VLOOKUP(C30, 'Pivot Table 2'!$A$1:$B$123, 2, FALSE)</f>
        <v>5000</v>
      </c>
      <c r="G30" s="1">
        <v>0.0</v>
      </c>
      <c r="H30" s="1">
        <v>0.0</v>
      </c>
      <c r="I30" s="1">
        <v>0.0</v>
      </c>
      <c r="J30" s="1">
        <v>0.0</v>
      </c>
      <c r="N30" s="2">
        <f t="shared" si="1"/>
        <v>5000</v>
      </c>
      <c r="T30" s="2">
        <f>VLOOKUP(C30, 'Pivot Table 2'!$A$1:$C$119, 3, FALSE)</f>
        <v>2736</v>
      </c>
      <c r="U30" s="2">
        <f t="shared" si="2"/>
        <v>3000</v>
      </c>
      <c r="V30" s="2">
        <f t="shared" si="3"/>
        <v>500</v>
      </c>
      <c r="W30" s="2">
        <f t="shared" si="4"/>
        <v>4500</v>
      </c>
      <c r="X30" s="2">
        <f t="shared" si="5"/>
        <v>-4736</v>
      </c>
    </row>
    <row r="31">
      <c r="A31" s="1">
        <v>30.0</v>
      </c>
      <c r="B31" s="2" t="s">
        <v>78</v>
      </c>
      <c r="C31" s="2" t="s">
        <v>78</v>
      </c>
      <c r="D31" s="1" t="s">
        <v>22</v>
      </c>
      <c r="E31" s="1" t="s">
        <v>23</v>
      </c>
      <c r="F31" s="2">
        <f>VLOOKUP(C31, 'Pivot Table 2'!$A$1:$B$123, 2, FALSE)</f>
        <v>5000</v>
      </c>
      <c r="G31" s="1">
        <v>0.0</v>
      </c>
      <c r="H31" s="1">
        <v>0.0</v>
      </c>
      <c r="I31" s="1">
        <v>0.0</v>
      </c>
      <c r="J31" s="1">
        <v>0.0</v>
      </c>
      <c r="N31" s="2">
        <f t="shared" si="1"/>
        <v>5000</v>
      </c>
      <c r="T31" s="2">
        <f>VLOOKUP(C31, 'Pivot Table 2'!$A$1:$C$119, 3, FALSE)</f>
        <v>2736</v>
      </c>
      <c r="U31" s="2">
        <f t="shared" si="2"/>
        <v>3000</v>
      </c>
      <c r="V31" s="2">
        <f t="shared" si="3"/>
        <v>500</v>
      </c>
      <c r="W31" s="2">
        <f t="shared" si="4"/>
        <v>4500</v>
      </c>
      <c r="X31" s="2">
        <f t="shared" si="5"/>
        <v>-4736</v>
      </c>
    </row>
    <row r="32">
      <c r="A32" s="1">
        <v>31.0</v>
      </c>
      <c r="B32" s="2" t="s">
        <v>79</v>
      </c>
      <c r="C32" s="2" t="s">
        <v>79</v>
      </c>
      <c r="D32" s="1" t="s">
        <v>22</v>
      </c>
      <c r="E32" s="1" t="s">
        <v>23</v>
      </c>
      <c r="F32" s="2">
        <f>VLOOKUP(C32, 'Pivot Table 2'!$A$1:$B$123, 2, FALSE)</f>
        <v>5000</v>
      </c>
      <c r="G32" s="1">
        <v>0.0</v>
      </c>
      <c r="H32" s="1">
        <v>0.0</v>
      </c>
      <c r="I32" s="1">
        <v>0.0</v>
      </c>
      <c r="J32" s="1">
        <v>0.0</v>
      </c>
      <c r="N32" s="2">
        <f t="shared" si="1"/>
        <v>5000</v>
      </c>
      <c r="T32" s="2">
        <f>VLOOKUP(C32, 'Pivot Table 2'!$A$1:$C$119, 3, FALSE)</f>
        <v>2736</v>
      </c>
      <c r="U32" s="2">
        <f t="shared" si="2"/>
        <v>3000</v>
      </c>
      <c r="V32" s="2">
        <f t="shared" si="3"/>
        <v>500</v>
      </c>
      <c r="W32" s="2">
        <f t="shared" si="4"/>
        <v>4500</v>
      </c>
      <c r="X32" s="2">
        <f t="shared" si="5"/>
        <v>-4736</v>
      </c>
    </row>
    <row r="33">
      <c r="A33" s="1">
        <v>32.0</v>
      </c>
      <c r="B33" s="2" t="s">
        <v>80</v>
      </c>
      <c r="C33" s="2" t="s">
        <v>80</v>
      </c>
      <c r="D33" s="1" t="s">
        <v>22</v>
      </c>
      <c r="E33" s="1" t="s">
        <v>23</v>
      </c>
      <c r="F33" s="2">
        <f>VLOOKUP(C33, 'Pivot Table 2'!$A$1:$B$123, 2, FALSE)</f>
        <v>5000</v>
      </c>
      <c r="G33" s="1">
        <v>0.0</v>
      </c>
      <c r="H33" s="1">
        <v>0.0</v>
      </c>
      <c r="I33" s="1">
        <v>0.0</v>
      </c>
      <c r="J33" s="1">
        <v>0.0</v>
      </c>
      <c r="N33" s="2">
        <f t="shared" si="1"/>
        <v>5000</v>
      </c>
      <c r="T33" s="2">
        <f>VLOOKUP(C33, 'Pivot Table 2'!$A$1:$C$119, 3, FALSE)</f>
        <v>2736</v>
      </c>
      <c r="U33" s="2">
        <f t="shared" si="2"/>
        <v>3000</v>
      </c>
      <c r="V33" s="2">
        <f t="shared" si="3"/>
        <v>500</v>
      </c>
      <c r="W33" s="2">
        <f t="shared" si="4"/>
        <v>4500</v>
      </c>
      <c r="X33" s="2">
        <f t="shared" si="5"/>
        <v>-4736</v>
      </c>
    </row>
    <row r="34">
      <c r="A34" s="1">
        <v>33.0</v>
      </c>
      <c r="B34" s="2" t="s">
        <v>81</v>
      </c>
      <c r="C34" s="2" t="s">
        <v>81</v>
      </c>
      <c r="D34" s="1" t="s">
        <v>22</v>
      </c>
      <c r="E34" s="1" t="s">
        <v>23</v>
      </c>
      <c r="F34" s="2">
        <f>VLOOKUP(C34, 'Pivot Table 2'!$A$1:$B$123, 2, FALSE)</f>
        <v>5000</v>
      </c>
      <c r="G34" s="1">
        <v>0.0</v>
      </c>
      <c r="H34" s="1">
        <v>0.0</v>
      </c>
      <c r="I34" s="1">
        <v>0.0</v>
      </c>
      <c r="J34" s="1">
        <v>0.0</v>
      </c>
      <c r="N34" s="2">
        <f t="shared" si="1"/>
        <v>5000</v>
      </c>
      <c r="T34" s="2">
        <f>VLOOKUP(C34, 'Pivot Table 2'!$A$1:$C$119, 3, FALSE)</f>
        <v>2736</v>
      </c>
      <c r="U34" s="2">
        <f t="shared" si="2"/>
        <v>3000</v>
      </c>
      <c r="V34" s="2">
        <f t="shared" si="3"/>
        <v>500</v>
      </c>
      <c r="W34" s="2">
        <f t="shared" si="4"/>
        <v>4500</v>
      </c>
      <c r="X34" s="2">
        <f t="shared" si="5"/>
        <v>-4736</v>
      </c>
    </row>
    <row r="35">
      <c r="A35" s="1">
        <v>34.0</v>
      </c>
      <c r="B35" s="2" t="s">
        <v>82</v>
      </c>
      <c r="C35" s="2" t="s">
        <v>82</v>
      </c>
      <c r="D35" s="1" t="s">
        <v>22</v>
      </c>
      <c r="E35" s="1" t="s">
        <v>23</v>
      </c>
      <c r="F35" s="2">
        <f>VLOOKUP(C35, 'Pivot Table 2'!$A$1:$B$123, 2, FALSE)</f>
        <v>5000</v>
      </c>
      <c r="G35" s="1">
        <v>0.0</v>
      </c>
      <c r="H35" s="1">
        <v>0.0</v>
      </c>
      <c r="I35" s="1">
        <v>0.0</v>
      </c>
      <c r="J35" s="1">
        <v>0.0</v>
      </c>
      <c r="N35" s="2">
        <f t="shared" si="1"/>
        <v>5000</v>
      </c>
      <c r="T35" s="2">
        <f>VLOOKUP(C35, 'Pivot Table 2'!$A$1:$C$119, 3, FALSE)</f>
        <v>2736</v>
      </c>
      <c r="U35" s="2">
        <f t="shared" si="2"/>
        <v>3000</v>
      </c>
      <c r="V35" s="2">
        <f t="shared" si="3"/>
        <v>500</v>
      </c>
      <c r="W35" s="2">
        <f t="shared" si="4"/>
        <v>4500</v>
      </c>
      <c r="X35" s="2">
        <f t="shared" si="5"/>
        <v>-4736</v>
      </c>
    </row>
    <row r="36">
      <c r="A36" s="1">
        <v>35.0</v>
      </c>
      <c r="B36" s="2" t="s">
        <v>83</v>
      </c>
      <c r="C36" s="2" t="s">
        <v>83</v>
      </c>
      <c r="D36" s="1" t="s">
        <v>22</v>
      </c>
      <c r="E36" s="1" t="s">
        <v>23</v>
      </c>
      <c r="F36" s="2">
        <f>VLOOKUP(C36, 'Pivot Table 2'!$A$1:$B$123, 2, FALSE)</f>
        <v>5000</v>
      </c>
      <c r="G36" s="1">
        <v>0.0</v>
      </c>
      <c r="H36" s="1">
        <v>0.0</v>
      </c>
      <c r="I36" s="1">
        <v>0.0</v>
      </c>
      <c r="J36" s="1">
        <v>0.0</v>
      </c>
      <c r="N36" s="2">
        <f t="shared" si="1"/>
        <v>5000</v>
      </c>
      <c r="T36" s="2">
        <f>VLOOKUP(C36, 'Pivot Table 2'!$A$1:$C$119, 3, FALSE)</f>
        <v>2736</v>
      </c>
      <c r="U36" s="2">
        <f t="shared" si="2"/>
        <v>3000</v>
      </c>
      <c r="V36" s="2">
        <f t="shared" si="3"/>
        <v>500</v>
      </c>
      <c r="W36" s="2">
        <f t="shared" si="4"/>
        <v>4500</v>
      </c>
      <c r="X36" s="2">
        <f t="shared" si="5"/>
        <v>-4736</v>
      </c>
    </row>
    <row r="37">
      <c r="A37" s="1">
        <v>36.0</v>
      </c>
      <c r="B37" s="2" t="s">
        <v>84</v>
      </c>
      <c r="C37" s="2" t="s">
        <v>84</v>
      </c>
      <c r="D37" s="1" t="s">
        <v>22</v>
      </c>
      <c r="E37" s="1" t="s">
        <v>23</v>
      </c>
      <c r="F37" s="2">
        <f>VLOOKUP(C37, 'Pivot Table 2'!$A$1:$B$123, 2, FALSE)</f>
        <v>5000</v>
      </c>
      <c r="G37" s="1">
        <v>0.0</v>
      </c>
      <c r="H37" s="1">
        <v>0.0</v>
      </c>
      <c r="I37" s="1">
        <v>0.0</v>
      </c>
      <c r="J37" s="1">
        <v>0.0</v>
      </c>
      <c r="N37" s="2">
        <f t="shared" si="1"/>
        <v>5000</v>
      </c>
      <c r="T37" s="2">
        <f>VLOOKUP(C37, 'Pivot Table 2'!$A$1:$C$119, 3, FALSE)</f>
        <v>2736</v>
      </c>
      <c r="U37" s="2">
        <f t="shared" si="2"/>
        <v>3000</v>
      </c>
      <c r="V37" s="2">
        <f t="shared" si="3"/>
        <v>500</v>
      </c>
      <c r="W37" s="2">
        <f t="shared" si="4"/>
        <v>4500</v>
      </c>
      <c r="X37" s="2">
        <f t="shared" si="5"/>
        <v>-4736</v>
      </c>
    </row>
    <row r="38">
      <c r="A38" s="1">
        <v>37.0</v>
      </c>
      <c r="B38" s="2" t="s">
        <v>85</v>
      </c>
      <c r="C38" s="2" t="s">
        <v>85</v>
      </c>
      <c r="D38" s="1" t="s">
        <v>22</v>
      </c>
      <c r="E38" s="1" t="s">
        <v>23</v>
      </c>
      <c r="F38" s="2">
        <f>VLOOKUP(C38, 'Pivot Table 2'!$A$1:$B$123, 2, FALSE)</f>
        <v>5000</v>
      </c>
      <c r="G38" s="1">
        <v>0.0</v>
      </c>
      <c r="H38" s="1">
        <v>0.0</v>
      </c>
      <c r="I38" s="1">
        <v>0.0</v>
      </c>
      <c r="J38" s="1">
        <v>0.0</v>
      </c>
      <c r="N38" s="2">
        <f t="shared" si="1"/>
        <v>5000</v>
      </c>
      <c r="T38" s="2">
        <f>VLOOKUP(C38, 'Pivot Table 2'!$A$1:$C$119, 3, FALSE)</f>
        <v>2736</v>
      </c>
      <c r="U38" s="2">
        <f t="shared" si="2"/>
        <v>3000</v>
      </c>
      <c r="V38" s="2">
        <f t="shared" si="3"/>
        <v>500</v>
      </c>
      <c r="W38" s="2">
        <f t="shared" si="4"/>
        <v>4500</v>
      </c>
      <c r="X38" s="2">
        <f t="shared" si="5"/>
        <v>-4736</v>
      </c>
    </row>
    <row r="39">
      <c r="A39" s="1">
        <v>38.0</v>
      </c>
      <c r="B39" s="2" t="s">
        <v>86</v>
      </c>
      <c r="C39" s="2" t="s">
        <v>86</v>
      </c>
      <c r="D39" s="1" t="s">
        <v>22</v>
      </c>
      <c r="E39" s="1" t="s">
        <v>23</v>
      </c>
      <c r="F39" s="2">
        <f>VLOOKUP(C39, 'Pivot Table 2'!$A$1:$B$123, 2, FALSE)</f>
        <v>5000</v>
      </c>
      <c r="G39" s="1">
        <v>0.0</v>
      </c>
      <c r="H39" s="1">
        <v>0.0</v>
      </c>
      <c r="I39" s="1">
        <v>0.0</v>
      </c>
      <c r="J39" s="1">
        <v>0.0</v>
      </c>
      <c r="N39" s="2">
        <f t="shared" si="1"/>
        <v>5000</v>
      </c>
      <c r="T39" s="2">
        <f>VLOOKUP(C39, 'Pivot Table 2'!$A$1:$C$119, 3, FALSE)</f>
        <v>2736</v>
      </c>
      <c r="U39" s="2">
        <f t="shared" si="2"/>
        <v>3000</v>
      </c>
      <c r="V39" s="2">
        <f t="shared" si="3"/>
        <v>500</v>
      </c>
      <c r="W39" s="2">
        <f t="shared" si="4"/>
        <v>4500</v>
      </c>
      <c r="X39" s="2">
        <f t="shared" si="5"/>
        <v>-4736</v>
      </c>
    </row>
    <row r="40">
      <c r="A40" s="1">
        <v>39.0</v>
      </c>
      <c r="B40" s="2" t="s">
        <v>87</v>
      </c>
      <c r="C40" s="2" t="s">
        <v>87</v>
      </c>
      <c r="D40" s="1" t="s">
        <v>22</v>
      </c>
      <c r="E40" s="1" t="s">
        <v>23</v>
      </c>
      <c r="F40" s="2">
        <f>VLOOKUP(C40, 'Pivot Table 2'!$A$1:$B$123, 2, FALSE)</f>
        <v>5000</v>
      </c>
      <c r="G40" s="1">
        <v>0.0</v>
      </c>
      <c r="H40" s="1">
        <v>0.0</v>
      </c>
      <c r="I40" s="1">
        <v>0.0</v>
      </c>
      <c r="J40" s="1">
        <v>0.0</v>
      </c>
      <c r="N40" s="2">
        <f t="shared" si="1"/>
        <v>5000</v>
      </c>
      <c r="T40" s="2">
        <f>VLOOKUP(C40, 'Pivot Table 2'!$A$1:$C$119, 3, FALSE)</f>
        <v>2736</v>
      </c>
      <c r="U40" s="2">
        <f t="shared" si="2"/>
        <v>3000</v>
      </c>
      <c r="V40" s="2">
        <f t="shared" si="3"/>
        <v>500</v>
      </c>
      <c r="W40" s="2">
        <f t="shared" si="4"/>
        <v>4500</v>
      </c>
      <c r="X40" s="2">
        <f t="shared" si="5"/>
        <v>-4736</v>
      </c>
    </row>
    <row r="41">
      <c r="A41" s="1">
        <v>40.0</v>
      </c>
      <c r="B41" s="2" t="s">
        <v>88</v>
      </c>
      <c r="C41" s="2" t="s">
        <v>88</v>
      </c>
      <c r="D41" s="1" t="s">
        <v>22</v>
      </c>
      <c r="E41" s="1" t="s">
        <v>23</v>
      </c>
      <c r="F41" s="2">
        <f>VLOOKUP(C41, 'Pivot Table 2'!$A$1:$B$123, 2, FALSE)</f>
        <v>5000</v>
      </c>
      <c r="G41" s="1">
        <v>0.0</v>
      </c>
      <c r="H41" s="1">
        <v>0.0</v>
      </c>
      <c r="I41" s="1">
        <v>0.0</v>
      </c>
      <c r="J41" s="1">
        <v>0.0</v>
      </c>
      <c r="N41" s="2">
        <f t="shared" si="1"/>
        <v>5000</v>
      </c>
      <c r="T41" s="2">
        <f>VLOOKUP(C41, 'Pivot Table 2'!$A$1:$C$119, 3, FALSE)</f>
        <v>2736</v>
      </c>
      <c r="U41" s="2">
        <f t="shared" si="2"/>
        <v>3000</v>
      </c>
      <c r="V41" s="2">
        <f t="shared" si="3"/>
        <v>500</v>
      </c>
      <c r="W41" s="2">
        <f t="shared" si="4"/>
        <v>4500</v>
      </c>
      <c r="X41" s="2">
        <f t="shared" si="5"/>
        <v>-4736</v>
      </c>
    </row>
    <row r="42">
      <c r="A42" s="1">
        <v>41.0</v>
      </c>
      <c r="B42" s="2" t="s">
        <v>89</v>
      </c>
      <c r="C42" s="2" t="s">
        <v>89</v>
      </c>
      <c r="D42" s="1" t="s">
        <v>22</v>
      </c>
      <c r="E42" s="1" t="s">
        <v>23</v>
      </c>
      <c r="F42" s="2">
        <f>VLOOKUP(C42, 'Pivot Table 2'!$A$1:$B$123, 2, FALSE)</f>
        <v>5000</v>
      </c>
      <c r="G42" s="1">
        <v>0.0</v>
      </c>
      <c r="H42" s="1">
        <v>0.0</v>
      </c>
      <c r="I42" s="1">
        <v>0.0</v>
      </c>
      <c r="J42" s="1">
        <v>0.0</v>
      </c>
      <c r="N42" s="2">
        <f t="shared" si="1"/>
        <v>5000</v>
      </c>
      <c r="T42" s="2">
        <f>VLOOKUP(C42, 'Pivot Table 2'!$A$1:$C$119, 3, FALSE)</f>
        <v>2736</v>
      </c>
      <c r="U42" s="2">
        <f t="shared" si="2"/>
        <v>3000</v>
      </c>
      <c r="V42" s="2">
        <f t="shared" si="3"/>
        <v>500</v>
      </c>
      <c r="W42" s="2">
        <f t="shared" si="4"/>
        <v>4500</v>
      </c>
      <c r="X42" s="2">
        <f t="shared" si="5"/>
        <v>-4736</v>
      </c>
    </row>
    <row r="43">
      <c r="A43" s="1">
        <v>42.0</v>
      </c>
      <c r="B43" s="2" t="s">
        <v>90</v>
      </c>
      <c r="C43" s="2" t="s">
        <v>90</v>
      </c>
      <c r="D43" s="1" t="s">
        <v>22</v>
      </c>
      <c r="E43" s="1" t="s">
        <v>23</v>
      </c>
      <c r="F43" s="2">
        <f>VLOOKUP(C43, 'Pivot Table 2'!$A$1:$B$123, 2, FALSE)</f>
        <v>5000</v>
      </c>
      <c r="G43" s="1">
        <v>0.0</v>
      </c>
      <c r="H43" s="1">
        <v>0.0</v>
      </c>
      <c r="I43" s="1">
        <v>0.0</v>
      </c>
      <c r="J43" s="1">
        <v>0.0</v>
      </c>
      <c r="N43" s="2">
        <f t="shared" si="1"/>
        <v>5000</v>
      </c>
      <c r="T43" s="2">
        <f>VLOOKUP(C43, 'Pivot Table 2'!$A$1:$C$119, 3, FALSE)</f>
        <v>2736</v>
      </c>
      <c r="U43" s="2">
        <f t="shared" si="2"/>
        <v>3000</v>
      </c>
      <c r="V43" s="2">
        <f t="shared" si="3"/>
        <v>500</v>
      </c>
      <c r="W43" s="2">
        <f t="shared" si="4"/>
        <v>4500</v>
      </c>
      <c r="X43" s="2">
        <f t="shared" si="5"/>
        <v>-4736</v>
      </c>
    </row>
    <row r="44">
      <c r="A44" s="1">
        <v>43.0</v>
      </c>
      <c r="B44" s="2" t="s">
        <v>91</v>
      </c>
      <c r="C44" s="2" t="s">
        <v>91</v>
      </c>
      <c r="D44" s="1" t="s">
        <v>22</v>
      </c>
      <c r="E44" s="1" t="s">
        <v>23</v>
      </c>
      <c r="F44" s="2">
        <f>VLOOKUP(C44, 'Pivot Table 2'!$A$1:$B$123, 2, FALSE)</f>
        <v>5000</v>
      </c>
      <c r="G44" s="1">
        <v>0.0</v>
      </c>
      <c r="H44" s="1">
        <v>0.0</v>
      </c>
      <c r="I44" s="1">
        <v>0.0</v>
      </c>
      <c r="J44" s="1">
        <v>0.0</v>
      </c>
      <c r="N44" s="2">
        <f t="shared" si="1"/>
        <v>5000</v>
      </c>
      <c r="T44" s="2">
        <f>VLOOKUP(C44, 'Pivot Table 2'!$A$1:$C$119, 3, FALSE)</f>
        <v>2736</v>
      </c>
      <c r="U44" s="2">
        <f t="shared" si="2"/>
        <v>3000</v>
      </c>
      <c r="V44" s="2">
        <f t="shared" si="3"/>
        <v>500</v>
      </c>
      <c r="W44" s="2">
        <f t="shared" si="4"/>
        <v>4500</v>
      </c>
      <c r="X44" s="2">
        <f t="shared" si="5"/>
        <v>-4736</v>
      </c>
    </row>
    <row r="45">
      <c r="A45" s="1">
        <v>44.0</v>
      </c>
      <c r="B45" s="2" t="s">
        <v>92</v>
      </c>
      <c r="C45" s="2" t="s">
        <v>92</v>
      </c>
      <c r="D45" s="1" t="s">
        <v>22</v>
      </c>
      <c r="E45" s="1" t="s">
        <v>23</v>
      </c>
      <c r="F45" s="2">
        <f>VLOOKUP(C45, 'Pivot Table 2'!$A$1:$B$123, 2, FALSE)</f>
        <v>5000</v>
      </c>
      <c r="G45" s="1">
        <v>0.0</v>
      </c>
      <c r="H45" s="1">
        <v>0.0</v>
      </c>
      <c r="I45" s="1">
        <v>0.0</v>
      </c>
      <c r="J45" s="1">
        <v>0.0</v>
      </c>
      <c r="N45" s="2">
        <f t="shared" si="1"/>
        <v>5000</v>
      </c>
      <c r="T45" s="2">
        <f>VLOOKUP(C45, 'Pivot Table 2'!$A$1:$C$119, 3, FALSE)</f>
        <v>2736</v>
      </c>
      <c r="U45" s="2">
        <f t="shared" si="2"/>
        <v>3000</v>
      </c>
      <c r="V45" s="2">
        <f t="shared" si="3"/>
        <v>500</v>
      </c>
      <c r="W45" s="2">
        <f t="shared" si="4"/>
        <v>4500</v>
      </c>
      <c r="X45" s="2">
        <f t="shared" si="5"/>
        <v>-4736</v>
      </c>
    </row>
    <row r="46">
      <c r="A46" s="1">
        <v>45.0</v>
      </c>
      <c r="B46" s="2" t="s">
        <v>93</v>
      </c>
      <c r="C46" s="2" t="s">
        <v>93</v>
      </c>
      <c r="D46" s="1" t="s">
        <v>22</v>
      </c>
      <c r="E46" s="1" t="s">
        <v>23</v>
      </c>
      <c r="F46" s="2">
        <f>VLOOKUP(C46, 'Pivot Table 2'!$A$1:$B$123, 2, FALSE)</f>
        <v>5000</v>
      </c>
      <c r="G46" s="1">
        <v>0.0</v>
      </c>
      <c r="H46" s="1">
        <v>0.0</v>
      </c>
      <c r="I46" s="1">
        <v>0.0</v>
      </c>
      <c r="J46" s="1">
        <v>0.0</v>
      </c>
      <c r="N46" s="2">
        <f t="shared" si="1"/>
        <v>5000</v>
      </c>
      <c r="T46" s="2">
        <f>VLOOKUP(C46, 'Pivot Table 2'!$A$1:$C$119, 3, FALSE)</f>
        <v>2736</v>
      </c>
      <c r="U46" s="2">
        <f t="shared" si="2"/>
        <v>3000</v>
      </c>
      <c r="V46" s="2">
        <f t="shared" si="3"/>
        <v>500</v>
      </c>
      <c r="W46" s="2">
        <f t="shared" si="4"/>
        <v>4500</v>
      </c>
      <c r="X46" s="2">
        <f t="shared" si="5"/>
        <v>-4736</v>
      </c>
    </row>
    <row r="47">
      <c r="A47" s="1">
        <v>46.0</v>
      </c>
      <c r="B47" s="2" t="s">
        <v>94</v>
      </c>
      <c r="C47" s="2" t="s">
        <v>94</v>
      </c>
      <c r="D47" s="1" t="s">
        <v>22</v>
      </c>
      <c r="E47" s="1" t="s">
        <v>23</v>
      </c>
      <c r="F47" s="2">
        <f>VLOOKUP(C47, 'Pivot Table 2'!$A$1:$B$123, 2, FALSE)</f>
        <v>5000</v>
      </c>
      <c r="G47" s="1">
        <v>0.0</v>
      </c>
      <c r="H47" s="1">
        <v>0.0</v>
      </c>
      <c r="I47" s="1">
        <v>0.0</v>
      </c>
      <c r="J47" s="1">
        <v>0.0</v>
      </c>
      <c r="N47" s="2">
        <f t="shared" si="1"/>
        <v>5000</v>
      </c>
      <c r="T47" s="2">
        <f>VLOOKUP(C47, 'Pivot Table 2'!$A$1:$C$119, 3, FALSE)</f>
        <v>2736</v>
      </c>
      <c r="U47" s="2">
        <f t="shared" si="2"/>
        <v>3000</v>
      </c>
      <c r="V47" s="2">
        <f t="shared" si="3"/>
        <v>500</v>
      </c>
      <c r="W47" s="2">
        <f t="shared" si="4"/>
        <v>4500</v>
      </c>
      <c r="X47" s="2">
        <f t="shared" si="5"/>
        <v>-4736</v>
      </c>
    </row>
    <row r="48">
      <c r="A48" s="1">
        <v>47.0</v>
      </c>
      <c r="B48" s="2" t="s">
        <v>95</v>
      </c>
      <c r="C48" s="2" t="s">
        <v>95</v>
      </c>
      <c r="D48" s="1" t="s">
        <v>22</v>
      </c>
      <c r="E48" s="1" t="s">
        <v>23</v>
      </c>
      <c r="F48" s="2">
        <f>VLOOKUP(C48, 'Pivot Table 2'!$A$1:$B$123, 2, FALSE)</f>
        <v>5000</v>
      </c>
      <c r="G48" s="1">
        <v>0.0</v>
      </c>
      <c r="H48" s="1">
        <v>0.0</v>
      </c>
      <c r="I48" s="1">
        <v>0.0</v>
      </c>
      <c r="J48" s="1">
        <v>0.0</v>
      </c>
      <c r="N48" s="2">
        <f t="shared" si="1"/>
        <v>5000</v>
      </c>
      <c r="T48" s="2">
        <f>VLOOKUP(C48, 'Pivot Table 2'!$A$1:$C$119, 3, FALSE)</f>
        <v>2736</v>
      </c>
      <c r="U48" s="2">
        <f t="shared" si="2"/>
        <v>3000</v>
      </c>
      <c r="V48" s="2">
        <f t="shared" si="3"/>
        <v>500</v>
      </c>
      <c r="W48" s="2">
        <f t="shared" si="4"/>
        <v>4500</v>
      </c>
      <c r="X48" s="2">
        <f t="shared" si="5"/>
        <v>-4736</v>
      </c>
    </row>
    <row r="49">
      <c r="A49" s="1">
        <v>48.0</v>
      </c>
      <c r="B49" s="2" t="s">
        <v>96</v>
      </c>
      <c r="C49" s="2" t="s">
        <v>96</v>
      </c>
      <c r="D49" s="1" t="s">
        <v>22</v>
      </c>
      <c r="E49" s="1" t="s">
        <v>23</v>
      </c>
      <c r="F49" s="2">
        <f>VLOOKUP(C49, 'Pivot Table 2'!$A$1:$B$123, 2, FALSE)</f>
        <v>5000</v>
      </c>
      <c r="G49" s="1">
        <v>0.0</v>
      </c>
      <c r="H49" s="1">
        <v>0.0</v>
      </c>
      <c r="I49" s="1">
        <v>0.0</v>
      </c>
      <c r="J49" s="1">
        <v>0.0</v>
      </c>
      <c r="N49" s="2">
        <f t="shared" si="1"/>
        <v>5000</v>
      </c>
      <c r="T49" s="2">
        <f>VLOOKUP(C49, 'Pivot Table 2'!$A$1:$C$119, 3, FALSE)</f>
        <v>2736</v>
      </c>
      <c r="U49" s="2">
        <f t="shared" si="2"/>
        <v>3000</v>
      </c>
      <c r="V49" s="2">
        <f t="shared" si="3"/>
        <v>500</v>
      </c>
      <c r="W49" s="2">
        <f t="shared" si="4"/>
        <v>4500</v>
      </c>
      <c r="X49" s="2">
        <f t="shared" si="5"/>
        <v>-4736</v>
      </c>
    </row>
    <row r="50">
      <c r="A50" s="1">
        <v>49.0</v>
      </c>
      <c r="B50" s="2" t="s">
        <v>97</v>
      </c>
      <c r="C50" s="2" t="s">
        <v>97</v>
      </c>
      <c r="D50" s="1" t="s">
        <v>22</v>
      </c>
      <c r="E50" s="1" t="s">
        <v>23</v>
      </c>
      <c r="F50" s="2">
        <f>VLOOKUP(C50, 'Pivot Table 2'!$A$1:$B$123, 2, FALSE)</f>
        <v>5000</v>
      </c>
      <c r="G50" s="1">
        <v>0.0</v>
      </c>
      <c r="H50" s="1">
        <v>0.0</v>
      </c>
      <c r="I50" s="1">
        <v>0.0</v>
      </c>
      <c r="J50" s="1">
        <v>0.0</v>
      </c>
      <c r="N50" s="2">
        <f t="shared" si="1"/>
        <v>5000</v>
      </c>
      <c r="T50" s="2">
        <f>VLOOKUP(C50, 'Pivot Table 2'!$A$1:$C$119, 3, FALSE)</f>
        <v>2736</v>
      </c>
      <c r="U50" s="2">
        <f t="shared" si="2"/>
        <v>3000</v>
      </c>
      <c r="V50" s="2">
        <f t="shared" si="3"/>
        <v>500</v>
      </c>
      <c r="W50" s="2">
        <f t="shared" si="4"/>
        <v>4500</v>
      </c>
      <c r="X50" s="2">
        <f t="shared" si="5"/>
        <v>-4736</v>
      </c>
    </row>
    <row r="51">
      <c r="A51" s="1">
        <v>50.0</v>
      </c>
      <c r="B51" s="2" t="s">
        <v>98</v>
      </c>
      <c r="C51" s="2" t="s">
        <v>98</v>
      </c>
      <c r="D51" s="1" t="s">
        <v>22</v>
      </c>
      <c r="E51" s="1" t="s">
        <v>23</v>
      </c>
      <c r="F51" s="2">
        <f>VLOOKUP(C51, 'Pivot Table 2'!$A$1:$B$123, 2, FALSE)</f>
        <v>5000</v>
      </c>
      <c r="G51" s="1">
        <v>0.0</v>
      </c>
      <c r="H51" s="1">
        <v>0.0</v>
      </c>
      <c r="I51" s="1">
        <v>0.0</v>
      </c>
      <c r="J51" s="1">
        <v>0.0</v>
      </c>
      <c r="N51" s="2">
        <f t="shared" si="1"/>
        <v>5000</v>
      </c>
      <c r="T51" s="2">
        <f>VLOOKUP(C51, 'Pivot Table 2'!$A$1:$C$119, 3, FALSE)</f>
        <v>2736</v>
      </c>
      <c r="U51" s="2">
        <f t="shared" si="2"/>
        <v>3000</v>
      </c>
      <c r="V51" s="2">
        <f t="shared" si="3"/>
        <v>500</v>
      </c>
      <c r="W51" s="2">
        <f t="shared" si="4"/>
        <v>4500</v>
      </c>
      <c r="X51" s="2">
        <f t="shared" si="5"/>
        <v>-4736</v>
      </c>
    </row>
    <row r="52">
      <c r="A52" s="1">
        <v>51.0</v>
      </c>
      <c r="B52" s="2" t="s">
        <v>99</v>
      </c>
      <c r="C52" s="2" t="s">
        <v>99</v>
      </c>
      <c r="D52" s="1" t="s">
        <v>22</v>
      </c>
      <c r="E52" s="1" t="s">
        <v>23</v>
      </c>
      <c r="F52" s="2">
        <f>VLOOKUP(C52, 'Pivot Table 2'!$A$1:$B$123, 2, FALSE)</f>
        <v>5000</v>
      </c>
      <c r="G52" s="1">
        <v>0.0</v>
      </c>
      <c r="H52" s="1">
        <v>0.0</v>
      </c>
      <c r="I52" s="1">
        <v>0.0</v>
      </c>
      <c r="J52" s="1">
        <v>0.0</v>
      </c>
      <c r="N52" s="2">
        <f t="shared" si="1"/>
        <v>5000</v>
      </c>
      <c r="T52" s="2">
        <f>VLOOKUP(C52, 'Pivot Table 2'!$A$1:$C$119, 3, FALSE)</f>
        <v>2736</v>
      </c>
      <c r="U52" s="2">
        <f t="shared" si="2"/>
        <v>3000</v>
      </c>
      <c r="V52" s="2">
        <f t="shared" si="3"/>
        <v>500</v>
      </c>
      <c r="W52" s="2">
        <f t="shared" si="4"/>
        <v>4500</v>
      </c>
      <c r="X52" s="2">
        <f t="shared" si="5"/>
        <v>-4736</v>
      </c>
    </row>
    <row r="53">
      <c r="A53" s="1">
        <v>52.0</v>
      </c>
      <c r="B53" s="2" t="s">
        <v>100</v>
      </c>
      <c r="C53" s="2" t="s">
        <v>100</v>
      </c>
      <c r="D53" s="1" t="s">
        <v>22</v>
      </c>
      <c r="E53" s="1" t="s">
        <v>23</v>
      </c>
      <c r="F53" s="2">
        <f>VLOOKUP(C53, 'Pivot Table 2'!$A$1:$B$123, 2, FALSE)</f>
        <v>5000</v>
      </c>
      <c r="G53" s="1">
        <v>0.0</v>
      </c>
      <c r="H53" s="1">
        <v>0.0</v>
      </c>
      <c r="I53" s="1">
        <v>0.0</v>
      </c>
      <c r="J53" s="1">
        <v>0.0</v>
      </c>
      <c r="N53" s="2">
        <f t="shared" si="1"/>
        <v>5000</v>
      </c>
      <c r="T53" s="2">
        <f>VLOOKUP(C53, 'Pivot Table 2'!$A$1:$C$119, 3, FALSE)</f>
        <v>2736</v>
      </c>
      <c r="U53" s="2">
        <f t="shared" si="2"/>
        <v>3000</v>
      </c>
      <c r="V53" s="2">
        <f t="shared" si="3"/>
        <v>500</v>
      </c>
      <c r="W53" s="2">
        <f t="shared" si="4"/>
        <v>4500</v>
      </c>
      <c r="X53" s="2">
        <f t="shared" si="5"/>
        <v>-4736</v>
      </c>
    </row>
    <row r="54">
      <c r="A54" s="1">
        <v>53.0</v>
      </c>
      <c r="B54" s="2" t="s">
        <v>101</v>
      </c>
      <c r="C54" s="2" t="s">
        <v>101</v>
      </c>
      <c r="D54" s="1" t="s">
        <v>22</v>
      </c>
      <c r="E54" s="1" t="s">
        <v>23</v>
      </c>
      <c r="F54" s="2">
        <f>VLOOKUP(C54, 'Pivot Table 2'!$A$1:$B$123, 2, FALSE)</f>
        <v>5000</v>
      </c>
      <c r="G54" s="1">
        <v>0.0</v>
      </c>
      <c r="H54" s="1">
        <v>0.0</v>
      </c>
      <c r="I54" s="1">
        <v>0.0</v>
      </c>
      <c r="J54" s="1">
        <v>0.0</v>
      </c>
      <c r="N54" s="2">
        <f t="shared" si="1"/>
        <v>5000</v>
      </c>
      <c r="T54" s="2">
        <f>VLOOKUP(C54, 'Pivot Table 2'!$A$1:$C$119, 3, FALSE)</f>
        <v>2736</v>
      </c>
      <c r="U54" s="2">
        <f t="shared" si="2"/>
        <v>3000</v>
      </c>
      <c r="V54" s="2">
        <f t="shared" si="3"/>
        <v>500</v>
      </c>
      <c r="W54" s="2">
        <f t="shared" si="4"/>
        <v>4500</v>
      </c>
      <c r="X54" s="2">
        <f t="shared" si="5"/>
        <v>-4736</v>
      </c>
    </row>
    <row r="55">
      <c r="A55" s="1">
        <v>54.0</v>
      </c>
      <c r="B55" s="2" t="s">
        <v>102</v>
      </c>
      <c r="C55" s="2" t="s">
        <v>102</v>
      </c>
      <c r="D55" s="1" t="s">
        <v>22</v>
      </c>
      <c r="E55" s="1" t="s">
        <v>23</v>
      </c>
      <c r="F55" s="2">
        <f>VLOOKUP(C55, 'Pivot Table 2'!$A$1:$B$123, 2, FALSE)</f>
        <v>5000</v>
      </c>
      <c r="G55" s="1">
        <v>0.0</v>
      </c>
      <c r="H55" s="1">
        <v>0.0</v>
      </c>
      <c r="I55" s="1">
        <v>0.0</v>
      </c>
      <c r="J55" s="1">
        <v>0.0</v>
      </c>
      <c r="N55" s="2">
        <f t="shared" si="1"/>
        <v>5000</v>
      </c>
      <c r="T55" s="2">
        <f>VLOOKUP(C55, 'Pivot Table 2'!$A$1:$C$119, 3, FALSE)</f>
        <v>2736</v>
      </c>
      <c r="U55" s="2">
        <f t="shared" si="2"/>
        <v>3000</v>
      </c>
      <c r="V55" s="2">
        <f t="shared" si="3"/>
        <v>500</v>
      </c>
      <c r="W55" s="2">
        <f t="shared" si="4"/>
        <v>4500</v>
      </c>
      <c r="X55" s="2">
        <f t="shared" si="5"/>
        <v>-4736</v>
      </c>
    </row>
    <row r="56">
      <c r="A56" s="1">
        <v>55.0</v>
      </c>
      <c r="B56" s="2" t="s">
        <v>103</v>
      </c>
      <c r="C56" s="2" t="s">
        <v>103</v>
      </c>
      <c r="D56" s="1" t="s">
        <v>22</v>
      </c>
      <c r="E56" s="1" t="s">
        <v>23</v>
      </c>
      <c r="F56" s="2">
        <f>VLOOKUP(C56, 'Pivot Table 2'!$A$1:$B$123, 2, FALSE)</f>
        <v>5000</v>
      </c>
      <c r="G56" s="1">
        <v>0.0</v>
      </c>
      <c r="H56" s="1">
        <v>0.0</v>
      </c>
      <c r="I56" s="1">
        <v>0.0</v>
      </c>
      <c r="J56" s="1">
        <v>0.0</v>
      </c>
      <c r="N56" s="2">
        <f t="shared" si="1"/>
        <v>5000</v>
      </c>
      <c r="T56" s="2">
        <f>VLOOKUP(C56, 'Pivot Table 2'!$A$1:$C$119, 3, FALSE)</f>
        <v>2736</v>
      </c>
      <c r="U56" s="2">
        <f t="shared" si="2"/>
        <v>3000</v>
      </c>
      <c r="V56" s="2">
        <f t="shared" si="3"/>
        <v>500</v>
      </c>
      <c r="W56" s="2">
        <f t="shared" si="4"/>
        <v>4500</v>
      </c>
      <c r="X56" s="2">
        <f t="shared" si="5"/>
        <v>-4736</v>
      </c>
    </row>
    <row r="57">
      <c r="A57" s="1">
        <v>56.0</v>
      </c>
      <c r="B57" s="8" t="s">
        <v>104</v>
      </c>
      <c r="C57" s="2" t="s">
        <v>105</v>
      </c>
      <c r="D57" s="1" t="s">
        <v>23</v>
      </c>
      <c r="E57" s="1" t="s">
        <v>23</v>
      </c>
      <c r="F57" s="2">
        <f>VLOOKUP(C57, 'Pivot Table 2'!$A$1:$B$123, 2, FALSE)</f>
        <v>40000</v>
      </c>
      <c r="G57" s="1">
        <v>0.0</v>
      </c>
      <c r="H57" s="1">
        <v>0.0</v>
      </c>
      <c r="I57" s="1">
        <v>0.0</v>
      </c>
      <c r="J57" s="1">
        <v>0.0</v>
      </c>
      <c r="K57" s="1">
        <v>2.0</v>
      </c>
      <c r="L57" s="1">
        <v>0.0</v>
      </c>
      <c r="M57" s="1" t="s">
        <v>55</v>
      </c>
      <c r="N57" s="2">
        <f t="shared" si="1"/>
        <v>42000</v>
      </c>
      <c r="O57" s="1" t="s">
        <v>47</v>
      </c>
      <c r="P57" s="1" t="s">
        <v>22</v>
      </c>
      <c r="Q57" s="1">
        <v>0.0</v>
      </c>
      <c r="R57" s="6" t="s">
        <v>106</v>
      </c>
      <c r="S57" s="1">
        <v>0.0</v>
      </c>
      <c r="T57" s="2">
        <f>VLOOKUP(C57, 'Pivot Table 2'!$A$1:$C$119, 3, FALSE)</f>
        <v>20771.28814</v>
      </c>
      <c r="U57" s="2">
        <f t="shared" si="2"/>
        <v>24000</v>
      </c>
      <c r="V57" s="2">
        <f t="shared" si="3"/>
        <v>500</v>
      </c>
      <c r="W57" s="2">
        <f t="shared" si="4"/>
        <v>4500</v>
      </c>
      <c r="X57" s="2">
        <f t="shared" si="5"/>
        <v>-1771.288136</v>
      </c>
      <c r="Y57" s="4">
        <f t="shared" ref="Y57:Y60" si="11">35%</f>
        <v>0.35</v>
      </c>
    </row>
    <row r="58">
      <c r="A58" s="1">
        <v>57.0</v>
      </c>
      <c r="B58" s="3" t="s">
        <v>107</v>
      </c>
      <c r="C58" s="2" t="s">
        <v>108</v>
      </c>
      <c r="D58" s="1" t="s">
        <v>23</v>
      </c>
      <c r="E58" s="1" t="s">
        <v>23</v>
      </c>
      <c r="F58" s="2">
        <f>VLOOKUP(C58, 'Pivot Table 2'!$A$1:$B$123, 2, FALSE)</f>
        <v>40000</v>
      </c>
      <c r="G58" s="1">
        <v>0.0</v>
      </c>
      <c r="H58" s="1">
        <v>0.0</v>
      </c>
      <c r="I58" s="1">
        <v>0.0</v>
      </c>
      <c r="J58" s="1">
        <v>0.0</v>
      </c>
      <c r="K58" s="1">
        <v>2.0</v>
      </c>
      <c r="L58" s="1">
        <v>0.0</v>
      </c>
      <c r="M58" s="1" t="s">
        <v>109</v>
      </c>
      <c r="N58" s="2">
        <f t="shared" si="1"/>
        <v>42000</v>
      </c>
      <c r="O58" s="1" t="s">
        <v>47</v>
      </c>
      <c r="P58" s="1" t="s">
        <v>22</v>
      </c>
      <c r="Q58" s="1">
        <v>0.0</v>
      </c>
      <c r="R58" s="6" t="s">
        <v>110</v>
      </c>
      <c r="S58" s="1">
        <v>0.0</v>
      </c>
      <c r="T58" s="2">
        <f>VLOOKUP(C58, 'Pivot Table 2'!$A$1:$C$119, 3, FALSE)</f>
        <v>19876.37288</v>
      </c>
      <c r="U58" s="2">
        <f t="shared" si="2"/>
        <v>24000</v>
      </c>
      <c r="V58" s="2">
        <f t="shared" si="3"/>
        <v>500</v>
      </c>
      <c r="W58" s="2">
        <f t="shared" si="4"/>
        <v>4500</v>
      </c>
      <c r="X58" s="2">
        <f t="shared" si="5"/>
        <v>-876.3728814</v>
      </c>
      <c r="Y58" s="4">
        <f t="shared" si="11"/>
        <v>0.35</v>
      </c>
    </row>
    <row r="59">
      <c r="A59" s="1">
        <v>58.0</v>
      </c>
      <c r="B59" s="8" t="s">
        <v>111</v>
      </c>
      <c r="C59" s="2" t="s">
        <v>112</v>
      </c>
      <c r="D59" s="1" t="s">
        <v>23</v>
      </c>
      <c r="E59" s="1" t="s">
        <v>23</v>
      </c>
      <c r="F59" s="2">
        <f>VLOOKUP(C59, 'Pivot Table 2'!$A$1:$B$123, 2, FALSE)</f>
        <v>42000</v>
      </c>
      <c r="G59" s="1">
        <v>0.0</v>
      </c>
      <c r="H59" s="1">
        <v>0.0</v>
      </c>
      <c r="I59" s="1">
        <v>0.0</v>
      </c>
      <c r="J59" s="1">
        <v>2.0</v>
      </c>
      <c r="K59" s="1">
        <v>0.0</v>
      </c>
      <c r="L59" s="1">
        <v>0.0</v>
      </c>
      <c r="M59" s="1" t="s">
        <v>6</v>
      </c>
      <c r="N59" s="2">
        <f t="shared" si="1"/>
        <v>44000</v>
      </c>
      <c r="O59" s="1" t="s">
        <v>34</v>
      </c>
      <c r="P59" s="1" t="s">
        <v>22</v>
      </c>
      <c r="Q59" s="5" t="s">
        <v>38</v>
      </c>
      <c r="R59" s="1">
        <v>0.0</v>
      </c>
      <c r="S59" s="1">
        <v>0.0</v>
      </c>
      <c r="T59" s="2">
        <f>VLOOKUP(C59, 'Pivot Table 2'!$A$1:$C$119, 3, FALSE)</f>
        <v>22210.74576</v>
      </c>
      <c r="U59" s="2">
        <f t="shared" si="2"/>
        <v>25200</v>
      </c>
      <c r="V59" s="2">
        <f t="shared" si="3"/>
        <v>500</v>
      </c>
      <c r="W59" s="2">
        <f t="shared" si="4"/>
        <v>4500</v>
      </c>
      <c r="X59" s="2">
        <f t="shared" si="5"/>
        <v>-2010.745763</v>
      </c>
      <c r="Y59" s="4">
        <f t="shared" si="11"/>
        <v>0.35</v>
      </c>
    </row>
    <row r="60">
      <c r="A60" s="1">
        <v>59.0</v>
      </c>
      <c r="B60" s="3" t="s">
        <v>113</v>
      </c>
      <c r="C60" s="1" t="s">
        <v>114</v>
      </c>
      <c r="D60" s="1" t="s">
        <v>23</v>
      </c>
      <c r="E60" s="1" t="s">
        <v>23</v>
      </c>
      <c r="F60" s="2">
        <f>VLOOKUP(C60, 'Pivot Table 2'!$A$1:$B$123, 2, FALSE)</f>
        <v>37000</v>
      </c>
      <c r="G60" s="1">
        <v>0.0</v>
      </c>
      <c r="H60" s="1">
        <v>0.0</v>
      </c>
      <c r="I60" s="1">
        <v>0.0</v>
      </c>
      <c r="J60" s="1">
        <v>2.0</v>
      </c>
      <c r="K60" s="1">
        <v>0.0</v>
      </c>
      <c r="L60" s="1">
        <v>0.0</v>
      </c>
      <c r="M60" s="1" t="s">
        <v>109</v>
      </c>
      <c r="N60" s="2">
        <f t="shared" si="1"/>
        <v>39000</v>
      </c>
      <c r="O60" s="1" t="s">
        <v>34</v>
      </c>
      <c r="P60" s="1" t="s">
        <v>22</v>
      </c>
      <c r="Q60" s="5" t="s">
        <v>115</v>
      </c>
      <c r="R60" s="1">
        <v>0.0</v>
      </c>
      <c r="S60" s="1">
        <v>0.0</v>
      </c>
      <c r="T60" s="2">
        <f>VLOOKUP(C60, 'Pivot Table 2'!$A$1:$C$119, 3, FALSE)</f>
        <v>18185.9322</v>
      </c>
      <c r="U60" s="2">
        <f t="shared" si="2"/>
        <v>22200</v>
      </c>
      <c r="V60" s="2">
        <f t="shared" si="3"/>
        <v>500</v>
      </c>
      <c r="W60" s="2">
        <f t="shared" si="4"/>
        <v>4500</v>
      </c>
      <c r="X60" s="2">
        <f t="shared" si="5"/>
        <v>-985.9322034</v>
      </c>
      <c r="Y60" s="4">
        <f t="shared" si="11"/>
        <v>0.35</v>
      </c>
    </row>
    <row r="61">
      <c r="A61" s="1">
        <v>60.0</v>
      </c>
      <c r="B61" s="2" t="s">
        <v>116</v>
      </c>
      <c r="C61" s="2" t="s">
        <v>116</v>
      </c>
      <c r="D61" s="1" t="s">
        <v>22</v>
      </c>
      <c r="E61" s="1" t="s">
        <v>23</v>
      </c>
      <c r="F61" s="2">
        <f>VLOOKUP(C61, 'Pivot Table 2'!$A$1:$B$123, 2, FALSE)</f>
        <v>5000</v>
      </c>
      <c r="G61" s="1">
        <v>0.0</v>
      </c>
      <c r="H61" s="1">
        <v>0.0</v>
      </c>
      <c r="I61" s="1">
        <v>0.0</v>
      </c>
      <c r="J61" s="1">
        <v>0.0</v>
      </c>
      <c r="N61" s="2">
        <f t="shared" si="1"/>
        <v>5000</v>
      </c>
      <c r="T61" s="2">
        <f>VLOOKUP(C61, 'Pivot Table 2'!$A$1:$C$119, 3, FALSE)</f>
        <v>2736</v>
      </c>
      <c r="U61" s="2">
        <f t="shared" si="2"/>
        <v>3000</v>
      </c>
      <c r="V61" s="2">
        <f t="shared" si="3"/>
        <v>500</v>
      </c>
      <c r="W61" s="2">
        <f t="shared" si="4"/>
        <v>4500</v>
      </c>
      <c r="X61" s="2">
        <f t="shared" si="5"/>
        <v>-4736</v>
      </c>
    </row>
    <row r="62">
      <c r="A62" s="1">
        <v>61.0</v>
      </c>
      <c r="B62" s="3" t="s">
        <v>117</v>
      </c>
      <c r="C62" s="2" t="s">
        <v>118</v>
      </c>
      <c r="D62" s="1" t="s">
        <v>23</v>
      </c>
      <c r="E62" s="1" t="s">
        <v>23</v>
      </c>
      <c r="F62" s="2">
        <f>VLOOKUP(C62, 'Pivot Table 2'!$A$1:$B$123, 2, FALSE)</f>
        <v>32700</v>
      </c>
      <c r="G62" s="1">
        <v>0.0</v>
      </c>
      <c r="H62" s="1">
        <v>0.0</v>
      </c>
      <c r="I62" s="1">
        <v>1.0</v>
      </c>
      <c r="J62" s="1">
        <v>0.0</v>
      </c>
      <c r="K62" s="1">
        <v>0.0</v>
      </c>
      <c r="L62" s="1">
        <v>0.0</v>
      </c>
      <c r="M62" s="1" t="s">
        <v>29</v>
      </c>
      <c r="N62" s="2">
        <f t="shared" si="1"/>
        <v>34200</v>
      </c>
      <c r="O62" s="1" t="s">
        <v>119</v>
      </c>
      <c r="P62" s="1" t="s">
        <v>22</v>
      </c>
      <c r="Q62" s="1">
        <v>0.0</v>
      </c>
      <c r="R62" s="1">
        <v>0.0</v>
      </c>
      <c r="S62" s="1">
        <v>0.0</v>
      </c>
      <c r="T62" s="2">
        <f>VLOOKUP(C62, 'Pivot Table 2'!$A$1:$C$119, 3, FALSE)</f>
        <v>17431.16136</v>
      </c>
      <c r="U62" s="2">
        <f t="shared" si="2"/>
        <v>19620</v>
      </c>
      <c r="V62" s="2">
        <f t="shared" si="3"/>
        <v>500</v>
      </c>
      <c r="W62" s="2">
        <f t="shared" si="4"/>
        <v>4500</v>
      </c>
      <c r="X62" s="2">
        <f t="shared" si="5"/>
        <v>-2811.161356</v>
      </c>
      <c r="Y62" s="11">
        <v>0.25</v>
      </c>
    </row>
    <row r="63">
      <c r="A63" s="1">
        <v>62.0</v>
      </c>
      <c r="B63" s="3" t="s">
        <v>120</v>
      </c>
      <c r="C63" s="2" t="s">
        <v>121</v>
      </c>
      <c r="D63" s="1" t="s">
        <v>23</v>
      </c>
      <c r="E63" s="1" t="s">
        <v>23</v>
      </c>
      <c r="F63" s="2">
        <f>VLOOKUP(C63, 'Pivot Table 2'!$A$1:$B$123, 2, FALSE)</f>
        <v>32700</v>
      </c>
      <c r="G63" s="1">
        <v>0.0</v>
      </c>
      <c r="H63" s="1">
        <v>0.0</v>
      </c>
      <c r="I63" s="1">
        <v>1.0</v>
      </c>
      <c r="J63" s="1">
        <v>0.0</v>
      </c>
      <c r="K63" s="1">
        <v>0.0</v>
      </c>
      <c r="L63" s="1">
        <v>0.0</v>
      </c>
      <c r="M63" s="1" t="s">
        <v>29</v>
      </c>
      <c r="N63" s="2">
        <f t="shared" si="1"/>
        <v>34200</v>
      </c>
      <c r="O63" s="1" t="s">
        <v>34</v>
      </c>
      <c r="P63" s="1" t="s">
        <v>22</v>
      </c>
      <c r="Q63" s="1">
        <v>0.0</v>
      </c>
      <c r="R63" s="1">
        <v>0.0</v>
      </c>
      <c r="S63" s="1">
        <v>0.0</v>
      </c>
      <c r="T63" s="2">
        <f>VLOOKUP(C63, 'Pivot Table 2'!$A$1:$C$119, 3, FALSE)</f>
        <v>17431.16136</v>
      </c>
      <c r="U63" s="2">
        <f t="shared" si="2"/>
        <v>19620</v>
      </c>
      <c r="V63" s="2">
        <f t="shared" si="3"/>
        <v>500</v>
      </c>
      <c r="W63" s="2">
        <f t="shared" si="4"/>
        <v>4500</v>
      </c>
      <c r="X63" s="2">
        <f t="shared" si="5"/>
        <v>-2811.161356</v>
      </c>
      <c r="Y63" s="11">
        <v>0.25</v>
      </c>
    </row>
    <row r="64">
      <c r="A64" s="1">
        <v>63.0</v>
      </c>
      <c r="B64" s="2" t="s">
        <v>122</v>
      </c>
      <c r="C64" s="2" t="s">
        <v>122</v>
      </c>
      <c r="D64" s="1" t="s">
        <v>22</v>
      </c>
      <c r="E64" s="1" t="s">
        <v>23</v>
      </c>
      <c r="F64" s="2">
        <f>VLOOKUP(C64, 'Pivot Table 2'!$A$1:$B$123, 2, FALSE)</f>
        <v>5000</v>
      </c>
      <c r="G64" s="1">
        <v>0.0</v>
      </c>
      <c r="H64" s="1">
        <v>0.0</v>
      </c>
      <c r="I64" s="1">
        <v>0.0</v>
      </c>
      <c r="J64" s="1">
        <v>0.0</v>
      </c>
      <c r="N64" s="2">
        <f t="shared" si="1"/>
        <v>5000</v>
      </c>
      <c r="T64" s="2">
        <f>VLOOKUP(C64, 'Pivot Table 2'!$A$1:$C$119, 3, FALSE)</f>
        <v>2736</v>
      </c>
      <c r="U64" s="2">
        <f t="shared" si="2"/>
        <v>3000</v>
      </c>
      <c r="V64" s="2">
        <f t="shared" si="3"/>
        <v>500</v>
      </c>
      <c r="W64" s="2">
        <f t="shared" si="4"/>
        <v>4500</v>
      </c>
      <c r="X64" s="2">
        <f t="shared" si="5"/>
        <v>-4736</v>
      </c>
    </row>
    <row r="65">
      <c r="A65" s="1">
        <v>64.0</v>
      </c>
      <c r="B65" s="2" t="s">
        <v>123</v>
      </c>
      <c r="C65" s="2" t="s">
        <v>123</v>
      </c>
      <c r="D65" s="1" t="s">
        <v>22</v>
      </c>
      <c r="E65" s="1" t="s">
        <v>23</v>
      </c>
      <c r="F65" s="2">
        <f>VLOOKUP(C65, 'Pivot Table 2'!$A$1:$B$123, 2, FALSE)</f>
        <v>5000</v>
      </c>
      <c r="G65" s="1">
        <v>0.0</v>
      </c>
      <c r="H65" s="1">
        <v>0.0</v>
      </c>
      <c r="I65" s="1">
        <v>0.0</v>
      </c>
      <c r="J65" s="1">
        <v>0.0</v>
      </c>
      <c r="N65" s="2">
        <f t="shared" si="1"/>
        <v>5000</v>
      </c>
      <c r="T65" s="2">
        <f>VLOOKUP(C65, 'Pivot Table 2'!$A$1:$C$119, 3, FALSE)</f>
        <v>2736</v>
      </c>
      <c r="U65" s="2">
        <f t="shared" si="2"/>
        <v>3000</v>
      </c>
      <c r="V65" s="2">
        <f t="shared" si="3"/>
        <v>500</v>
      </c>
      <c r="W65" s="2">
        <f t="shared" si="4"/>
        <v>4500</v>
      </c>
      <c r="X65" s="2">
        <f t="shared" si="5"/>
        <v>-4736</v>
      </c>
    </row>
    <row r="66">
      <c r="A66" s="1">
        <v>65.0</v>
      </c>
      <c r="B66" s="3" t="s">
        <v>124</v>
      </c>
      <c r="C66" s="2" t="s">
        <v>125</v>
      </c>
      <c r="D66" s="1" t="s">
        <v>23</v>
      </c>
      <c r="E66" s="1" t="s">
        <v>23</v>
      </c>
      <c r="F66" s="2">
        <f>VLOOKUP(C66, 'Pivot Table 2'!$A$1:$B$123, 2, FALSE)</f>
        <v>49500</v>
      </c>
      <c r="G66" s="1">
        <v>0.0</v>
      </c>
      <c r="H66" s="1">
        <v>0.0</v>
      </c>
      <c r="I66" s="1">
        <v>0.0</v>
      </c>
      <c r="J66" s="1">
        <v>1.0</v>
      </c>
      <c r="K66" s="1">
        <v>1.0</v>
      </c>
      <c r="L66" s="1">
        <v>1.0</v>
      </c>
      <c r="M66" s="1" t="s">
        <v>55</v>
      </c>
      <c r="N66" s="2">
        <f t="shared" si="1"/>
        <v>52500</v>
      </c>
      <c r="O66" s="1" t="s">
        <v>119</v>
      </c>
      <c r="P66" s="1" t="s">
        <v>23</v>
      </c>
      <c r="Q66" s="5" t="s">
        <v>56</v>
      </c>
      <c r="R66" s="6" t="s">
        <v>106</v>
      </c>
      <c r="S66" s="9" t="s">
        <v>126</v>
      </c>
      <c r="T66" s="2">
        <f>VLOOKUP(C66, 'Pivot Table 2'!$A$1:$C$119, 3, FALSE)</f>
        <v>23123.28814</v>
      </c>
      <c r="U66" s="2">
        <f t="shared" si="2"/>
        <v>29700</v>
      </c>
      <c r="V66" s="2">
        <f t="shared" si="3"/>
        <v>500</v>
      </c>
      <c r="W66" s="2">
        <f t="shared" si="4"/>
        <v>4500</v>
      </c>
      <c r="X66" s="2">
        <f t="shared" si="5"/>
        <v>1576.711864</v>
      </c>
      <c r="Y66" s="4">
        <f>40%</f>
        <v>0.4</v>
      </c>
    </row>
    <row r="67">
      <c r="A67" s="1">
        <v>66.0</v>
      </c>
      <c r="B67" s="3" t="s">
        <v>127</v>
      </c>
      <c r="C67" s="2" t="s">
        <v>128</v>
      </c>
      <c r="D67" s="1" t="s">
        <v>23</v>
      </c>
      <c r="E67" s="1" t="s">
        <v>23</v>
      </c>
      <c r="F67" s="2">
        <f>VLOOKUP(C67, 'Pivot Table 2'!$A$1:$B$123, 2, FALSE)</f>
        <v>9000</v>
      </c>
      <c r="G67" s="1">
        <v>0.0</v>
      </c>
      <c r="H67" s="1">
        <v>0.0</v>
      </c>
      <c r="I67" s="1">
        <v>0.0</v>
      </c>
      <c r="J67" s="1">
        <v>1.0</v>
      </c>
      <c r="K67" s="1">
        <v>1.0</v>
      </c>
      <c r="L67" s="1">
        <v>1.0</v>
      </c>
      <c r="M67" s="1" t="s">
        <v>55</v>
      </c>
      <c r="N67" s="2">
        <f t="shared" si="1"/>
        <v>12000</v>
      </c>
      <c r="O67" s="1" t="s">
        <v>42</v>
      </c>
      <c r="P67" s="1" t="s">
        <v>22</v>
      </c>
      <c r="Q67" s="5" t="s">
        <v>56</v>
      </c>
      <c r="R67" s="6" t="s">
        <v>106</v>
      </c>
      <c r="S67" s="9" t="s">
        <v>126</v>
      </c>
      <c r="T67" s="2">
        <f>VLOOKUP(C67, 'Pivot Table 2'!$A$1:$C$119, 3, FALSE)</f>
        <v>3986</v>
      </c>
      <c r="U67" s="2">
        <f t="shared" si="2"/>
        <v>5400</v>
      </c>
      <c r="V67" s="2">
        <f t="shared" si="3"/>
        <v>500</v>
      </c>
      <c r="W67" s="2">
        <f t="shared" si="4"/>
        <v>4500</v>
      </c>
      <c r="X67" s="10">
        <f t="shared" si="5"/>
        <v>-3586</v>
      </c>
    </row>
    <row r="68">
      <c r="A68" s="1">
        <v>67.0</v>
      </c>
      <c r="B68" s="2" t="s">
        <v>129</v>
      </c>
      <c r="C68" s="2" t="s">
        <v>129</v>
      </c>
      <c r="D68" s="1" t="s">
        <v>22</v>
      </c>
      <c r="E68" s="1" t="s">
        <v>23</v>
      </c>
      <c r="F68" s="2">
        <f>VLOOKUP(C68, 'Pivot Table 2'!$A$1:$B$123, 2, FALSE)</f>
        <v>5000</v>
      </c>
      <c r="G68" s="1">
        <v>0.0</v>
      </c>
      <c r="H68" s="1">
        <v>0.0</v>
      </c>
      <c r="I68" s="1">
        <v>0.0</v>
      </c>
      <c r="J68" s="1">
        <v>0.0</v>
      </c>
      <c r="N68" s="2">
        <f t="shared" si="1"/>
        <v>5000</v>
      </c>
      <c r="T68" s="2">
        <f>VLOOKUP(C68, 'Pivot Table 2'!$A$1:$C$119, 3, FALSE)</f>
        <v>2736</v>
      </c>
      <c r="U68" s="2">
        <f t="shared" si="2"/>
        <v>3000</v>
      </c>
      <c r="V68" s="2">
        <f t="shared" si="3"/>
        <v>500</v>
      </c>
      <c r="W68" s="2">
        <f t="shared" si="4"/>
        <v>4500</v>
      </c>
      <c r="X68" s="2">
        <f t="shared" si="5"/>
        <v>-4736</v>
      </c>
    </row>
    <row r="69">
      <c r="A69" s="1">
        <v>68.0</v>
      </c>
      <c r="B69" s="2" t="s">
        <v>130</v>
      </c>
      <c r="C69" s="2" t="s">
        <v>130</v>
      </c>
      <c r="D69" s="1" t="s">
        <v>22</v>
      </c>
      <c r="E69" s="1" t="s">
        <v>23</v>
      </c>
      <c r="F69" s="2">
        <f>VLOOKUP(C69, 'Pivot Table 2'!$A$1:$B$123, 2, FALSE)</f>
        <v>5000</v>
      </c>
      <c r="G69" s="1">
        <v>0.0</v>
      </c>
      <c r="H69" s="1">
        <v>0.0</v>
      </c>
      <c r="I69" s="1">
        <v>0.0</v>
      </c>
      <c r="J69" s="1">
        <v>0.0</v>
      </c>
      <c r="N69" s="2">
        <f t="shared" si="1"/>
        <v>5000</v>
      </c>
      <c r="T69" s="2">
        <f>VLOOKUP(C69, 'Pivot Table 2'!$A$1:$C$119, 3, FALSE)</f>
        <v>2736</v>
      </c>
      <c r="U69" s="2">
        <f t="shared" si="2"/>
        <v>3000</v>
      </c>
      <c r="V69" s="2">
        <f t="shared" si="3"/>
        <v>500</v>
      </c>
      <c r="W69" s="2">
        <f t="shared" si="4"/>
        <v>4500</v>
      </c>
      <c r="X69" s="2">
        <f t="shared" si="5"/>
        <v>-4736</v>
      </c>
    </row>
    <row r="70">
      <c r="A70" s="1">
        <v>69.0</v>
      </c>
      <c r="B70" s="2" t="s">
        <v>131</v>
      </c>
      <c r="C70" s="2" t="s">
        <v>131</v>
      </c>
      <c r="D70" s="1" t="s">
        <v>22</v>
      </c>
      <c r="E70" s="1" t="s">
        <v>23</v>
      </c>
      <c r="F70" s="2">
        <f>VLOOKUP(C70, 'Pivot Table 2'!$A$1:$B$123, 2, FALSE)</f>
        <v>5000</v>
      </c>
      <c r="G70" s="1">
        <v>0.0</v>
      </c>
      <c r="H70" s="1">
        <v>0.0</v>
      </c>
      <c r="I70" s="1">
        <v>0.0</v>
      </c>
      <c r="J70" s="1">
        <v>0.0</v>
      </c>
      <c r="N70" s="2">
        <f t="shared" si="1"/>
        <v>5000</v>
      </c>
      <c r="T70" s="2">
        <f>VLOOKUP(C70, 'Pivot Table 2'!$A$1:$C$119, 3, FALSE)</f>
        <v>2736</v>
      </c>
      <c r="U70" s="2">
        <f t="shared" si="2"/>
        <v>3000</v>
      </c>
      <c r="V70" s="2">
        <f t="shared" si="3"/>
        <v>500</v>
      </c>
      <c r="W70" s="2">
        <f t="shared" si="4"/>
        <v>4500</v>
      </c>
      <c r="X70" s="2">
        <f t="shared" si="5"/>
        <v>-4736</v>
      </c>
    </row>
    <row r="71">
      <c r="A71" s="1">
        <v>70.0</v>
      </c>
      <c r="B71" s="2" t="s">
        <v>132</v>
      </c>
      <c r="C71" s="2" t="s">
        <v>132</v>
      </c>
      <c r="D71" s="1" t="s">
        <v>22</v>
      </c>
      <c r="E71" s="1" t="s">
        <v>23</v>
      </c>
      <c r="F71" s="2">
        <f>VLOOKUP(C71, 'Pivot Table 2'!$A$1:$B$123, 2, FALSE)</f>
        <v>5000</v>
      </c>
      <c r="G71" s="1">
        <v>0.0</v>
      </c>
      <c r="H71" s="1">
        <v>0.0</v>
      </c>
      <c r="I71" s="1">
        <v>0.0</v>
      </c>
      <c r="J71" s="1">
        <v>0.0</v>
      </c>
      <c r="N71" s="2">
        <f t="shared" si="1"/>
        <v>5000</v>
      </c>
      <c r="T71" s="2">
        <f>VLOOKUP(C71, 'Pivot Table 2'!$A$1:$C$119, 3, FALSE)</f>
        <v>2736</v>
      </c>
      <c r="U71" s="2">
        <f t="shared" si="2"/>
        <v>3000</v>
      </c>
      <c r="V71" s="2">
        <f t="shared" si="3"/>
        <v>500</v>
      </c>
      <c r="W71" s="2">
        <f t="shared" si="4"/>
        <v>4500</v>
      </c>
      <c r="X71" s="2">
        <f t="shared" si="5"/>
        <v>-4736</v>
      </c>
    </row>
    <row r="72">
      <c r="A72" s="1">
        <v>71.0</v>
      </c>
      <c r="B72" s="2" t="s">
        <v>133</v>
      </c>
      <c r="C72" s="2" t="s">
        <v>133</v>
      </c>
      <c r="D72" s="1" t="s">
        <v>22</v>
      </c>
      <c r="E72" s="1" t="s">
        <v>23</v>
      </c>
      <c r="F72" s="2">
        <f>VLOOKUP(C72, 'Pivot Table 2'!$A$1:$B$123, 2, FALSE)</f>
        <v>5000</v>
      </c>
      <c r="G72" s="1">
        <v>0.0</v>
      </c>
      <c r="H72" s="1">
        <v>0.0</v>
      </c>
      <c r="I72" s="1">
        <v>0.0</v>
      </c>
      <c r="J72" s="1">
        <v>0.0</v>
      </c>
      <c r="N72" s="2">
        <f t="shared" si="1"/>
        <v>5000</v>
      </c>
      <c r="T72" s="2">
        <f>VLOOKUP(C72, 'Pivot Table 2'!$A$1:$C$119, 3, FALSE)</f>
        <v>2736</v>
      </c>
      <c r="U72" s="2">
        <f t="shared" si="2"/>
        <v>3000</v>
      </c>
      <c r="V72" s="2">
        <f t="shared" si="3"/>
        <v>500</v>
      </c>
      <c r="W72" s="2">
        <f t="shared" si="4"/>
        <v>4500</v>
      </c>
      <c r="X72" s="2">
        <f t="shared" si="5"/>
        <v>-4736</v>
      </c>
    </row>
    <row r="73">
      <c r="A73" s="1">
        <v>72.0</v>
      </c>
      <c r="B73" s="2" t="s">
        <v>134</v>
      </c>
      <c r="C73" s="2" t="s">
        <v>134</v>
      </c>
      <c r="D73" s="1" t="s">
        <v>22</v>
      </c>
      <c r="E73" s="1" t="s">
        <v>23</v>
      </c>
      <c r="F73" s="2">
        <f>VLOOKUP(C73, 'Pivot Table 2'!$A$1:$B$123, 2, FALSE)</f>
        <v>5000</v>
      </c>
      <c r="G73" s="1">
        <v>0.0</v>
      </c>
      <c r="H73" s="1">
        <v>0.0</v>
      </c>
      <c r="I73" s="1">
        <v>0.0</v>
      </c>
      <c r="J73" s="1">
        <v>0.0</v>
      </c>
      <c r="N73" s="2">
        <f t="shared" si="1"/>
        <v>5000</v>
      </c>
      <c r="T73" s="2">
        <f>VLOOKUP(C73, 'Pivot Table 2'!$A$1:$C$119, 3, FALSE)</f>
        <v>2736</v>
      </c>
      <c r="U73" s="2">
        <f t="shared" si="2"/>
        <v>3000</v>
      </c>
      <c r="V73" s="2">
        <f t="shared" si="3"/>
        <v>500</v>
      </c>
      <c r="W73" s="2">
        <f t="shared" si="4"/>
        <v>4500</v>
      </c>
      <c r="X73" s="2">
        <f t="shared" si="5"/>
        <v>-4736</v>
      </c>
    </row>
    <row r="74">
      <c r="A74" s="1">
        <v>73.0</v>
      </c>
      <c r="B74" s="2" t="s">
        <v>135</v>
      </c>
      <c r="C74" s="2" t="s">
        <v>135</v>
      </c>
      <c r="D74" s="1" t="s">
        <v>22</v>
      </c>
      <c r="E74" s="1" t="s">
        <v>23</v>
      </c>
      <c r="F74" s="2">
        <f>VLOOKUP(C74, 'Pivot Table 2'!$A$1:$B$123, 2, FALSE)</f>
        <v>5000</v>
      </c>
      <c r="G74" s="1">
        <v>0.0</v>
      </c>
      <c r="H74" s="1">
        <v>0.0</v>
      </c>
      <c r="I74" s="1">
        <v>0.0</v>
      </c>
      <c r="J74" s="1">
        <v>0.0</v>
      </c>
      <c r="N74" s="2">
        <f t="shared" si="1"/>
        <v>5000</v>
      </c>
      <c r="T74" s="2">
        <f>VLOOKUP(C74, 'Pivot Table 2'!$A$1:$C$119, 3, FALSE)</f>
        <v>2736</v>
      </c>
      <c r="U74" s="2">
        <f t="shared" si="2"/>
        <v>3000</v>
      </c>
      <c r="V74" s="2">
        <f t="shared" si="3"/>
        <v>500</v>
      </c>
      <c r="W74" s="2">
        <f t="shared" si="4"/>
        <v>4500</v>
      </c>
      <c r="X74" s="2">
        <f t="shared" si="5"/>
        <v>-4736</v>
      </c>
    </row>
    <row r="75">
      <c r="A75" s="1">
        <v>74.0</v>
      </c>
      <c r="B75" s="2" t="s">
        <v>136</v>
      </c>
      <c r="C75" s="2" t="s">
        <v>136</v>
      </c>
      <c r="D75" s="1" t="s">
        <v>22</v>
      </c>
      <c r="E75" s="1" t="s">
        <v>23</v>
      </c>
      <c r="F75" s="2">
        <f>VLOOKUP(C75, 'Pivot Table 2'!$A$1:$B$123, 2, FALSE)</f>
        <v>5000</v>
      </c>
      <c r="G75" s="1">
        <v>0.0</v>
      </c>
      <c r="H75" s="1">
        <v>0.0</v>
      </c>
      <c r="I75" s="1">
        <v>0.0</v>
      </c>
      <c r="J75" s="1">
        <v>0.0</v>
      </c>
      <c r="N75" s="2">
        <f t="shared" si="1"/>
        <v>5000</v>
      </c>
      <c r="T75" s="2">
        <f>VLOOKUP(C75, 'Pivot Table 2'!$A$1:$C$119, 3, FALSE)</f>
        <v>2736</v>
      </c>
      <c r="U75" s="2">
        <f t="shared" si="2"/>
        <v>3000</v>
      </c>
      <c r="V75" s="2">
        <f t="shared" si="3"/>
        <v>500</v>
      </c>
      <c r="W75" s="2">
        <f t="shared" si="4"/>
        <v>4500</v>
      </c>
      <c r="X75" s="2">
        <f t="shared" si="5"/>
        <v>-4736</v>
      </c>
    </row>
    <row r="76">
      <c r="A76" s="1">
        <v>75.0</v>
      </c>
      <c r="B76" s="1" t="s">
        <v>137</v>
      </c>
      <c r="C76" s="2" t="s">
        <v>138</v>
      </c>
      <c r="D76" s="1" t="s">
        <v>23</v>
      </c>
      <c r="E76" s="1" t="s">
        <v>23</v>
      </c>
      <c r="F76" s="2">
        <f>VLOOKUP(C76, 'Pivot Table 2'!$A$1:$B$123, 2, FALSE)</f>
        <v>44500</v>
      </c>
      <c r="G76" s="1">
        <v>0.0</v>
      </c>
      <c r="H76" s="1">
        <v>0.0</v>
      </c>
      <c r="I76" s="1">
        <v>0.0</v>
      </c>
      <c r="J76" s="1">
        <v>0.0</v>
      </c>
      <c r="N76" s="2">
        <f t="shared" si="1"/>
        <v>44500</v>
      </c>
      <c r="T76" s="2">
        <f>VLOOKUP(C76, 'Pivot Table 2'!$A$1:$C$119, 3, FALSE)</f>
        <v>23977.93559</v>
      </c>
      <c r="U76" s="2">
        <f t="shared" si="2"/>
        <v>26700</v>
      </c>
      <c r="V76" s="2">
        <f t="shared" si="3"/>
        <v>500</v>
      </c>
      <c r="W76" s="2">
        <f t="shared" si="4"/>
        <v>4500</v>
      </c>
      <c r="X76" s="2">
        <f t="shared" si="5"/>
        <v>-2277.935593</v>
      </c>
      <c r="Y76" s="4">
        <f>35%</f>
        <v>0.35</v>
      </c>
    </row>
    <row r="77">
      <c r="A77" s="1">
        <v>76.0</v>
      </c>
      <c r="B77" s="1" t="s">
        <v>139</v>
      </c>
      <c r="C77" s="2" t="s">
        <v>140</v>
      </c>
      <c r="D77" s="1" t="s">
        <v>23</v>
      </c>
      <c r="E77" s="1" t="s">
        <v>23</v>
      </c>
      <c r="F77" s="2">
        <f>VLOOKUP(C77, 'Pivot Table 2'!$A$1:$B$123, 2, FALSE)</f>
        <v>76700</v>
      </c>
      <c r="G77" s="1">
        <v>0.0</v>
      </c>
      <c r="H77" s="1">
        <v>0.0</v>
      </c>
      <c r="I77" s="1">
        <v>0.0</v>
      </c>
      <c r="J77" s="1">
        <v>0.0</v>
      </c>
      <c r="N77" s="2">
        <f t="shared" si="1"/>
        <v>76700</v>
      </c>
      <c r="T77" s="2">
        <f>VLOOKUP(C77, 'Pivot Table 2'!$A$1:$C$119, 3, FALSE)</f>
        <v>37667.7661</v>
      </c>
      <c r="U77" s="2">
        <f t="shared" si="2"/>
        <v>46020</v>
      </c>
      <c r="V77" s="2">
        <f t="shared" si="3"/>
        <v>500</v>
      </c>
      <c r="W77" s="2">
        <f t="shared" si="4"/>
        <v>4500</v>
      </c>
      <c r="X77" s="2">
        <f t="shared" si="5"/>
        <v>3352.233898</v>
      </c>
      <c r="Y77" s="4">
        <f>40%</f>
        <v>0.4</v>
      </c>
    </row>
    <row r="78">
      <c r="A78" s="1">
        <v>77.0</v>
      </c>
      <c r="B78" s="1" t="s">
        <v>141</v>
      </c>
      <c r="C78" s="2" t="s">
        <v>142</v>
      </c>
      <c r="D78" s="1" t="s">
        <v>23</v>
      </c>
      <c r="E78" s="1" t="s">
        <v>23</v>
      </c>
      <c r="F78" s="2">
        <f>VLOOKUP(C78, 'Pivot Table 2'!$A$1:$B$123, 2, FALSE)</f>
        <v>36700</v>
      </c>
      <c r="G78" s="1">
        <v>0.0</v>
      </c>
      <c r="H78" s="1">
        <v>0.0</v>
      </c>
      <c r="I78" s="1">
        <v>0.0</v>
      </c>
      <c r="J78" s="1">
        <v>0.0</v>
      </c>
      <c r="N78" s="2">
        <f t="shared" si="1"/>
        <v>36700</v>
      </c>
      <c r="T78" s="2">
        <f>VLOOKUP(C78, 'Pivot Table 2'!$A$1:$C$119, 3, FALSE)</f>
        <v>19276.38169</v>
      </c>
      <c r="U78" s="2">
        <f t="shared" si="2"/>
        <v>22020</v>
      </c>
      <c r="V78" s="2">
        <f t="shared" si="3"/>
        <v>500</v>
      </c>
      <c r="W78" s="2">
        <f t="shared" si="4"/>
        <v>4500</v>
      </c>
      <c r="X78" s="2">
        <f t="shared" si="5"/>
        <v>-2256.381695</v>
      </c>
    </row>
    <row r="79">
      <c r="A79" s="1">
        <v>78.0</v>
      </c>
      <c r="B79" s="2" t="s">
        <v>143</v>
      </c>
      <c r="C79" s="2" t="s">
        <v>143</v>
      </c>
      <c r="D79" s="1" t="s">
        <v>22</v>
      </c>
      <c r="E79" s="1" t="s">
        <v>23</v>
      </c>
      <c r="F79" s="2">
        <f>VLOOKUP(C79, 'Pivot Table 2'!$A$1:$B$123, 2, FALSE)</f>
        <v>5000</v>
      </c>
      <c r="G79" s="1">
        <v>0.0</v>
      </c>
      <c r="H79" s="1">
        <v>0.0</v>
      </c>
      <c r="I79" s="1">
        <v>0.0</v>
      </c>
      <c r="J79" s="1">
        <v>0.0</v>
      </c>
      <c r="N79" s="2">
        <f t="shared" si="1"/>
        <v>5000</v>
      </c>
      <c r="T79" s="2">
        <f>VLOOKUP(C79, 'Pivot Table 2'!$A$1:$C$119, 3, FALSE)</f>
        <v>2736</v>
      </c>
      <c r="U79" s="2">
        <f t="shared" si="2"/>
        <v>3000</v>
      </c>
      <c r="V79" s="2">
        <f t="shared" si="3"/>
        <v>500</v>
      </c>
      <c r="W79" s="2">
        <f t="shared" si="4"/>
        <v>4500</v>
      </c>
      <c r="X79" s="2">
        <f t="shared" si="5"/>
        <v>-4736</v>
      </c>
    </row>
    <row r="80">
      <c r="A80" s="1">
        <v>79.0</v>
      </c>
      <c r="B80" s="1" t="s">
        <v>144</v>
      </c>
      <c r="C80" s="2" t="s">
        <v>145</v>
      </c>
      <c r="D80" s="1" t="s">
        <v>23</v>
      </c>
      <c r="E80" s="1" t="s">
        <v>23</v>
      </c>
      <c r="F80" s="2">
        <f>VLOOKUP(C80, 'Pivot Table 2'!$A$1:$B$123, 2, FALSE)</f>
        <v>47700</v>
      </c>
      <c r="G80" s="1">
        <v>0.0</v>
      </c>
      <c r="H80" s="1">
        <v>0.0</v>
      </c>
      <c r="I80" s="1">
        <v>0.0</v>
      </c>
      <c r="J80" s="1">
        <v>0.0</v>
      </c>
      <c r="N80" s="2">
        <f t="shared" si="1"/>
        <v>47700</v>
      </c>
      <c r="T80" s="2">
        <f>VLOOKUP(C80, 'Pivot Table 2'!$A$1:$C$119, 3, FALSE)</f>
        <v>27848.44678</v>
      </c>
      <c r="U80" s="2">
        <f t="shared" si="2"/>
        <v>28620</v>
      </c>
      <c r="V80" s="2">
        <f t="shared" si="3"/>
        <v>500</v>
      </c>
      <c r="W80" s="2">
        <f t="shared" si="4"/>
        <v>4500</v>
      </c>
      <c r="X80" s="2">
        <f t="shared" si="5"/>
        <v>-4228.44678</v>
      </c>
    </row>
    <row r="81">
      <c r="A81" s="1">
        <v>80.0</v>
      </c>
      <c r="B81" s="2" t="s">
        <v>146</v>
      </c>
      <c r="C81" s="2" t="s">
        <v>146</v>
      </c>
      <c r="D81" s="1" t="s">
        <v>22</v>
      </c>
      <c r="E81" s="1" t="s">
        <v>23</v>
      </c>
      <c r="F81" s="2">
        <f>VLOOKUP(C81, 'Pivot Table 2'!$A$1:$B$123, 2, FALSE)</f>
        <v>5000</v>
      </c>
      <c r="G81" s="1">
        <v>0.0</v>
      </c>
      <c r="H81" s="1">
        <v>0.0</v>
      </c>
      <c r="I81" s="1">
        <v>0.0</v>
      </c>
      <c r="J81" s="1">
        <v>0.0</v>
      </c>
      <c r="N81" s="2">
        <f t="shared" si="1"/>
        <v>5000</v>
      </c>
      <c r="T81" s="2">
        <f>VLOOKUP(C81, 'Pivot Table 2'!$A$1:$C$119, 3, FALSE)</f>
        <v>2736</v>
      </c>
      <c r="U81" s="2">
        <f t="shared" si="2"/>
        <v>3000</v>
      </c>
      <c r="V81" s="2">
        <f t="shared" si="3"/>
        <v>500</v>
      </c>
      <c r="W81" s="2">
        <f t="shared" si="4"/>
        <v>4500</v>
      </c>
      <c r="X81" s="2">
        <f t="shared" si="5"/>
        <v>-4736</v>
      </c>
    </row>
    <row r="82">
      <c r="A82" s="1">
        <v>81.0</v>
      </c>
      <c r="B82" s="2" t="s">
        <v>147</v>
      </c>
      <c r="C82" s="2" t="s">
        <v>147</v>
      </c>
      <c r="D82" s="1" t="s">
        <v>22</v>
      </c>
      <c r="E82" s="1" t="s">
        <v>23</v>
      </c>
      <c r="F82" s="2">
        <f>VLOOKUP(C82, 'Pivot Table 2'!$A$1:$B$123, 2, FALSE)</f>
        <v>5000</v>
      </c>
      <c r="G82" s="1">
        <v>0.0</v>
      </c>
      <c r="H82" s="1">
        <v>0.0</v>
      </c>
      <c r="I82" s="1">
        <v>0.0</v>
      </c>
      <c r="J82" s="1">
        <v>0.0</v>
      </c>
      <c r="N82" s="2">
        <f t="shared" si="1"/>
        <v>5000</v>
      </c>
      <c r="T82" s="2">
        <f>VLOOKUP(C82, 'Pivot Table 2'!$A$1:$C$119, 3, FALSE)</f>
        <v>2736</v>
      </c>
      <c r="U82" s="2">
        <f t="shared" si="2"/>
        <v>3000</v>
      </c>
      <c r="V82" s="2">
        <f t="shared" si="3"/>
        <v>500</v>
      </c>
      <c r="W82" s="2">
        <f t="shared" si="4"/>
        <v>4500</v>
      </c>
      <c r="X82" s="2">
        <f t="shared" si="5"/>
        <v>-4736</v>
      </c>
    </row>
    <row r="83">
      <c r="A83" s="1">
        <v>82.0</v>
      </c>
      <c r="B83" s="2" t="s">
        <v>148</v>
      </c>
      <c r="C83" s="2" t="s">
        <v>148</v>
      </c>
      <c r="D83" s="1" t="s">
        <v>22</v>
      </c>
      <c r="E83" s="1" t="s">
        <v>23</v>
      </c>
      <c r="F83" s="2">
        <f>VLOOKUP(C83, 'Pivot Table 2'!$A$1:$B$123, 2, FALSE)</f>
        <v>5000</v>
      </c>
      <c r="G83" s="1">
        <v>0.0</v>
      </c>
      <c r="H83" s="1">
        <v>0.0</v>
      </c>
      <c r="I83" s="1">
        <v>0.0</v>
      </c>
      <c r="J83" s="1">
        <v>0.0</v>
      </c>
      <c r="N83" s="2">
        <f t="shared" si="1"/>
        <v>5000</v>
      </c>
      <c r="T83" s="2">
        <f>VLOOKUP(C83, 'Pivot Table 2'!$A$1:$C$119, 3, FALSE)</f>
        <v>2736</v>
      </c>
      <c r="U83" s="2">
        <f t="shared" si="2"/>
        <v>3000</v>
      </c>
      <c r="V83" s="2">
        <f t="shared" si="3"/>
        <v>500</v>
      </c>
      <c r="W83" s="2">
        <f t="shared" si="4"/>
        <v>4500</v>
      </c>
      <c r="X83" s="2">
        <f t="shared" si="5"/>
        <v>-4736</v>
      </c>
    </row>
    <row r="84">
      <c r="A84" s="1">
        <v>83.0</v>
      </c>
      <c r="B84" s="1" t="s">
        <v>149</v>
      </c>
      <c r="C84" s="2" t="s">
        <v>150</v>
      </c>
      <c r="D84" s="1" t="s">
        <v>23</v>
      </c>
      <c r="E84" s="1" t="s">
        <v>23</v>
      </c>
      <c r="F84" s="2">
        <f>VLOOKUP(C84, 'Pivot Table 2'!$A$1:$B$123, 2, FALSE)</f>
        <v>47900</v>
      </c>
      <c r="G84" s="1">
        <v>0.0</v>
      </c>
      <c r="H84" s="1">
        <v>0.0</v>
      </c>
      <c r="I84" s="1">
        <v>0.0</v>
      </c>
      <c r="J84" s="1">
        <v>0.0</v>
      </c>
      <c r="N84" s="2">
        <f t="shared" si="1"/>
        <v>47900</v>
      </c>
      <c r="T84" s="2">
        <f>VLOOKUP(C84, 'Pivot Table 2'!$A$1:$C$119, 3, FALSE)</f>
        <v>23448.07661</v>
      </c>
      <c r="U84" s="2">
        <f t="shared" si="2"/>
        <v>28740</v>
      </c>
      <c r="V84" s="2">
        <f t="shared" si="3"/>
        <v>500</v>
      </c>
      <c r="W84" s="2">
        <f t="shared" si="4"/>
        <v>4500</v>
      </c>
      <c r="X84" s="2">
        <f t="shared" si="5"/>
        <v>291.9233898</v>
      </c>
    </row>
    <row r="85">
      <c r="A85" s="1">
        <v>84.0</v>
      </c>
      <c r="B85" s="2" t="s">
        <v>151</v>
      </c>
      <c r="C85" s="2" t="s">
        <v>151</v>
      </c>
      <c r="D85" s="1" t="s">
        <v>22</v>
      </c>
      <c r="E85" s="1" t="s">
        <v>23</v>
      </c>
      <c r="F85" s="2">
        <f>VLOOKUP(C85, 'Pivot Table 2'!$A$1:$B$123, 2, FALSE)</f>
        <v>5000</v>
      </c>
      <c r="G85" s="1">
        <v>0.0</v>
      </c>
      <c r="H85" s="1">
        <v>0.0</v>
      </c>
      <c r="I85" s="1">
        <v>0.0</v>
      </c>
      <c r="J85" s="1">
        <v>0.0</v>
      </c>
      <c r="N85" s="2">
        <f t="shared" si="1"/>
        <v>5000</v>
      </c>
      <c r="T85" s="2">
        <f>VLOOKUP(C85, 'Pivot Table 2'!$A$1:$C$119, 3, FALSE)</f>
        <v>2736</v>
      </c>
      <c r="U85" s="2">
        <f t="shared" si="2"/>
        <v>3000</v>
      </c>
      <c r="V85" s="2">
        <f t="shared" si="3"/>
        <v>500</v>
      </c>
      <c r="W85" s="2">
        <f t="shared" si="4"/>
        <v>4500</v>
      </c>
      <c r="X85" s="2">
        <f t="shared" si="5"/>
        <v>-4736</v>
      </c>
    </row>
    <row r="86">
      <c r="A86" s="1">
        <v>85.0</v>
      </c>
      <c r="B86" s="2" t="s">
        <v>152</v>
      </c>
      <c r="C86" s="2" t="s">
        <v>152</v>
      </c>
      <c r="D86" s="1" t="s">
        <v>23</v>
      </c>
      <c r="E86" s="1" t="s">
        <v>23</v>
      </c>
      <c r="F86" s="2">
        <f>VLOOKUP(C86, 'Pivot Table 2'!$A$1:$B$123, 2, FALSE)</f>
        <v>48300</v>
      </c>
      <c r="G86" s="1">
        <v>0.0</v>
      </c>
      <c r="H86" s="1">
        <v>0.0</v>
      </c>
      <c r="I86" s="1">
        <v>0.0</v>
      </c>
      <c r="J86" s="1">
        <v>0.0</v>
      </c>
      <c r="N86" s="2">
        <f t="shared" si="1"/>
        <v>48300</v>
      </c>
      <c r="T86" s="2">
        <f>VLOOKUP(C86, 'Pivot Table 2'!$A$1:$C$119, 3, FALSE)</f>
        <v>27163.19119</v>
      </c>
      <c r="U86" s="2">
        <f t="shared" si="2"/>
        <v>28980</v>
      </c>
      <c r="V86" s="2">
        <f t="shared" si="3"/>
        <v>500</v>
      </c>
      <c r="W86" s="2">
        <f t="shared" si="4"/>
        <v>4500</v>
      </c>
      <c r="X86" s="2">
        <f t="shared" si="5"/>
        <v>-3183.191186</v>
      </c>
    </row>
    <row r="87">
      <c r="A87" s="1">
        <v>86.0</v>
      </c>
      <c r="B87" s="2" t="s">
        <v>153</v>
      </c>
      <c r="C87" s="2" t="s">
        <v>153</v>
      </c>
      <c r="D87" s="1" t="s">
        <v>22</v>
      </c>
      <c r="E87" s="1" t="s">
        <v>23</v>
      </c>
      <c r="F87" s="2">
        <f>VLOOKUP(C87, 'Pivot Table 2'!$A$1:$B$123, 2, FALSE)</f>
        <v>5000</v>
      </c>
      <c r="G87" s="1">
        <v>0.0</v>
      </c>
      <c r="H87" s="1">
        <v>0.0</v>
      </c>
      <c r="I87" s="1">
        <v>0.0</v>
      </c>
      <c r="J87" s="1">
        <v>0.0</v>
      </c>
      <c r="N87" s="2">
        <f t="shared" si="1"/>
        <v>5000</v>
      </c>
      <c r="T87" s="2">
        <f>VLOOKUP(C87, 'Pivot Table 2'!$A$1:$C$119, 3, FALSE)</f>
        <v>2736</v>
      </c>
      <c r="U87" s="2">
        <f t="shared" si="2"/>
        <v>3000</v>
      </c>
      <c r="V87" s="2">
        <f t="shared" si="3"/>
        <v>500</v>
      </c>
      <c r="W87" s="2">
        <f t="shared" si="4"/>
        <v>4500</v>
      </c>
      <c r="X87" s="2">
        <f t="shared" si="5"/>
        <v>-4736</v>
      </c>
    </row>
    <row r="88">
      <c r="A88" s="1">
        <v>87.0</v>
      </c>
      <c r="B88" s="1" t="s">
        <v>154</v>
      </c>
      <c r="C88" s="2" t="s">
        <v>155</v>
      </c>
      <c r="D88" s="1" t="s">
        <v>23</v>
      </c>
      <c r="E88" s="1" t="s">
        <v>23</v>
      </c>
      <c r="F88" s="2">
        <f>VLOOKUP(C88, 'Pivot Table 2'!$A$1:$B$123, 2, FALSE)</f>
        <v>36700</v>
      </c>
      <c r="G88" s="1">
        <v>0.0</v>
      </c>
      <c r="H88" s="1">
        <v>0.0</v>
      </c>
      <c r="I88" s="1">
        <v>0.0</v>
      </c>
      <c r="J88" s="1">
        <v>0.0</v>
      </c>
      <c r="N88" s="2">
        <f t="shared" si="1"/>
        <v>36700</v>
      </c>
      <c r="T88" s="2">
        <f>VLOOKUP(C88, 'Pivot Table 2'!$A$1:$C$119, 3, FALSE)</f>
        <v>21303.79051</v>
      </c>
      <c r="U88" s="2">
        <f t="shared" si="2"/>
        <v>22020</v>
      </c>
      <c r="V88" s="2">
        <f t="shared" si="3"/>
        <v>500</v>
      </c>
      <c r="W88" s="2">
        <f t="shared" si="4"/>
        <v>4500</v>
      </c>
      <c r="X88" s="2">
        <f t="shared" si="5"/>
        <v>-4283.790508</v>
      </c>
    </row>
    <row r="89">
      <c r="A89" s="1">
        <v>88.0</v>
      </c>
      <c r="B89" s="2" t="s">
        <v>156</v>
      </c>
      <c r="C89" s="2" t="s">
        <v>156</v>
      </c>
      <c r="D89" s="1" t="s">
        <v>22</v>
      </c>
      <c r="E89" s="1" t="s">
        <v>23</v>
      </c>
      <c r="F89" s="2">
        <f>VLOOKUP(C89, 'Pivot Table 2'!$A$1:$B$123, 2, FALSE)</f>
        <v>5000</v>
      </c>
      <c r="G89" s="1">
        <v>0.0</v>
      </c>
      <c r="H89" s="1">
        <v>0.0</v>
      </c>
      <c r="I89" s="1">
        <v>0.0</v>
      </c>
      <c r="J89" s="1">
        <v>0.0</v>
      </c>
      <c r="N89" s="2">
        <f t="shared" si="1"/>
        <v>5000</v>
      </c>
      <c r="T89" s="2">
        <f>VLOOKUP(C89, 'Pivot Table 2'!$A$1:$C$119, 3, FALSE)</f>
        <v>2736</v>
      </c>
      <c r="U89" s="2">
        <f t="shared" si="2"/>
        <v>3000</v>
      </c>
      <c r="V89" s="2">
        <f t="shared" si="3"/>
        <v>500</v>
      </c>
      <c r="W89" s="2">
        <f t="shared" si="4"/>
        <v>4500</v>
      </c>
      <c r="X89" s="2">
        <f t="shared" si="5"/>
        <v>-4736</v>
      </c>
    </row>
    <row r="90">
      <c r="A90" s="1">
        <v>89.0</v>
      </c>
      <c r="B90" s="2" t="s">
        <v>157</v>
      </c>
      <c r="C90" s="2" t="s">
        <v>157</v>
      </c>
      <c r="D90" s="1" t="s">
        <v>22</v>
      </c>
      <c r="E90" s="1" t="s">
        <v>23</v>
      </c>
      <c r="F90" s="2">
        <f>VLOOKUP(C90, 'Pivot Table 2'!$A$1:$B$123, 2, FALSE)</f>
        <v>5000</v>
      </c>
      <c r="G90" s="1">
        <v>0.0</v>
      </c>
      <c r="H90" s="1">
        <v>0.0</v>
      </c>
      <c r="I90" s="1">
        <v>0.0</v>
      </c>
      <c r="J90" s="1">
        <v>0.0</v>
      </c>
      <c r="N90" s="2">
        <f t="shared" si="1"/>
        <v>5000</v>
      </c>
      <c r="T90" s="2">
        <f>VLOOKUP(C90, 'Pivot Table 2'!$A$1:$C$119, 3, FALSE)</f>
        <v>2736</v>
      </c>
      <c r="U90" s="2">
        <f t="shared" si="2"/>
        <v>3000</v>
      </c>
      <c r="V90" s="2">
        <f t="shared" si="3"/>
        <v>500</v>
      </c>
      <c r="W90" s="2">
        <f t="shared" si="4"/>
        <v>4500</v>
      </c>
      <c r="X90" s="2">
        <f t="shared" si="5"/>
        <v>-4736</v>
      </c>
    </row>
    <row r="91">
      <c r="A91" s="1">
        <v>90.0</v>
      </c>
      <c r="B91" s="1" t="s">
        <v>158</v>
      </c>
      <c r="C91" s="2" t="s">
        <v>159</v>
      </c>
      <c r="D91" s="1" t="s">
        <v>23</v>
      </c>
      <c r="E91" s="1" t="s">
        <v>23</v>
      </c>
      <c r="F91" s="2">
        <f>VLOOKUP(C91, 'Pivot Table 2'!$A$1:$B$123, 2, FALSE)</f>
        <v>45800</v>
      </c>
      <c r="G91" s="1">
        <v>0.0</v>
      </c>
      <c r="H91" s="1">
        <v>0.0</v>
      </c>
      <c r="I91" s="1">
        <v>0.0</v>
      </c>
      <c r="J91" s="1">
        <v>0.0</v>
      </c>
      <c r="N91" s="2">
        <f t="shared" si="1"/>
        <v>45800</v>
      </c>
      <c r="T91" s="2">
        <f>VLOOKUP(C91, 'Pivot Table 2'!$A$1:$C$119, 3, FALSE)</f>
        <v>23963.0061</v>
      </c>
      <c r="U91" s="2">
        <f t="shared" si="2"/>
        <v>27480</v>
      </c>
      <c r="V91" s="2">
        <f t="shared" si="3"/>
        <v>500</v>
      </c>
      <c r="W91" s="2">
        <f t="shared" si="4"/>
        <v>4500</v>
      </c>
      <c r="X91" s="2">
        <f t="shared" si="5"/>
        <v>-1483.006102</v>
      </c>
    </row>
    <row r="92">
      <c r="A92" s="1">
        <v>91.0</v>
      </c>
      <c r="B92" s="2" t="s">
        <v>160</v>
      </c>
      <c r="C92" s="2" t="s">
        <v>160</v>
      </c>
      <c r="D92" s="1" t="s">
        <v>22</v>
      </c>
      <c r="E92" s="1" t="s">
        <v>23</v>
      </c>
      <c r="F92" s="2">
        <f>VLOOKUP(C92, 'Pivot Table 2'!$A$1:$B$123, 2, FALSE)</f>
        <v>5000</v>
      </c>
      <c r="G92" s="1">
        <v>0.0</v>
      </c>
      <c r="H92" s="1">
        <v>0.0</v>
      </c>
      <c r="I92" s="1">
        <v>0.0</v>
      </c>
      <c r="J92" s="1">
        <v>0.0</v>
      </c>
      <c r="N92" s="2">
        <f t="shared" si="1"/>
        <v>5000</v>
      </c>
      <c r="T92" s="2">
        <f>VLOOKUP(C92, 'Pivot Table 2'!$A$1:$C$119, 3, FALSE)</f>
        <v>2736</v>
      </c>
      <c r="U92" s="2">
        <f t="shared" si="2"/>
        <v>3000</v>
      </c>
      <c r="V92" s="2">
        <f t="shared" si="3"/>
        <v>500</v>
      </c>
      <c r="W92" s="2">
        <f t="shared" si="4"/>
        <v>4500</v>
      </c>
      <c r="X92" s="2">
        <f t="shared" si="5"/>
        <v>-4736</v>
      </c>
    </row>
    <row r="93">
      <c r="A93" s="1">
        <v>92.0</v>
      </c>
      <c r="B93" s="2" t="s">
        <v>161</v>
      </c>
      <c r="C93" s="2" t="s">
        <v>161</v>
      </c>
      <c r="D93" s="1" t="s">
        <v>22</v>
      </c>
      <c r="E93" s="1" t="s">
        <v>23</v>
      </c>
      <c r="F93" s="2">
        <f>VLOOKUP(C93, 'Pivot Table 2'!$A$1:$B$123, 2, FALSE)</f>
        <v>5000</v>
      </c>
      <c r="G93" s="1">
        <v>0.0</v>
      </c>
      <c r="H93" s="1">
        <v>0.0</v>
      </c>
      <c r="I93" s="1">
        <v>0.0</v>
      </c>
      <c r="J93" s="1">
        <v>0.0</v>
      </c>
      <c r="N93" s="2">
        <f t="shared" si="1"/>
        <v>5000</v>
      </c>
      <c r="T93" s="2">
        <f>VLOOKUP(C93, 'Pivot Table 2'!$A$1:$C$119, 3, FALSE)</f>
        <v>2736</v>
      </c>
      <c r="U93" s="2">
        <f t="shared" si="2"/>
        <v>3000</v>
      </c>
      <c r="V93" s="2">
        <f t="shared" si="3"/>
        <v>500</v>
      </c>
      <c r="W93" s="2">
        <f t="shared" si="4"/>
        <v>4500</v>
      </c>
      <c r="X93" s="2">
        <f t="shared" si="5"/>
        <v>-4736</v>
      </c>
    </row>
    <row r="94">
      <c r="A94" s="1">
        <v>93.0</v>
      </c>
      <c r="B94" s="1" t="s">
        <v>162</v>
      </c>
      <c r="C94" s="1" t="s">
        <v>163</v>
      </c>
      <c r="D94" s="1" t="s">
        <v>23</v>
      </c>
      <c r="E94" s="1" t="s">
        <v>23</v>
      </c>
      <c r="F94" s="2">
        <f>VLOOKUP(C94, 'Pivot Table 2'!$A$1:$B$123, 2, FALSE)</f>
        <v>37000</v>
      </c>
      <c r="G94" s="1"/>
      <c r="H94" s="1"/>
      <c r="I94" s="1"/>
      <c r="J94" s="1"/>
      <c r="K94" s="1"/>
      <c r="L94" s="1"/>
      <c r="M94" s="1"/>
      <c r="O94" s="1"/>
      <c r="P94" s="1"/>
      <c r="Q94" s="1"/>
      <c r="R94" s="1"/>
      <c r="S94" s="9"/>
      <c r="X94" s="10"/>
    </row>
    <row r="95">
      <c r="A95" s="1">
        <v>94.0</v>
      </c>
      <c r="B95" s="1" t="s">
        <v>164</v>
      </c>
      <c r="C95" s="1" t="s">
        <v>165</v>
      </c>
      <c r="D95" s="1" t="s">
        <v>23</v>
      </c>
      <c r="E95" s="1" t="s">
        <v>23</v>
      </c>
      <c r="F95" s="2">
        <f>VLOOKUP(C95, 'Pivot Table 2'!$A$1:$B$123, 2, FALSE)</f>
        <v>67900</v>
      </c>
      <c r="G95" s="1"/>
      <c r="H95" s="1"/>
      <c r="I95" s="1"/>
      <c r="J95" s="1"/>
      <c r="K95" s="1"/>
      <c r="L95" s="1"/>
      <c r="M95" s="1"/>
      <c r="O95" s="1"/>
      <c r="P95" s="1"/>
      <c r="Q95" s="1"/>
      <c r="R95" s="1"/>
      <c r="S95" s="9"/>
      <c r="X95" s="10"/>
    </row>
    <row r="96">
      <c r="A96" s="1">
        <v>95.0</v>
      </c>
      <c r="B96" s="1" t="s">
        <v>166</v>
      </c>
      <c r="C96" s="1" t="s">
        <v>167</v>
      </c>
      <c r="D96" s="1" t="s">
        <v>23</v>
      </c>
      <c r="E96" s="1" t="s">
        <v>23</v>
      </c>
      <c r="F96" s="2">
        <f>VLOOKUP(C96, 'Pivot Table 2'!$A$1:$B$123, 2, FALSE)</f>
        <v>5000</v>
      </c>
      <c r="G96" s="1"/>
      <c r="H96" s="1"/>
      <c r="I96" s="1"/>
      <c r="J96" s="1"/>
      <c r="K96" s="1"/>
      <c r="L96" s="1"/>
      <c r="M96" s="1"/>
      <c r="O96" s="1"/>
      <c r="P96" s="1"/>
      <c r="Q96" s="1"/>
      <c r="R96" s="1"/>
      <c r="S96" s="9"/>
      <c r="X96" s="10"/>
    </row>
    <row r="97">
      <c r="A97" s="1">
        <v>96.0</v>
      </c>
      <c r="B97" s="1" t="s">
        <v>168</v>
      </c>
      <c r="C97" s="1" t="s">
        <v>169</v>
      </c>
      <c r="D97" s="1" t="s">
        <v>23</v>
      </c>
      <c r="E97" s="1" t="s">
        <v>23</v>
      </c>
      <c r="F97" s="2">
        <f>VLOOKUP(C97, 'Pivot Table 2'!$A$1:$B$123, 2, FALSE)</f>
        <v>36200</v>
      </c>
      <c r="G97" s="1"/>
      <c r="H97" s="1"/>
      <c r="I97" s="1"/>
      <c r="J97" s="1"/>
      <c r="K97" s="1"/>
      <c r="L97" s="1"/>
      <c r="M97" s="1"/>
      <c r="O97" s="1"/>
      <c r="P97" s="1"/>
      <c r="Q97" s="1"/>
      <c r="R97" s="1"/>
      <c r="S97" s="9"/>
      <c r="X97" s="10"/>
    </row>
    <row r="98">
      <c r="A98" s="1">
        <v>97.0</v>
      </c>
      <c r="B98" s="3" t="s">
        <v>170</v>
      </c>
      <c r="C98" s="2" t="s">
        <v>171</v>
      </c>
      <c r="D98" s="1" t="s">
        <v>23</v>
      </c>
      <c r="E98" s="1" t="s">
        <v>23</v>
      </c>
      <c r="F98" s="2">
        <f>VLOOKUP(C98, 'Pivot Table 2'!$A$1:$B$123, 2, FALSE)</f>
        <v>9000</v>
      </c>
      <c r="G98" s="1">
        <v>0.0</v>
      </c>
      <c r="H98" s="1">
        <v>1.0</v>
      </c>
      <c r="I98" s="1">
        <v>0.0</v>
      </c>
      <c r="J98" s="1">
        <v>0.0</v>
      </c>
      <c r="K98" s="1">
        <v>0.0</v>
      </c>
      <c r="L98" s="1">
        <v>2.0</v>
      </c>
      <c r="M98" s="1" t="s">
        <v>55</v>
      </c>
      <c r="N98" s="2">
        <f t="shared" ref="N98:N122" si="12">F98+G98*4*1000+H98*10000+1*1500*I98+1*J98*1000+1*K98*1000+1*L98*1000</f>
        <v>21000</v>
      </c>
      <c r="O98" s="1" t="s">
        <v>172</v>
      </c>
      <c r="P98" s="1" t="s">
        <v>48</v>
      </c>
      <c r="Q98" s="1">
        <v>0.0</v>
      </c>
      <c r="R98" s="1">
        <v>0.0</v>
      </c>
      <c r="S98" s="9" t="s">
        <v>126</v>
      </c>
      <c r="T98" s="2">
        <f>VLOOKUP(C98, 'Pivot Table 2'!$A$1:$C$119, 3, FALSE)</f>
        <v>4036</v>
      </c>
      <c r="U98" s="2">
        <f t="shared" ref="U98:U122" si="13">(1-AA$6)*F98</f>
        <v>5400</v>
      </c>
      <c r="V98" s="2">
        <f t="shared" ref="V98:V122" si="14">$AA$7</f>
        <v>500</v>
      </c>
      <c r="W98" s="2">
        <f t="shared" ref="W98:W122" si="15">$AA$8</f>
        <v>4500</v>
      </c>
      <c r="X98" s="10">
        <f t="shared" ref="X98:X122" si="16">U98-T98-V98-W98</f>
        <v>-3636</v>
      </c>
    </row>
    <row r="99">
      <c r="A99" s="1">
        <v>98.0</v>
      </c>
      <c r="B99" s="3" t="s">
        <v>173</v>
      </c>
      <c r="C99" s="2" t="s">
        <v>174</v>
      </c>
      <c r="D99" s="1" t="s">
        <v>23</v>
      </c>
      <c r="E99" s="1" t="s">
        <v>23</v>
      </c>
      <c r="F99" s="2">
        <f>VLOOKUP(C99, 'Pivot Table 2'!$A$1:$B$123, 2, FALSE)</f>
        <v>73500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2.0</v>
      </c>
      <c r="M99" s="1" t="s">
        <v>175</v>
      </c>
      <c r="N99" s="2">
        <f t="shared" si="12"/>
        <v>85500</v>
      </c>
      <c r="O99" s="1" t="s">
        <v>47</v>
      </c>
      <c r="P99" s="1" t="s">
        <v>23</v>
      </c>
      <c r="Q99" s="1">
        <v>0.0</v>
      </c>
      <c r="R99" s="1">
        <v>0.0</v>
      </c>
      <c r="S99" s="9" t="s">
        <v>176</v>
      </c>
      <c r="T99" s="2">
        <f>VLOOKUP(C99, 'Pivot Table 2'!$A$1:$C$119, 3, FALSE)</f>
        <v>40252.34237</v>
      </c>
      <c r="U99" s="2">
        <f t="shared" si="13"/>
        <v>44100</v>
      </c>
      <c r="V99" s="2">
        <f t="shared" si="14"/>
        <v>500</v>
      </c>
      <c r="W99" s="2">
        <f t="shared" si="15"/>
        <v>4500</v>
      </c>
      <c r="X99" s="2">
        <f t="shared" si="16"/>
        <v>-1152.342373</v>
      </c>
      <c r="Y99" s="4">
        <f>35%</f>
        <v>0.35</v>
      </c>
    </row>
    <row r="100">
      <c r="A100" s="1">
        <v>99.0</v>
      </c>
      <c r="B100" s="2" t="s">
        <v>177</v>
      </c>
      <c r="C100" s="2" t="s">
        <v>177</v>
      </c>
      <c r="D100" s="1" t="s">
        <v>23</v>
      </c>
      <c r="E100" s="1" t="s">
        <v>23</v>
      </c>
      <c r="F100" s="2">
        <f>VLOOKUP(C100, 'Pivot Table 2'!$A$1:$B$123, 2, FALSE)</f>
        <v>55500</v>
      </c>
      <c r="G100" s="1">
        <v>0.0</v>
      </c>
      <c r="H100" s="1">
        <v>0.0</v>
      </c>
      <c r="I100" s="1">
        <v>0.0</v>
      </c>
      <c r="J100" s="1">
        <v>0.0</v>
      </c>
      <c r="N100" s="2">
        <f t="shared" si="12"/>
        <v>55500</v>
      </c>
      <c r="T100" s="2">
        <f>VLOOKUP(C100, 'Pivot Table 2'!$A$1:$C$119, 3, FALSE)</f>
        <v>28523.14712</v>
      </c>
      <c r="U100" s="2">
        <f t="shared" si="13"/>
        <v>33300</v>
      </c>
      <c r="V100" s="2">
        <f t="shared" si="14"/>
        <v>500</v>
      </c>
      <c r="W100" s="2">
        <f t="shared" si="15"/>
        <v>4500</v>
      </c>
      <c r="X100" s="2">
        <f t="shared" si="16"/>
        <v>-223.1471186</v>
      </c>
    </row>
    <row r="101">
      <c r="A101" s="1">
        <v>100.0</v>
      </c>
      <c r="B101" s="3" t="s">
        <v>178</v>
      </c>
      <c r="C101" s="2" t="s">
        <v>179</v>
      </c>
      <c r="D101" s="1" t="s">
        <v>23</v>
      </c>
      <c r="E101" s="1" t="s">
        <v>23</v>
      </c>
      <c r="F101" s="2">
        <f>VLOOKUP(C101, 'Pivot Table 2'!$A$1:$B$123, 2, FALSE)</f>
        <v>54000</v>
      </c>
      <c r="G101" s="1">
        <v>0.0</v>
      </c>
      <c r="H101" s="1">
        <v>1.0</v>
      </c>
      <c r="I101" s="1">
        <v>0.0</v>
      </c>
      <c r="J101" s="1">
        <v>2.0</v>
      </c>
      <c r="K101" s="1">
        <v>0.0</v>
      </c>
      <c r="L101" s="1">
        <v>1.0</v>
      </c>
      <c r="M101" s="1" t="s">
        <v>55</v>
      </c>
      <c r="N101" s="2">
        <f t="shared" si="12"/>
        <v>67000</v>
      </c>
      <c r="O101" s="1" t="s">
        <v>119</v>
      </c>
      <c r="P101" s="1" t="s">
        <v>48</v>
      </c>
      <c r="Q101" s="5" t="s">
        <v>56</v>
      </c>
      <c r="R101" s="1">
        <v>0.0</v>
      </c>
      <c r="S101" s="9" t="s">
        <v>126</v>
      </c>
      <c r="T101" s="2">
        <f>VLOOKUP(C101, 'Pivot Table 2'!$A$1:$C$119, 3, FALSE)</f>
        <v>24357.38034</v>
      </c>
      <c r="U101" s="2">
        <f t="shared" si="13"/>
        <v>32400</v>
      </c>
      <c r="V101" s="2">
        <f t="shared" si="14"/>
        <v>500</v>
      </c>
      <c r="W101" s="2">
        <f t="shared" si="15"/>
        <v>4500</v>
      </c>
      <c r="X101" s="2">
        <f t="shared" si="16"/>
        <v>3042.619661</v>
      </c>
      <c r="Y101" s="4">
        <f>40%</f>
        <v>0.4</v>
      </c>
    </row>
    <row r="102">
      <c r="A102" s="1">
        <v>101.0</v>
      </c>
      <c r="B102" s="2" t="s">
        <v>180</v>
      </c>
      <c r="C102" s="2" t="s">
        <v>180</v>
      </c>
      <c r="D102" s="1" t="s">
        <v>23</v>
      </c>
      <c r="E102" s="1" t="s">
        <v>23</v>
      </c>
      <c r="F102" s="2">
        <f>VLOOKUP(C102, 'Pivot Table 2'!$A$1:$B$123, 2, FALSE)</f>
        <v>41700</v>
      </c>
      <c r="G102" s="1">
        <v>0.0</v>
      </c>
      <c r="H102" s="1">
        <v>0.0</v>
      </c>
      <c r="I102" s="1">
        <v>0.0</v>
      </c>
      <c r="J102" s="1">
        <v>0.0</v>
      </c>
      <c r="N102" s="2">
        <f t="shared" si="12"/>
        <v>41700</v>
      </c>
      <c r="T102" s="2">
        <f>VLOOKUP(C102, 'Pivot Table 2'!$A$1:$C$119, 3, FALSE)</f>
        <v>21557.09356</v>
      </c>
      <c r="U102" s="2">
        <f t="shared" si="13"/>
        <v>25020</v>
      </c>
      <c r="V102" s="2">
        <f t="shared" si="14"/>
        <v>500</v>
      </c>
      <c r="W102" s="2">
        <f t="shared" si="15"/>
        <v>4500</v>
      </c>
      <c r="X102" s="2">
        <f t="shared" si="16"/>
        <v>-1537.093559</v>
      </c>
    </row>
    <row r="103">
      <c r="A103" s="1">
        <v>102.0</v>
      </c>
      <c r="B103" s="3" t="s">
        <v>181</v>
      </c>
      <c r="C103" s="2" t="s">
        <v>182</v>
      </c>
      <c r="D103" s="1" t="s">
        <v>23</v>
      </c>
      <c r="E103" s="1" t="s">
        <v>23</v>
      </c>
      <c r="F103" s="2">
        <f>VLOOKUP(C103, 'Pivot Table 2'!$A$1:$B$123, 2, FALSE)</f>
        <v>13000</v>
      </c>
      <c r="G103" s="1">
        <v>0.0</v>
      </c>
      <c r="H103" s="1">
        <v>1.0</v>
      </c>
      <c r="I103" s="1">
        <v>0.0</v>
      </c>
      <c r="J103" s="1">
        <v>0.0</v>
      </c>
      <c r="K103" s="1">
        <v>0.0</v>
      </c>
      <c r="L103" s="1">
        <v>0.0</v>
      </c>
      <c r="M103" s="1" t="s">
        <v>29</v>
      </c>
      <c r="N103" s="2">
        <f t="shared" si="12"/>
        <v>23000</v>
      </c>
      <c r="O103" s="1" t="s">
        <v>34</v>
      </c>
      <c r="P103" s="1" t="s">
        <v>22</v>
      </c>
      <c r="Q103" s="1">
        <v>0.0</v>
      </c>
      <c r="R103" s="1">
        <v>0.0</v>
      </c>
      <c r="S103" s="1">
        <v>0.0</v>
      </c>
      <c r="T103" s="2">
        <f>VLOOKUP(C103, 'Pivot Table 2'!$A$1:$C$119, 3, FALSE)</f>
        <v>8586</v>
      </c>
      <c r="U103" s="2">
        <f t="shared" si="13"/>
        <v>7800</v>
      </c>
      <c r="V103" s="2">
        <f t="shared" si="14"/>
        <v>500</v>
      </c>
      <c r="W103" s="2">
        <f t="shared" si="15"/>
        <v>4500</v>
      </c>
      <c r="X103" s="10">
        <f t="shared" si="16"/>
        <v>-5786</v>
      </c>
    </row>
    <row r="104">
      <c r="A104" s="1">
        <v>103.0</v>
      </c>
      <c r="B104" s="3" t="s">
        <v>183</v>
      </c>
      <c r="C104" s="2" t="s">
        <v>184</v>
      </c>
      <c r="D104" s="1" t="s">
        <v>23</v>
      </c>
      <c r="E104" s="1" t="s">
        <v>23</v>
      </c>
      <c r="F104" s="2">
        <f>VLOOKUP(C104, 'Pivot Table 2'!$A$1:$B$123, 2, FALSE)</f>
        <v>28500</v>
      </c>
      <c r="G104" s="1">
        <v>0.0</v>
      </c>
      <c r="H104" s="1">
        <v>1.0</v>
      </c>
      <c r="I104" s="1">
        <v>0.0</v>
      </c>
      <c r="J104" s="1">
        <v>0.0</v>
      </c>
      <c r="K104" s="1">
        <v>0.0</v>
      </c>
      <c r="L104" s="1">
        <v>0.0</v>
      </c>
      <c r="M104" s="1" t="s">
        <v>29</v>
      </c>
      <c r="N104" s="2">
        <f t="shared" si="12"/>
        <v>38500</v>
      </c>
      <c r="O104" s="1" t="s">
        <v>34</v>
      </c>
      <c r="P104" s="1" t="s">
        <v>22</v>
      </c>
      <c r="Q104" s="1">
        <v>0.0</v>
      </c>
      <c r="R104" s="1">
        <v>0.0</v>
      </c>
      <c r="S104" s="1">
        <v>0.0</v>
      </c>
      <c r="T104" s="2">
        <f>VLOOKUP(C104, 'Pivot Table 2'!$A$1:$C$119, 3, FALSE)</f>
        <v>14834.55661</v>
      </c>
      <c r="U104" s="2">
        <f t="shared" si="13"/>
        <v>17100</v>
      </c>
      <c r="V104" s="2">
        <f t="shared" si="14"/>
        <v>500</v>
      </c>
      <c r="W104" s="2">
        <f t="shared" si="15"/>
        <v>4500</v>
      </c>
      <c r="X104" s="2">
        <f t="shared" si="16"/>
        <v>-2734.55661</v>
      </c>
      <c r="Y104" s="4">
        <f>30%</f>
        <v>0.3</v>
      </c>
    </row>
    <row r="105">
      <c r="A105" s="1">
        <v>104.0</v>
      </c>
      <c r="B105" s="3" t="s">
        <v>185</v>
      </c>
      <c r="C105" s="2" t="s">
        <v>186</v>
      </c>
      <c r="D105" s="1" t="s">
        <v>23</v>
      </c>
      <c r="E105" s="1" t="s">
        <v>23</v>
      </c>
      <c r="F105" s="2">
        <f>VLOOKUP(C105, 'Pivot Table 2'!$A$1:$B$123, 2, FALSE)</f>
        <v>71100</v>
      </c>
      <c r="G105" s="1">
        <v>0.0</v>
      </c>
      <c r="H105" s="1">
        <v>0.0</v>
      </c>
      <c r="I105" s="1">
        <v>0.0</v>
      </c>
      <c r="J105" s="1">
        <v>0.0</v>
      </c>
      <c r="K105" s="1">
        <v>1.0</v>
      </c>
      <c r="L105" s="1">
        <v>2.0</v>
      </c>
      <c r="M105" s="1" t="s">
        <v>6</v>
      </c>
      <c r="N105" s="2">
        <f t="shared" si="12"/>
        <v>74100</v>
      </c>
      <c r="O105" s="1" t="s">
        <v>119</v>
      </c>
      <c r="P105" s="1" t="s">
        <v>48</v>
      </c>
      <c r="Q105" s="1">
        <v>0.0</v>
      </c>
      <c r="R105" s="6" t="s">
        <v>39</v>
      </c>
      <c r="S105" s="9" t="s">
        <v>61</v>
      </c>
      <c r="T105" s="2">
        <f>VLOOKUP(C105, 'Pivot Table 2'!$A$1:$C$119, 3, FALSE)</f>
        <v>39688.95254</v>
      </c>
      <c r="U105" s="2">
        <f t="shared" si="13"/>
        <v>42660</v>
      </c>
      <c r="V105" s="2">
        <f t="shared" si="14"/>
        <v>500</v>
      </c>
      <c r="W105" s="2">
        <f t="shared" si="15"/>
        <v>4500</v>
      </c>
      <c r="X105" s="2">
        <f t="shared" si="16"/>
        <v>-2028.952542</v>
      </c>
      <c r="Y105" s="4">
        <f>35%</f>
        <v>0.35</v>
      </c>
    </row>
    <row r="106">
      <c r="A106" s="1">
        <v>105.0</v>
      </c>
      <c r="B106" s="2" t="s">
        <v>187</v>
      </c>
      <c r="C106" s="2" t="s">
        <v>187</v>
      </c>
      <c r="D106" s="1" t="s">
        <v>23</v>
      </c>
      <c r="E106" s="1" t="s">
        <v>23</v>
      </c>
      <c r="F106" s="2">
        <f>VLOOKUP(C106, 'Pivot Table 2'!$A$1:$B$123, 2, FALSE)</f>
        <v>61500</v>
      </c>
      <c r="G106" s="1">
        <v>0.0</v>
      </c>
      <c r="H106" s="1">
        <v>0.0</v>
      </c>
      <c r="I106" s="1">
        <v>0.0</v>
      </c>
      <c r="J106" s="1">
        <v>0.0</v>
      </c>
      <c r="N106" s="2">
        <f t="shared" si="12"/>
        <v>61500</v>
      </c>
      <c r="T106" s="2">
        <f>VLOOKUP(C106, 'Pivot Table 2'!$A$1:$C$119, 3, FALSE)</f>
        <v>34774.70983</v>
      </c>
      <c r="U106" s="2">
        <f t="shared" si="13"/>
        <v>36900</v>
      </c>
      <c r="V106" s="2">
        <f t="shared" si="14"/>
        <v>500</v>
      </c>
      <c r="W106" s="2">
        <f t="shared" si="15"/>
        <v>4500</v>
      </c>
      <c r="X106" s="2">
        <f t="shared" si="16"/>
        <v>-2874.709831</v>
      </c>
    </row>
    <row r="107">
      <c r="A107" s="1">
        <v>106.0</v>
      </c>
      <c r="B107" s="2" t="s">
        <v>188</v>
      </c>
      <c r="C107" s="2" t="s">
        <v>188</v>
      </c>
      <c r="D107" s="1" t="s">
        <v>23</v>
      </c>
      <c r="E107" s="1" t="s">
        <v>23</v>
      </c>
      <c r="F107" s="2">
        <f>VLOOKUP(C107, 'Pivot Table 2'!$A$1:$B$123, 2, FALSE)</f>
        <v>49500</v>
      </c>
      <c r="G107" s="1">
        <v>0.0</v>
      </c>
      <c r="H107" s="1">
        <v>0.0</v>
      </c>
      <c r="I107" s="1">
        <v>0.0</v>
      </c>
      <c r="J107" s="1">
        <v>0.0</v>
      </c>
      <c r="N107" s="2">
        <f t="shared" si="12"/>
        <v>49500</v>
      </c>
      <c r="T107" s="2">
        <f>VLOOKUP(C107, 'Pivot Table 2'!$A$1:$C$119, 3, FALSE)</f>
        <v>26078.14712</v>
      </c>
      <c r="U107" s="2">
        <f t="shared" si="13"/>
        <v>29700</v>
      </c>
      <c r="V107" s="2">
        <f t="shared" si="14"/>
        <v>500</v>
      </c>
      <c r="W107" s="2">
        <f t="shared" si="15"/>
        <v>4500</v>
      </c>
      <c r="X107" s="2">
        <f t="shared" si="16"/>
        <v>-1378.147119</v>
      </c>
    </row>
    <row r="108">
      <c r="A108" s="1">
        <v>107.0</v>
      </c>
      <c r="B108" s="2" t="s">
        <v>189</v>
      </c>
      <c r="C108" s="2" t="s">
        <v>189</v>
      </c>
      <c r="D108" s="1" t="s">
        <v>23</v>
      </c>
      <c r="E108" s="1" t="s">
        <v>23</v>
      </c>
      <c r="F108" s="2">
        <f>VLOOKUP(C108, 'Pivot Table 2'!$A$1:$B$123, 2, FALSE)</f>
        <v>69000</v>
      </c>
      <c r="G108" s="1">
        <v>0.0</v>
      </c>
      <c r="H108" s="1">
        <v>0.0</v>
      </c>
      <c r="I108" s="1">
        <v>0.0</v>
      </c>
      <c r="J108" s="1">
        <v>0.0</v>
      </c>
      <c r="N108" s="2">
        <f t="shared" si="12"/>
        <v>69000</v>
      </c>
      <c r="T108" s="2">
        <f>VLOOKUP(C108, 'Pivot Table 2'!$A$1:$C$119, 3, FALSE)</f>
        <v>41057.93559</v>
      </c>
      <c r="U108" s="2">
        <f t="shared" si="13"/>
        <v>41400</v>
      </c>
      <c r="V108" s="2">
        <f t="shared" si="14"/>
        <v>500</v>
      </c>
      <c r="W108" s="2">
        <f t="shared" si="15"/>
        <v>4500</v>
      </c>
      <c r="X108" s="2">
        <f t="shared" si="16"/>
        <v>-4657.935593</v>
      </c>
    </row>
    <row r="109">
      <c r="A109" s="1">
        <v>108.0</v>
      </c>
      <c r="B109" s="2" t="s">
        <v>190</v>
      </c>
      <c r="C109" s="2" t="s">
        <v>190</v>
      </c>
      <c r="D109" s="1" t="s">
        <v>22</v>
      </c>
      <c r="E109" s="1" t="s">
        <v>23</v>
      </c>
      <c r="F109" s="2">
        <f>VLOOKUP(C109, 'Pivot Table 2'!$A$1:$B$123, 2, FALSE)</f>
        <v>5000</v>
      </c>
      <c r="G109" s="1">
        <v>0.0</v>
      </c>
      <c r="H109" s="1">
        <v>0.0</v>
      </c>
      <c r="I109" s="1">
        <v>0.0</v>
      </c>
      <c r="J109" s="1">
        <v>0.0</v>
      </c>
      <c r="N109" s="2">
        <f t="shared" si="12"/>
        <v>5000</v>
      </c>
      <c r="T109" s="2">
        <f>VLOOKUP(C109, 'Pivot Table 2'!$A$1:$C$119, 3, FALSE)</f>
        <v>2736</v>
      </c>
      <c r="U109" s="2">
        <f t="shared" si="13"/>
        <v>3000</v>
      </c>
      <c r="V109" s="2">
        <f t="shared" si="14"/>
        <v>500</v>
      </c>
      <c r="W109" s="2">
        <f t="shared" si="15"/>
        <v>4500</v>
      </c>
      <c r="X109" s="2">
        <f t="shared" si="16"/>
        <v>-4736</v>
      </c>
    </row>
    <row r="110">
      <c r="A110" s="1">
        <v>109.0</v>
      </c>
      <c r="B110" s="2" t="s">
        <v>191</v>
      </c>
      <c r="C110" s="2" t="s">
        <v>191</v>
      </c>
      <c r="D110" s="1" t="s">
        <v>23</v>
      </c>
      <c r="E110" s="1" t="s">
        <v>23</v>
      </c>
      <c r="F110" s="2">
        <f>VLOOKUP(C110, 'Pivot Table 2'!$A$1:$B$123, 2, FALSE)</f>
        <v>38000</v>
      </c>
      <c r="G110" s="1">
        <v>0.0</v>
      </c>
      <c r="H110" s="1">
        <v>0.0</v>
      </c>
      <c r="I110" s="1">
        <v>0.0</v>
      </c>
      <c r="J110" s="1">
        <v>0.0</v>
      </c>
      <c r="N110" s="2">
        <f t="shared" si="12"/>
        <v>38000</v>
      </c>
      <c r="T110" s="2">
        <f>VLOOKUP(C110, 'Pivot Table 2'!$A$1:$C$119, 3, FALSE)</f>
        <v>22401.16136</v>
      </c>
      <c r="U110" s="2">
        <f t="shared" si="13"/>
        <v>22800</v>
      </c>
      <c r="V110" s="2">
        <f t="shared" si="14"/>
        <v>500</v>
      </c>
      <c r="W110" s="2">
        <f t="shared" si="15"/>
        <v>4500</v>
      </c>
      <c r="X110" s="2">
        <f t="shared" si="16"/>
        <v>-4601.161356</v>
      </c>
    </row>
    <row r="111">
      <c r="A111" s="1">
        <v>110.0</v>
      </c>
      <c r="B111" s="2" t="s">
        <v>192</v>
      </c>
      <c r="C111" s="2" t="s">
        <v>192</v>
      </c>
      <c r="D111" s="1" t="s">
        <v>23</v>
      </c>
      <c r="E111" s="1" t="s">
        <v>23</v>
      </c>
      <c r="F111" s="2">
        <f>VLOOKUP(C111, 'Pivot Table 2'!$A$1:$B$123, 2, FALSE)</f>
        <v>59900</v>
      </c>
      <c r="G111" s="1">
        <v>0.0</v>
      </c>
      <c r="H111" s="1">
        <v>0.0</v>
      </c>
      <c r="I111" s="1">
        <v>0.0</v>
      </c>
      <c r="J111" s="1">
        <v>0.0</v>
      </c>
      <c r="N111" s="2">
        <f t="shared" si="12"/>
        <v>59900</v>
      </c>
      <c r="T111" s="2">
        <f>VLOOKUP(C111, 'Pivot Table 2'!$A$1:$C$119, 3, FALSE)</f>
        <v>31133.65085</v>
      </c>
      <c r="U111" s="2">
        <f t="shared" si="13"/>
        <v>35940</v>
      </c>
      <c r="V111" s="2">
        <f t="shared" si="14"/>
        <v>500</v>
      </c>
      <c r="W111" s="2">
        <f t="shared" si="15"/>
        <v>4500</v>
      </c>
      <c r="X111" s="2">
        <f t="shared" si="16"/>
        <v>-193.6508475</v>
      </c>
    </row>
    <row r="112">
      <c r="A112" s="1">
        <v>111.0</v>
      </c>
      <c r="B112" s="2" t="s">
        <v>193</v>
      </c>
      <c r="C112" s="2" t="s">
        <v>193</v>
      </c>
      <c r="D112" s="1" t="s">
        <v>23</v>
      </c>
      <c r="E112" s="1" t="s">
        <v>23</v>
      </c>
      <c r="F112" s="2">
        <f>VLOOKUP(C112, 'Pivot Table 2'!$A$1:$B$123, 2, FALSE)</f>
        <v>48400</v>
      </c>
      <c r="G112" s="1">
        <v>0.0</v>
      </c>
      <c r="H112" s="1">
        <v>0.0</v>
      </c>
      <c r="I112" s="1">
        <v>0.0</v>
      </c>
      <c r="J112" s="1">
        <v>0.0</v>
      </c>
      <c r="N112" s="2">
        <f t="shared" si="12"/>
        <v>48400</v>
      </c>
      <c r="T112" s="2">
        <f>VLOOKUP(C112, 'Pivot Table 2'!$A$1:$C$119, 3, FALSE)</f>
        <v>25887.75051</v>
      </c>
      <c r="U112" s="2">
        <f t="shared" si="13"/>
        <v>29040</v>
      </c>
      <c r="V112" s="2">
        <f t="shared" si="14"/>
        <v>500</v>
      </c>
      <c r="W112" s="2">
        <f t="shared" si="15"/>
        <v>4500</v>
      </c>
      <c r="X112" s="2">
        <f t="shared" si="16"/>
        <v>-1847.750508</v>
      </c>
    </row>
    <row r="113">
      <c r="A113" s="1">
        <v>112.0</v>
      </c>
      <c r="B113" s="2" t="s">
        <v>194</v>
      </c>
      <c r="C113" s="2" t="s">
        <v>194</v>
      </c>
      <c r="D113" s="1" t="s">
        <v>23</v>
      </c>
      <c r="E113" s="1" t="s">
        <v>23</v>
      </c>
      <c r="F113" s="2">
        <f>VLOOKUP(C113, 'Pivot Table 2'!$A$1:$B$123, 2, FALSE)</f>
        <v>66700</v>
      </c>
      <c r="G113" s="1">
        <v>0.0</v>
      </c>
      <c r="H113" s="1">
        <v>0.0</v>
      </c>
      <c r="I113" s="1">
        <v>0.0</v>
      </c>
      <c r="J113" s="1">
        <v>0.0</v>
      </c>
      <c r="N113" s="2">
        <f t="shared" si="12"/>
        <v>66700</v>
      </c>
      <c r="T113" s="2">
        <f>VLOOKUP(C113, 'Pivot Table 2'!$A$1:$C$119, 3, FALSE)</f>
        <v>38716.32271</v>
      </c>
      <c r="U113" s="2">
        <f t="shared" si="13"/>
        <v>40020</v>
      </c>
      <c r="V113" s="2">
        <f t="shared" si="14"/>
        <v>500</v>
      </c>
      <c r="W113" s="2">
        <f t="shared" si="15"/>
        <v>4500</v>
      </c>
      <c r="X113" s="2">
        <f t="shared" si="16"/>
        <v>-3696.322712</v>
      </c>
    </row>
    <row r="114">
      <c r="A114" s="1">
        <v>113.0</v>
      </c>
      <c r="B114" s="2" t="s">
        <v>195</v>
      </c>
      <c r="C114" s="2" t="s">
        <v>195</v>
      </c>
      <c r="D114" s="1" t="s">
        <v>22</v>
      </c>
      <c r="E114" s="1" t="s">
        <v>23</v>
      </c>
      <c r="F114" s="2">
        <f>VLOOKUP(C114, 'Pivot Table 2'!$A$1:$B$123, 2, FALSE)</f>
        <v>5000</v>
      </c>
      <c r="G114" s="1">
        <v>0.0</v>
      </c>
      <c r="H114" s="1">
        <v>0.0</v>
      </c>
      <c r="I114" s="1">
        <v>0.0</v>
      </c>
      <c r="J114" s="1">
        <v>0.0</v>
      </c>
      <c r="N114" s="2">
        <f t="shared" si="12"/>
        <v>5000</v>
      </c>
      <c r="T114" s="2" t="str">
        <f>VLOOKUP(C114, 'Pivot Table 2'!$A$1:$C$119, 3, FALSE)</f>
        <v>#N/A</v>
      </c>
      <c r="U114" s="2">
        <f t="shared" si="13"/>
        <v>3000</v>
      </c>
      <c r="V114" s="2">
        <f t="shared" si="14"/>
        <v>500</v>
      </c>
      <c r="W114" s="2">
        <f t="shared" si="15"/>
        <v>4500</v>
      </c>
      <c r="X114" s="2" t="str">
        <f t="shared" si="16"/>
        <v>#N/A</v>
      </c>
    </row>
    <row r="115">
      <c r="A115" s="1">
        <v>114.0</v>
      </c>
      <c r="B115" s="2" t="s">
        <v>196</v>
      </c>
      <c r="C115" s="2" t="s">
        <v>196</v>
      </c>
      <c r="D115" s="1" t="s">
        <v>23</v>
      </c>
      <c r="E115" s="1" t="s">
        <v>23</v>
      </c>
      <c r="F115" s="2">
        <f>VLOOKUP(C115, 'Pivot Table 2'!$A$1:$B$123, 2, FALSE)</f>
        <v>13500</v>
      </c>
      <c r="G115" s="1">
        <v>0.0</v>
      </c>
      <c r="H115" s="1">
        <v>0.0</v>
      </c>
      <c r="I115" s="1">
        <v>0.0</v>
      </c>
      <c r="J115" s="1">
        <v>0.0</v>
      </c>
      <c r="N115" s="2">
        <f t="shared" si="12"/>
        <v>13500</v>
      </c>
      <c r="T115" s="2" t="str">
        <f>VLOOKUP(C115, 'Pivot Table 2'!$A$1:$C$119, 3, FALSE)</f>
        <v>#N/A</v>
      </c>
      <c r="U115" s="2">
        <f t="shared" si="13"/>
        <v>8100</v>
      </c>
      <c r="V115" s="2">
        <f t="shared" si="14"/>
        <v>500</v>
      </c>
      <c r="W115" s="2">
        <f t="shared" si="15"/>
        <v>4500</v>
      </c>
      <c r="X115" s="2" t="str">
        <f t="shared" si="16"/>
        <v>#N/A</v>
      </c>
    </row>
    <row r="116">
      <c r="A116" s="1">
        <v>115.0</v>
      </c>
      <c r="B116" s="2" t="s">
        <v>197</v>
      </c>
      <c r="C116" s="2" t="s">
        <v>197</v>
      </c>
      <c r="D116" s="1" t="s">
        <v>23</v>
      </c>
      <c r="E116" s="1" t="s">
        <v>23</v>
      </c>
      <c r="F116" s="2">
        <f>VLOOKUP(C116, 'Pivot Table 2'!$A$1:$B$123, 2, FALSE)</f>
        <v>47500</v>
      </c>
      <c r="G116" s="1">
        <v>0.0</v>
      </c>
      <c r="H116" s="1">
        <v>0.0</v>
      </c>
      <c r="I116" s="1">
        <v>0.0</v>
      </c>
      <c r="J116" s="1">
        <v>0.0</v>
      </c>
      <c r="N116" s="2">
        <f t="shared" si="12"/>
        <v>47500</v>
      </c>
      <c r="T116" s="2" t="str">
        <f>VLOOKUP(C116, 'Pivot Table 2'!$A$1:$C$119, 3, FALSE)</f>
        <v>#N/A</v>
      </c>
      <c r="U116" s="2">
        <f t="shared" si="13"/>
        <v>28500</v>
      </c>
      <c r="V116" s="2">
        <f t="shared" si="14"/>
        <v>500</v>
      </c>
      <c r="W116" s="2">
        <f t="shared" si="15"/>
        <v>4500</v>
      </c>
      <c r="X116" s="2" t="str">
        <f t="shared" si="16"/>
        <v>#N/A</v>
      </c>
    </row>
    <row r="117">
      <c r="A117" s="1">
        <v>116.0</v>
      </c>
      <c r="B117" s="2" t="s">
        <v>198</v>
      </c>
      <c r="C117" s="2" t="s">
        <v>198</v>
      </c>
      <c r="D117" s="1" t="s">
        <v>23</v>
      </c>
      <c r="E117" s="1" t="s">
        <v>23</v>
      </c>
      <c r="F117" s="2">
        <f>VLOOKUP(C117, 'Pivot Table 2'!$A$1:$B$123, 2, FALSE)</f>
        <v>67200</v>
      </c>
      <c r="G117" s="1">
        <v>0.0</v>
      </c>
      <c r="H117" s="1">
        <v>0.0</v>
      </c>
      <c r="I117" s="1">
        <v>0.0</v>
      </c>
      <c r="J117" s="1">
        <v>0.0</v>
      </c>
      <c r="N117" s="2">
        <f t="shared" si="12"/>
        <v>67200</v>
      </c>
      <c r="T117" s="2" t="str">
        <f>VLOOKUP(C117, 'Pivot Table 2'!$A$1:$C$119, 3, FALSE)</f>
        <v>#N/A</v>
      </c>
      <c r="U117" s="2">
        <f t="shared" si="13"/>
        <v>40320</v>
      </c>
      <c r="V117" s="2">
        <f t="shared" si="14"/>
        <v>500</v>
      </c>
      <c r="W117" s="2">
        <f t="shared" si="15"/>
        <v>4500</v>
      </c>
      <c r="X117" s="2" t="str">
        <f t="shared" si="16"/>
        <v>#N/A</v>
      </c>
    </row>
    <row r="118">
      <c r="A118" s="1">
        <v>117.0</v>
      </c>
      <c r="B118" s="1" t="s">
        <v>199</v>
      </c>
      <c r="C118" s="1" t="s">
        <v>200</v>
      </c>
      <c r="D118" s="1" t="s">
        <v>23</v>
      </c>
      <c r="E118" s="1" t="s">
        <v>23</v>
      </c>
      <c r="F118" s="2">
        <f>VLOOKUP(C118, 'Pivot Table 2'!$A$1:$B$123, 2, FALSE)</f>
        <v>72000</v>
      </c>
      <c r="G118" s="1">
        <v>1.0</v>
      </c>
      <c r="H118" s="1">
        <v>0.0</v>
      </c>
      <c r="I118" s="1">
        <v>0.0</v>
      </c>
      <c r="J118" s="1">
        <v>2.0</v>
      </c>
      <c r="K118" s="1">
        <v>1.0</v>
      </c>
      <c r="L118" s="1">
        <v>0.0</v>
      </c>
      <c r="M118" s="1" t="s">
        <v>6</v>
      </c>
      <c r="N118" s="2">
        <f t="shared" si="12"/>
        <v>79000</v>
      </c>
      <c r="O118" s="1" t="s">
        <v>55</v>
      </c>
      <c r="T118" s="2">
        <f>VLOOKUP(C118, 'Pivot Table 2'!$A$1:$C$119, 3, FALSE)</f>
        <v>37906.57966</v>
      </c>
      <c r="U118" s="2">
        <f t="shared" si="13"/>
        <v>43200</v>
      </c>
      <c r="V118" s="2">
        <f t="shared" si="14"/>
        <v>500</v>
      </c>
      <c r="W118" s="2">
        <f t="shared" si="15"/>
        <v>4500</v>
      </c>
      <c r="X118" s="2">
        <f t="shared" si="16"/>
        <v>293.420339</v>
      </c>
      <c r="Y118" s="4">
        <f t="shared" ref="Y118:Y119" si="17">40%</f>
        <v>0.4</v>
      </c>
    </row>
    <row r="119">
      <c r="A119" s="1">
        <v>118.0</v>
      </c>
      <c r="B119" s="1" t="s">
        <v>201</v>
      </c>
      <c r="C119" s="1" t="s">
        <v>202</v>
      </c>
      <c r="D119" s="1" t="s">
        <v>23</v>
      </c>
      <c r="E119" s="1" t="s">
        <v>23</v>
      </c>
      <c r="F119" s="2">
        <f>VLOOKUP(C119, 'Pivot Table 2'!$A$1:$B$123, 2, FALSE)</f>
        <v>42500</v>
      </c>
      <c r="G119" s="1">
        <v>0.0</v>
      </c>
      <c r="H119" s="1">
        <v>0.0</v>
      </c>
      <c r="I119" s="1">
        <v>0.0</v>
      </c>
      <c r="J119" s="1">
        <v>3.0</v>
      </c>
      <c r="K119" s="1">
        <v>0.0</v>
      </c>
      <c r="L119" s="1">
        <v>2.0</v>
      </c>
      <c r="M119" s="1" t="s">
        <v>6</v>
      </c>
      <c r="N119" s="2">
        <f t="shared" si="12"/>
        <v>47500</v>
      </c>
      <c r="T119" s="2">
        <f>VLOOKUP(C119, 'Pivot Table 2'!$A$1:$C$119, 3, FALSE)</f>
        <v>20489.36339</v>
      </c>
      <c r="U119" s="2">
        <f t="shared" si="13"/>
        <v>25500</v>
      </c>
      <c r="V119" s="2">
        <f t="shared" si="14"/>
        <v>500</v>
      </c>
      <c r="W119" s="2">
        <f t="shared" si="15"/>
        <v>4500</v>
      </c>
      <c r="X119" s="2">
        <f t="shared" si="16"/>
        <v>10.63661017</v>
      </c>
      <c r="Y119" s="4">
        <f t="shared" si="17"/>
        <v>0.4</v>
      </c>
    </row>
    <row r="120">
      <c r="A120" s="1">
        <v>119.0</v>
      </c>
      <c r="B120" s="1" t="s">
        <v>203</v>
      </c>
      <c r="C120" s="1" t="s">
        <v>204</v>
      </c>
      <c r="D120" s="1" t="s">
        <v>23</v>
      </c>
      <c r="E120" s="1" t="s">
        <v>23</v>
      </c>
      <c r="F120" s="2">
        <f>VLOOKUP(C120, 'Pivot Table 2'!$A$1:$B$123, 2, FALSE)</f>
        <v>5000</v>
      </c>
      <c r="G120" s="1">
        <v>1.0</v>
      </c>
      <c r="H120" s="1">
        <v>0.0</v>
      </c>
      <c r="I120" s="1">
        <v>0.0</v>
      </c>
      <c r="J120" s="1">
        <v>4.0</v>
      </c>
      <c r="K120" s="1">
        <v>0.0</v>
      </c>
      <c r="L120" s="1">
        <v>0.0</v>
      </c>
      <c r="M120" s="1" t="s">
        <v>6</v>
      </c>
      <c r="N120" s="2">
        <f t="shared" si="12"/>
        <v>13000</v>
      </c>
      <c r="O120" s="1" t="s">
        <v>55</v>
      </c>
      <c r="T120" s="2">
        <f>VLOOKUP(C120, 'Pivot Table 2'!$A$1:$C$119, 3, FALSE)</f>
        <v>2736</v>
      </c>
      <c r="U120" s="2">
        <f t="shared" si="13"/>
        <v>3000</v>
      </c>
      <c r="V120" s="2">
        <f t="shared" si="14"/>
        <v>500</v>
      </c>
      <c r="W120" s="2">
        <f t="shared" si="15"/>
        <v>4500</v>
      </c>
      <c r="X120" s="10">
        <f t="shared" si="16"/>
        <v>-4736</v>
      </c>
    </row>
    <row r="121">
      <c r="A121" s="1">
        <v>120.0</v>
      </c>
      <c r="B121" s="1" t="s">
        <v>205</v>
      </c>
      <c r="C121" s="1" t="s">
        <v>206</v>
      </c>
      <c r="D121" s="1" t="s">
        <v>23</v>
      </c>
      <c r="E121" s="1" t="s">
        <v>23</v>
      </c>
      <c r="F121" s="2">
        <f>VLOOKUP(C121, 'Pivot Table 2'!$A$1:$B$123, 2, FALSE)</f>
        <v>60000</v>
      </c>
      <c r="G121" s="1">
        <v>1.0</v>
      </c>
      <c r="H121" s="1">
        <v>0.0</v>
      </c>
      <c r="I121" s="1">
        <v>0.0</v>
      </c>
      <c r="J121" s="1">
        <v>0.0</v>
      </c>
      <c r="K121" s="1">
        <v>2.0</v>
      </c>
      <c r="L121" s="1">
        <v>1.0</v>
      </c>
      <c r="M121" s="1" t="s">
        <v>6</v>
      </c>
      <c r="N121" s="2">
        <f t="shared" si="12"/>
        <v>67000</v>
      </c>
      <c r="T121" s="2">
        <f>VLOOKUP(C121, 'Pivot Table 2'!$A$1:$C$119, 3, FALSE)</f>
        <v>32897.09356</v>
      </c>
      <c r="U121" s="2">
        <f t="shared" si="13"/>
        <v>36000</v>
      </c>
      <c r="V121" s="2">
        <f t="shared" si="14"/>
        <v>500</v>
      </c>
      <c r="W121" s="2">
        <f t="shared" si="15"/>
        <v>4500</v>
      </c>
      <c r="X121" s="2">
        <f t="shared" si="16"/>
        <v>-1897.093559</v>
      </c>
      <c r="Y121" s="4">
        <f>35%</f>
        <v>0.35</v>
      </c>
    </row>
    <row r="122">
      <c r="A122" s="1">
        <v>121.0</v>
      </c>
      <c r="B122" s="1" t="s">
        <v>207</v>
      </c>
      <c r="C122" s="1" t="s">
        <v>208</v>
      </c>
      <c r="D122" s="1" t="s">
        <v>23</v>
      </c>
      <c r="E122" s="1" t="s">
        <v>23</v>
      </c>
      <c r="F122" s="2">
        <f>VLOOKUP(C122, 'Pivot Table 2'!$A$1:$B$123, 2, FALSE)</f>
        <v>94000</v>
      </c>
      <c r="G122" s="1">
        <v>1.0</v>
      </c>
      <c r="H122" s="1">
        <v>0.0</v>
      </c>
      <c r="I122" s="1">
        <v>0.0</v>
      </c>
      <c r="J122" s="1">
        <v>2.0</v>
      </c>
      <c r="K122" s="1">
        <v>1.0</v>
      </c>
      <c r="L122" s="1">
        <v>0.0</v>
      </c>
      <c r="M122" s="1" t="s">
        <v>6</v>
      </c>
      <c r="N122" s="2">
        <f t="shared" si="12"/>
        <v>101000</v>
      </c>
      <c r="O122" s="1" t="s">
        <v>55</v>
      </c>
      <c r="T122" s="2">
        <f>VLOOKUP(C122, 'Pivot Table 2'!$A$1:$C$119, 3, FALSE)</f>
        <v>48735.22373</v>
      </c>
      <c r="U122" s="2">
        <f t="shared" si="13"/>
        <v>56400</v>
      </c>
      <c r="V122" s="2">
        <f t="shared" si="14"/>
        <v>500</v>
      </c>
      <c r="W122" s="2">
        <f t="shared" si="15"/>
        <v>4500</v>
      </c>
      <c r="X122" s="2">
        <f t="shared" si="16"/>
        <v>2664.776271</v>
      </c>
      <c r="Y122" s="4">
        <f>40%</f>
        <v>0.4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6.0"/>
    <col customWidth="1" min="3" max="3" width="17.0"/>
    <col customWidth="1" min="4" max="5" width="19.38"/>
  </cols>
  <sheetData>
    <row r="1">
      <c r="A1" s="1" t="s">
        <v>209</v>
      </c>
      <c r="B1" s="1" t="s">
        <v>210</v>
      </c>
      <c r="C1" s="1" t="s">
        <v>211</v>
      </c>
      <c r="D1" s="12" t="s">
        <v>212</v>
      </c>
      <c r="E1" s="1" t="s">
        <v>213</v>
      </c>
      <c r="F1" s="1" t="s">
        <v>214</v>
      </c>
      <c r="G1" s="1" t="s">
        <v>215</v>
      </c>
    </row>
    <row r="2">
      <c r="A2" s="1">
        <v>1.0</v>
      </c>
      <c r="B2" s="1" t="str">
        <f>VLOOKUP(E2, SAP!$G$1:$V$236, 16, FALSE)</f>
        <v>Charcoal (PS)-Cream-Matte-PN 06167 || 8 ft x 5 inch</v>
      </c>
      <c r="C2" s="1" t="s">
        <v>216</v>
      </c>
      <c r="D2" s="13" t="str">
        <f t="array" ref="D2:D95">unique(Mapping!C2:C616)</f>
        <v>WHSWPLCS017</v>
      </c>
      <c r="E2" s="13" t="s">
        <v>217</v>
      </c>
      <c r="F2" s="2">
        <f>vlookup(E2,SAP!G$1:S$236,13,0)</f>
        <v>2500</v>
      </c>
      <c r="G2" s="14">
        <f>vlookup(E2,SAP!G$1:S$236,12,0)</f>
        <v>1084.067797</v>
      </c>
    </row>
    <row r="3">
      <c r="A3" s="1">
        <v>2.0</v>
      </c>
      <c r="B3" s="1" t="str">
        <f>VLOOKUP(E3, SAP!$G$1:$V$236, 16, FALSE)</f>
        <v>Charcoal (PS)-Pine-Wood Grain-PN 03221 || 8 ft x 5 inch</v>
      </c>
      <c r="C3" s="1" t="s">
        <v>216</v>
      </c>
      <c r="D3" s="13" t="s">
        <v>218</v>
      </c>
      <c r="E3" s="13" t="s">
        <v>218</v>
      </c>
      <c r="F3" s="2">
        <f>vlookup(E3,SAP!G$1:S$236,13,0)</f>
        <v>1500</v>
      </c>
      <c r="G3" s="14">
        <f>vlookup(E3,SAP!G$1:S$236,12,0)</f>
        <v>595.8644068</v>
      </c>
    </row>
    <row r="4">
      <c r="A4" s="1">
        <v>3.0</v>
      </c>
      <c r="B4" s="1" t="str">
        <f>VLOOKUP(E4, SAP!$G$1:$V$236, 16, FALSE)</f>
        <v>Charcoal (PS)-Light-Wood Grain-PN 06277 || 8 ft x 5 inch</v>
      </c>
      <c r="C4" s="1" t="s">
        <v>216</v>
      </c>
      <c r="D4" s="13" t="s">
        <v>219</v>
      </c>
      <c r="E4" s="13" t="s">
        <v>219</v>
      </c>
      <c r="F4" s="2">
        <f>vlookup(E4,SAP!G$1:S$236,13,0)</f>
        <v>1500</v>
      </c>
      <c r="G4" s="14">
        <f>vlookup(E4,SAP!G$1:S$236,12,0)</f>
        <v>609.4915254</v>
      </c>
    </row>
    <row r="5">
      <c r="A5" s="1">
        <v>4.0</v>
      </c>
      <c r="B5" s="1" t="str">
        <f>VLOOKUP(E5, SAP!$G$1:$V$236, 16, FALSE)</f>
        <v>Charcoal (PS)-Brown-Wood Grain-PN 03399 || 8 ft x 5 inch</v>
      </c>
      <c r="C5" s="1" t="s">
        <v>216</v>
      </c>
      <c r="D5" s="13" t="s">
        <v>220</v>
      </c>
      <c r="E5" s="13" t="s">
        <v>220</v>
      </c>
      <c r="F5" s="2">
        <f>vlookup(E5,SAP!G$1:S$236,13,0)</f>
        <v>2000</v>
      </c>
      <c r="G5" s="14">
        <f>vlookup(E5,SAP!G$1:S$236,12,0)</f>
        <v>894.1694915</v>
      </c>
    </row>
    <row r="6">
      <c r="A6" s="1">
        <v>5.0</v>
      </c>
      <c r="B6" s="1" t="str">
        <f>VLOOKUP(E6, SAP!$G$1:$V$236, 16, FALSE)</f>
        <v>240 LED strip light (5m)</v>
      </c>
      <c r="C6" s="1" t="s">
        <v>216</v>
      </c>
      <c r="D6" s="13" t="s">
        <v>221</v>
      </c>
      <c r="E6" s="13" t="s">
        <v>221</v>
      </c>
      <c r="F6" s="2">
        <f>vlookup(E6,SAP!G$1:S$236,13,0)</f>
        <v>1500</v>
      </c>
      <c r="G6" s="14">
        <f>vlookup(E6,SAP!G$1:S$236,12,0)</f>
        <v>750</v>
      </c>
    </row>
    <row r="7">
      <c r="A7" s="1">
        <v>6.0</v>
      </c>
      <c r="B7" s="1" t="str">
        <f>VLOOKUP(E7, SAP!$G$1:$V$236, 16, FALSE)</f>
        <v>16X16 Alumnium Angular Profile (3m) || 16 x 16 mm</v>
      </c>
      <c r="C7" s="1" t="s">
        <v>216</v>
      </c>
      <c r="D7" s="13" t="s">
        <v>222</v>
      </c>
      <c r="E7" s="13" t="s">
        <v>222</v>
      </c>
      <c r="F7" s="2">
        <f>vlookup(E7,SAP!G$1:S$236,13,0)</f>
        <v>500</v>
      </c>
      <c r="G7" s="14">
        <f>vlookup(E7,SAP!G$1:S$236,12,0)</f>
        <v>270</v>
      </c>
    </row>
    <row r="8">
      <c r="A8" s="1">
        <v>7.0</v>
      </c>
      <c r="B8" s="1" t="str">
        <f>VLOOKUP(E8, SAP!$G$1:$V$236, 16, FALSE)</f>
        <v>10 AMP (24V) LED Power Adapter</v>
      </c>
      <c r="C8" s="1" t="s">
        <v>216</v>
      </c>
      <c r="D8" s="13" t="s">
        <v>223</v>
      </c>
      <c r="E8" s="13" t="s">
        <v>223</v>
      </c>
      <c r="F8" s="2">
        <f>vlookup(E8,SAP!G$1:S$236,13,0)</f>
        <v>1500</v>
      </c>
      <c r="G8" s="14">
        <f>vlookup(E8,SAP!G$1:S$236,12,0)</f>
        <v>750</v>
      </c>
    </row>
    <row r="9">
      <c r="A9" s="1">
        <v>8.0</v>
      </c>
      <c r="B9" s="1" t="str">
        <f>VLOOKUP(E9, SAP!$G$1:$V$236, 16, FALSE)</f>
        <v>Aluminium channels reactangular 1 mm || 12 ft x 50 mm</v>
      </c>
      <c r="C9" s="1" t="s">
        <v>216</v>
      </c>
      <c r="D9" s="13" t="s">
        <v>224</v>
      </c>
      <c r="E9" s="13" t="s">
        <v>224</v>
      </c>
      <c r="F9" s="2">
        <f>vlookup(E9,SAP!G$1:S$236,13,0)</f>
        <v>1000</v>
      </c>
      <c r="G9" s="14">
        <f>vlookup(E9,SAP!G$1:S$236,12,0)</f>
        <v>675</v>
      </c>
    </row>
    <row r="10">
      <c r="A10" s="1">
        <v>9.0</v>
      </c>
      <c r="B10" s="1" t="str">
        <f>VLOOKUP(E10, SAP!$G$1:$V$236, 16, FALSE)</f>
        <v>PVC board 11 mm || 8 ft x 4 ft</v>
      </c>
      <c r="C10" s="1" t="s">
        <v>216</v>
      </c>
      <c r="D10" s="13" t="s">
        <v>225</v>
      </c>
      <c r="E10" s="13" t="s">
        <v>225</v>
      </c>
      <c r="F10" s="2">
        <f>vlookup(E10,SAP!G$1:S$236,13,0)</f>
        <v>2500</v>
      </c>
      <c r="G10" s="14">
        <f>vlookup(E10,SAP!G$1:S$236,12,0)</f>
        <v>2050</v>
      </c>
    </row>
    <row r="11">
      <c r="A11" s="1">
        <v>10.0</v>
      </c>
      <c r="B11" s="1" t="str">
        <f>VLOOKUP(E11, SAP!$G$1:$V$236, 16, FALSE)</f>
        <v>Wall Bidding WPC 08</v>
      </c>
      <c r="C11" s="1" t="s">
        <v>216</v>
      </c>
      <c r="D11" s="13" t="s">
        <v>30</v>
      </c>
      <c r="E11" s="13" t="s">
        <v>30</v>
      </c>
      <c r="F11" s="2">
        <f>vlookup(E11,SAP!G$1:S$236,13,0)</f>
        <v>500</v>
      </c>
      <c r="G11" s="2">
        <f>vlookup(E11,SAP!G$1:S$236,12,0)</f>
        <v>250</v>
      </c>
    </row>
    <row r="12">
      <c r="A12" s="1">
        <v>11.0</v>
      </c>
      <c r="B12" s="1" t="str">
        <f>VLOOKUP(E12, SAP!$G$1:$V$236, 16, FALSE)</f>
        <v>Charcoal (PS)-Dark-Wood Grain-PN 02746 || 9.5 ft x 4.8 inch</v>
      </c>
      <c r="C12" s="1" t="s">
        <v>216</v>
      </c>
      <c r="D12" s="13" t="s">
        <v>226</v>
      </c>
      <c r="E12" s="13" t="s">
        <v>226</v>
      </c>
      <c r="F12" s="2">
        <f>vlookup(E12,SAP!G$1:S$236,13,0)</f>
        <v>2000</v>
      </c>
      <c r="G12" s="14">
        <f>vlookup(E12,SAP!G$1:S$236,12,0)</f>
        <v>819.5932203</v>
      </c>
    </row>
    <row r="13">
      <c r="A13" s="1">
        <v>12.0</v>
      </c>
      <c r="B13" s="1" t="str">
        <f>VLOOKUP(E13, SAP!$G$1:$V$236, 16, FALSE)</f>
        <v>Wall Bidding WPC 01</v>
      </c>
      <c r="C13" s="1" t="s">
        <v>216</v>
      </c>
      <c r="D13" s="13" t="s">
        <v>34</v>
      </c>
      <c r="E13" s="13" t="s">
        <v>34</v>
      </c>
      <c r="F13" s="2">
        <f>vlookup(E13,SAP!G$1:S$236,13,0)</f>
        <v>500</v>
      </c>
      <c r="G13" s="2">
        <f>vlookup(E13,SAP!G$1:S$236,12,0)</f>
        <v>250</v>
      </c>
    </row>
    <row r="14">
      <c r="A14" s="1">
        <v>13.0</v>
      </c>
      <c r="B14" s="1" t="str">
        <f>VLOOKUP(E14, SAP!$G$1:$V$236, 16, FALSE)</f>
        <v>Charcoal (PS)-Walnut-Wood Grain-PN 03223 || 8 ft x 5 inch</v>
      </c>
      <c r="C14" s="1" t="s">
        <v>216</v>
      </c>
      <c r="D14" s="13" t="s">
        <v>227</v>
      </c>
      <c r="E14" s="13" t="s">
        <v>227</v>
      </c>
      <c r="F14" s="2">
        <f>vlookup(E14,SAP!G$1:S$236,13,0)</f>
        <v>1500</v>
      </c>
      <c r="G14" s="14">
        <f>vlookup(E14,SAP!G$1:S$236,12,0)</f>
        <v>595.8644068</v>
      </c>
    </row>
    <row r="15">
      <c r="A15" s="1">
        <v>14.0</v>
      </c>
      <c r="B15" s="1" t="str">
        <f>VLOOKUP(E15, SAP!$G$1:$V$236, 16, FALSE)</f>
        <v>Square box wo backpanel light wood grain</v>
      </c>
      <c r="C15" s="1" t="s">
        <v>216</v>
      </c>
      <c r="D15" s="13" t="s">
        <v>38</v>
      </c>
      <c r="E15" s="13" t="s">
        <v>38</v>
      </c>
      <c r="F15" s="2">
        <f>vlookup(E15,SAP!G$1:S$236,13,0)</f>
        <v>1000</v>
      </c>
      <c r="G15" s="2">
        <f>vlookup(E15,SAP!G$1:S$236,12,0)</f>
        <v>250</v>
      </c>
    </row>
    <row r="16">
      <c r="A16" s="1">
        <v>15.0</v>
      </c>
      <c r="B16" s="1" t="str">
        <f>VLOOKUP(E16, SAP!$G$1:$V$236, 16, FALSE)</f>
        <v>Rangular box wo backpanel lightwoodgrain</v>
      </c>
      <c r="C16" s="1" t="s">
        <v>216</v>
      </c>
      <c r="D16" s="13" t="s">
        <v>39</v>
      </c>
      <c r="E16" s="13" t="s">
        <v>39</v>
      </c>
      <c r="F16" s="2">
        <f>vlookup(E16,SAP!G$1:S$236,13,0)</f>
        <v>1000</v>
      </c>
      <c r="G16" s="2">
        <f>vlookup(E16,SAP!G$1:S$236,12,0)</f>
        <v>250</v>
      </c>
    </row>
    <row r="17">
      <c r="A17" s="1">
        <v>16.0</v>
      </c>
      <c r="B17" s="1" t="str">
        <f>VLOOKUP(E17, SAP!$G$1:$V$236, 16, FALSE)</f>
        <v>Charcoal (PS)-Medium-Wood Grain-PN 05656 || 8 ft x 5 inch</v>
      </c>
      <c r="C17" s="1" t="s">
        <v>216</v>
      </c>
      <c r="D17" s="13" t="s">
        <v>228</v>
      </c>
      <c r="E17" s="13" t="s">
        <v>228</v>
      </c>
      <c r="F17" s="2">
        <f>vlookup(E17,SAP!G$1:S$236,13,0)</f>
        <v>2000</v>
      </c>
      <c r="G17" s="14">
        <f>vlookup(E17,SAP!G$1:S$236,12,0)</f>
        <v>968.7457627</v>
      </c>
    </row>
    <row r="18">
      <c r="A18" s="1">
        <v>17.0</v>
      </c>
      <c r="B18" s="1" t="str">
        <f>VLOOKUP(E18, SAP!$G$1:$V$236, 16, FALSE)</f>
        <v>Wall Bidding WPC 03</v>
      </c>
      <c r="C18" s="1" t="s">
        <v>216</v>
      </c>
      <c r="D18" s="13" t="s">
        <v>42</v>
      </c>
      <c r="E18" s="13" t="s">
        <v>42</v>
      </c>
      <c r="F18" s="2">
        <f>vlookup(E18,SAP!G$1:S$236,13,0)</f>
        <v>500</v>
      </c>
      <c r="G18" s="2">
        <f>vlookup(E18,SAP!G$1:S$236,12,0)</f>
        <v>250</v>
      </c>
    </row>
    <row r="19">
      <c r="A19" s="1">
        <v>18.0</v>
      </c>
      <c r="B19" s="1" t="str">
        <f>VLOOKUP(E19, SAP!$G$1:$V$236, 16, FALSE)</f>
        <v>Charcoal (PS)-Dark-Wood Grain-PN 03889 || 8 ft x 5 inch</v>
      </c>
      <c r="C19" s="1" t="s">
        <v>216</v>
      </c>
      <c r="D19" s="13" t="s">
        <v>229</v>
      </c>
      <c r="E19" s="13" t="s">
        <v>229</v>
      </c>
      <c r="F19" s="2">
        <f>vlookup(E19,SAP!G$1:S$236,13,0)</f>
        <v>1500</v>
      </c>
      <c r="G19" s="14">
        <f>vlookup(E19,SAP!G$1:S$236,12,0)</f>
        <v>745.0169492</v>
      </c>
    </row>
    <row r="20">
      <c r="A20" s="1">
        <v>19.0</v>
      </c>
      <c r="B20" s="1" t="str">
        <f>VLOOKUP(E20, SAP!$G$1:$V$236, 16, FALSE)</f>
        <v>Charcoal (PS)-Dark Grey-Matte-PN 00545 || 8 ft x 5 inch</v>
      </c>
      <c r="C20" s="1" t="s">
        <v>216</v>
      </c>
      <c r="D20" s="13" t="s">
        <v>230</v>
      </c>
      <c r="E20" s="13" t="s">
        <v>230</v>
      </c>
      <c r="F20" s="2">
        <f>vlookup(E20,SAP!G$1:S$236,13,0)</f>
        <v>2000</v>
      </c>
      <c r="G20" s="14">
        <f>vlookup(E20,SAP!G$1:S$236,12,0)</f>
        <v>819.5932203</v>
      </c>
    </row>
    <row r="21">
      <c r="A21" s="1">
        <v>20.0</v>
      </c>
      <c r="B21" s="1" t="str">
        <f>VLOOKUP(E21, SAP!$G$1:$V$236, 16, FALSE)</f>
        <v>Wall Bidding WPC 02</v>
      </c>
      <c r="C21" s="1" t="s">
        <v>216</v>
      </c>
      <c r="D21" s="13" t="s">
        <v>47</v>
      </c>
      <c r="E21" s="13" t="s">
        <v>47</v>
      </c>
      <c r="F21" s="2">
        <f>vlookup(E21,SAP!G$1:S$236,13,0)</f>
        <v>500</v>
      </c>
      <c r="G21" s="2">
        <f>vlookup(E21,SAP!G$1:S$236,12,0)</f>
        <v>250</v>
      </c>
    </row>
    <row r="22">
      <c r="A22" s="1">
        <v>21.0</v>
      </c>
      <c r="B22" s="1" t="str">
        <f>VLOOKUP(E22, SAP!$G$1:$V$236, 16, FALSE)</f>
        <v>Charcoal (PS)-Cream-Matte-PN 05667 || 8 ft x 5 inch</v>
      </c>
      <c r="C22" s="1" t="s">
        <v>216</v>
      </c>
      <c r="D22" s="13" t="s">
        <v>231</v>
      </c>
      <c r="E22" s="13" t="s">
        <v>231</v>
      </c>
      <c r="F22" s="2">
        <f>vlookup(E22,SAP!G$1:S$236,13,0)</f>
        <v>1500</v>
      </c>
      <c r="G22" s="14">
        <f>vlookup(E22,SAP!G$1:S$236,12,0)</f>
        <v>609.4915254</v>
      </c>
    </row>
    <row r="23">
      <c r="A23" s="1">
        <v>22.0</v>
      </c>
      <c r="B23" s="1" t="str">
        <f>VLOOKUP(E23, SAP!$G$1:$V$236, 16, FALSE)</f>
        <v>Charcoal (PS)-Dark-Wood Grain-PN 03027 || 8 ft x 5 inch</v>
      </c>
      <c r="C23" s="1" t="s">
        <v>216</v>
      </c>
      <c r="D23" s="13" t="s">
        <v>232</v>
      </c>
      <c r="E23" s="13" t="s">
        <v>232</v>
      </c>
      <c r="F23" s="2">
        <f>vlookup(E23,SAP!G$1:S$236,13,0)</f>
        <v>1500</v>
      </c>
      <c r="G23" s="14">
        <f>vlookup(E23,SAP!G$1:S$236,12,0)</f>
        <v>609.4915254</v>
      </c>
    </row>
    <row r="24">
      <c r="A24" s="1">
        <v>23.0</v>
      </c>
      <c r="B24" s="1" t="str">
        <f>VLOOKUP(E24, SAP!$G$1:$V$236, 16, FALSE)</f>
        <v>Charcoal (PS)-Walnut-Wood Grain-PN 00149 || 8 ft x 5 inch</v>
      </c>
      <c r="C24" s="1" t="s">
        <v>216</v>
      </c>
      <c r="D24" s="13" t="s">
        <v>233</v>
      </c>
      <c r="E24" s="13" t="s">
        <v>233</v>
      </c>
      <c r="F24" s="2">
        <f>vlookup(E24,SAP!G$1:S$236,13,0)</f>
        <v>1500</v>
      </c>
      <c r="G24" s="14">
        <f>vlookup(E24,SAP!G$1:S$236,12,0)</f>
        <v>670.440678</v>
      </c>
    </row>
    <row r="25">
      <c r="A25" s="1">
        <v>24.0</v>
      </c>
      <c r="B25" s="1" t="str">
        <f>VLOOKUP(E25, SAP!$G$1:$V$236, 16, FALSE)</f>
        <v>Charcoal (PS)-White-Matte-PN 00155 || 8 ft x 5 inch</v>
      </c>
      <c r="C25" s="1" t="s">
        <v>216</v>
      </c>
      <c r="D25" s="13" t="s">
        <v>234</v>
      </c>
      <c r="E25" s="13" t="s">
        <v>234</v>
      </c>
      <c r="F25" s="2">
        <f>vlookup(E25,SAP!G$1:S$236,13,0)</f>
        <v>1500</v>
      </c>
      <c r="G25" s="14">
        <f>vlookup(E25,SAP!G$1:S$236,12,0)</f>
        <v>670.440678</v>
      </c>
    </row>
    <row r="26">
      <c r="A26" s="1">
        <v>25.0</v>
      </c>
      <c r="B26" s="1" t="str">
        <f>VLOOKUP(E26, SAP!$G$1:$V$236, 16, FALSE)</f>
        <v>Square box wo backpanel mid wood grain</v>
      </c>
      <c r="C26" s="1" t="s">
        <v>216</v>
      </c>
      <c r="D26" s="13" t="s">
        <v>56</v>
      </c>
      <c r="E26" s="13" t="s">
        <v>56</v>
      </c>
      <c r="F26" s="2">
        <f>vlookup(E26,SAP!G$1:S$236,13,0)</f>
        <v>1000</v>
      </c>
      <c r="G26" s="2">
        <f>vlookup(E26,SAP!G$1:S$236,12,0)</f>
        <v>250</v>
      </c>
    </row>
    <row r="27">
      <c r="A27" s="1">
        <v>26.0</v>
      </c>
      <c r="B27" s="1" t="str">
        <f>VLOOKUP(E27, SAP!$G$1:$V$236, 16, FALSE)</f>
        <v>Wall storage 300mm shelf light woodgrain</v>
      </c>
      <c r="C27" s="1" t="s">
        <v>216</v>
      </c>
      <c r="D27" s="13" t="s">
        <v>61</v>
      </c>
      <c r="E27" s="13" t="s">
        <v>61</v>
      </c>
      <c r="F27" s="2">
        <f>vlookup(E27,SAP!G$1:S$236,13,0)</f>
        <v>1000</v>
      </c>
      <c r="G27" s="2">
        <f>vlookup(E27,SAP!G$1:S$236,12,0)</f>
        <v>250</v>
      </c>
    </row>
    <row r="28">
      <c r="A28" s="1">
        <v>27.0</v>
      </c>
      <c r="B28" s="1" t="str">
        <f>VLOOKUP(E28, SAP!$G$1:$V$236, 16, FALSE)</f>
        <v>Charcoal (PS)-Walnut-Wood Grain-PN 02347 || 8 ft x 2 ft</v>
      </c>
      <c r="C28" s="1" t="s">
        <v>216</v>
      </c>
      <c r="D28" s="13" t="s">
        <v>235</v>
      </c>
      <c r="E28" s="13" t="s">
        <v>235</v>
      </c>
      <c r="F28" s="2">
        <f>vlookup(E28,SAP!G$1:S$236,13,0)</f>
        <v>2500</v>
      </c>
      <c r="G28" s="14">
        <f>vlookup(E28,SAP!G$1:S$236,12,0)</f>
        <v>1117.898305</v>
      </c>
    </row>
    <row r="29">
      <c r="A29" s="1">
        <v>28.0</v>
      </c>
      <c r="B29" s="1" t="str">
        <f>VLOOKUP(E29, SAP!$G$1:$V$236, 16, FALSE)</f>
        <v>Brown Wooden Louver PN 02308 - CPC Panel</v>
      </c>
      <c r="C29" s="1" t="s">
        <v>216</v>
      </c>
      <c r="D29" s="13" t="s">
        <v>236</v>
      </c>
      <c r="E29" s="13" t="s">
        <v>236</v>
      </c>
      <c r="F29" s="2">
        <f>vlookup(E29,SAP!G$1:S$236,13,0)</f>
        <v>7500</v>
      </c>
      <c r="G29" s="14">
        <f>vlookup(E29,SAP!G$1:S$236,12,0)</f>
        <v>4148.387119</v>
      </c>
    </row>
    <row r="30">
      <c r="A30" s="1">
        <v>29.0</v>
      </c>
      <c r="B30" s="1" t="str">
        <f>VLOOKUP(E30, SAP!$G$1:$V$236, 16, FALSE)</f>
        <v>Wall Trim 6 mm SS: Black Glossy</v>
      </c>
      <c r="C30" s="1" t="s">
        <v>216</v>
      </c>
      <c r="D30" s="13" t="s">
        <v>237</v>
      </c>
      <c r="E30" s="13" t="s">
        <v>237</v>
      </c>
      <c r="F30" s="2">
        <f>vlookup(E30,SAP!G$1:S$236,13,0)</f>
        <v>600</v>
      </c>
      <c r="G30" s="2">
        <f>vlookup(E30,SAP!G$1:S$236,12,0)</f>
        <v>500</v>
      </c>
    </row>
    <row r="31">
      <c r="A31" s="1">
        <v>30.0</v>
      </c>
      <c r="B31" s="1" t="str">
        <f>VLOOKUP(E31, SAP!$G$1:$V$236, 16, FALSE)</f>
        <v>Beige Fabric Louver PN 02327 CPC Panel </v>
      </c>
      <c r="C31" s="1" t="s">
        <v>216</v>
      </c>
      <c r="D31" s="13" t="s">
        <v>238</v>
      </c>
      <c r="E31" s="13" t="s">
        <v>238</v>
      </c>
      <c r="F31" s="2">
        <f>vlookup(E31,SAP!G$1:S$236,13,0)</f>
        <v>7500</v>
      </c>
      <c r="G31" s="14">
        <f>vlookup(E31,SAP!G$1:S$236,12,0)</f>
        <v>4148.387119</v>
      </c>
    </row>
    <row r="32">
      <c r="A32" s="1">
        <v>31.0</v>
      </c>
      <c r="B32" s="1" t="str">
        <f>VLOOKUP(E32, SAP!$G$1:$V$236, 16, FALSE)</f>
        <v>Brown Wooden Decor PN 02314 CPC Panel</v>
      </c>
      <c r="C32" s="1" t="s">
        <v>216</v>
      </c>
      <c r="D32" s="13" t="s">
        <v>239</v>
      </c>
      <c r="E32" s="13" t="s">
        <v>239</v>
      </c>
      <c r="F32" s="2">
        <f>vlookup(E32,SAP!G$1:S$236,13,0)</f>
        <v>7500</v>
      </c>
      <c r="G32" s="14">
        <f>vlookup(E32,SAP!G$1:S$236,12,0)</f>
        <v>4148.387119</v>
      </c>
    </row>
    <row r="33">
      <c r="A33" s="1">
        <v>32.0</v>
      </c>
      <c r="B33" s="1" t="str">
        <f>VLOOKUP(E33, SAP!$G$1:$V$236, 16, FALSE)</f>
        <v>Brown Wooden Louver PN 02307 CPC Panel </v>
      </c>
      <c r="C33" s="1" t="s">
        <v>216</v>
      </c>
      <c r="D33" s="13" t="s">
        <v>240</v>
      </c>
      <c r="E33" s="13" t="s">
        <v>240</v>
      </c>
      <c r="F33" s="2">
        <f>vlookup(E33,SAP!G$1:S$236,13,0)</f>
        <v>7500</v>
      </c>
      <c r="G33" s="14">
        <f>vlookup(E33,SAP!G$1:S$236,12,0)</f>
        <v>4148.387119</v>
      </c>
    </row>
    <row r="34">
      <c r="A34" s="1">
        <v>33.0</v>
      </c>
      <c r="B34" s="1" t="str">
        <f>VLOOKUP(E34, SAP!$G$1:$V$236, 16, FALSE)</f>
        <v>Brown Wooden Louver PN 02313 CPC Panel </v>
      </c>
      <c r="C34" s="1" t="s">
        <v>216</v>
      </c>
      <c r="D34" s="13" t="s">
        <v>241</v>
      </c>
      <c r="E34" s="13" t="s">
        <v>241</v>
      </c>
      <c r="F34" s="2">
        <f>vlookup(E34,SAP!G$1:S$236,13,0)</f>
        <v>7500</v>
      </c>
      <c r="G34" s="14">
        <f>vlookup(E34,SAP!G$1:S$236,12,0)</f>
        <v>4148.387119</v>
      </c>
    </row>
    <row r="35">
      <c r="A35" s="1">
        <v>34.0</v>
      </c>
      <c r="B35" s="1" t="str">
        <f>VLOOKUP(E35, SAP!$G$1:$V$236, 16, FALSE)</f>
        <v>Brown Wooden PN 02305 CPC Panel </v>
      </c>
      <c r="C35" s="1" t="s">
        <v>216</v>
      </c>
      <c r="D35" s="13" t="s">
        <v>242</v>
      </c>
      <c r="E35" s="13" t="s">
        <v>242</v>
      </c>
      <c r="F35" s="2">
        <f>vlookup(E35,SAP!G$1:S$236,13,0)</f>
        <v>7500</v>
      </c>
      <c r="G35" s="14">
        <f>vlookup(E35,SAP!G$1:S$236,12,0)</f>
        <v>4148.387119</v>
      </c>
    </row>
    <row r="36">
      <c r="A36" s="1">
        <v>35.0</v>
      </c>
      <c r="B36" s="1" t="str">
        <f>VLOOKUP(E36, SAP!$G$1:$V$236, 16, FALSE)</f>
        <v>Grey Stone Louver PN 02324 - CPC Panel </v>
      </c>
      <c r="C36" s="1" t="s">
        <v>216</v>
      </c>
      <c r="D36" s="13" t="s">
        <v>243</v>
      </c>
      <c r="E36" s="13" t="s">
        <v>243</v>
      </c>
      <c r="F36" s="2">
        <f>vlookup(E36,SAP!G$1:S$236,13,0)</f>
        <v>7500</v>
      </c>
      <c r="G36" s="14">
        <f>vlookup(E36,SAP!G$1:S$236,12,0)</f>
        <v>4148.387119</v>
      </c>
    </row>
    <row r="37">
      <c r="A37" s="1">
        <v>36.0</v>
      </c>
      <c r="B37" s="1" t="str">
        <f>VLOOKUP(E37, SAP!$G$1:$V$236, 16, FALSE)</f>
        <v>Brown Fabric Louver PN 02328 CPC Panel </v>
      </c>
      <c r="C37" s="1" t="s">
        <v>216</v>
      </c>
      <c r="D37" s="13" t="s">
        <v>244</v>
      </c>
      <c r="E37" s="13" t="s">
        <v>244</v>
      </c>
      <c r="F37" s="2">
        <f>vlookup(E37,SAP!G$1:S$236,13,0)</f>
        <v>7500</v>
      </c>
      <c r="G37" s="14">
        <f>vlookup(E37,SAP!G$1:S$236,12,0)</f>
        <v>4148.387119</v>
      </c>
    </row>
    <row r="38">
      <c r="A38" s="1">
        <v>37.0</v>
      </c>
      <c r="B38" s="1" t="str">
        <f>VLOOKUP(E38, SAP!$G$1:$V$236, 16, FALSE)</f>
        <v>Grey Stone Louver PN 02322 - CPC Panel</v>
      </c>
      <c r="C38" s="1" t="s">
        <v>216</v>
      </c>
      <c r="D38" s="13" t="s">
        <v>245</v>
      </c>
      <c r="E38" s="13" t="s">
        <v>245</v>
      </c>
      <c r="F38" s="2">
        <f>vlookup(E38,SAP!G$1:S$236,13,0)</f>
        <v>7500</v>
      </c>
      <c r="G38" s="14">
        <f>vlookup(E38,SAP!G$1:S$236,12,0)</f>
        <v>4741.014915</v>
      </c>
    </row>
    <row r="39">
      <c r="A39" s="1">
        <v>38.0</v>
      </c>
      <c r="B39" s="1" t="str">
        <f>VLOOKUP(E39, SAP!$G$1:$V$236, 16, FALSE)</f>
        <v>Brown Wooden Louver PN 02307 B-CPC Panel</v>
      </c>
      <c r="C39" s="1" t="s">
        <v>216</v>
      </c>
      <c r="D39" s="13" t="s">
        <v>246</v>
      </c>
      <c r="E39" s="13" t="s">
        <v>246</v>
      </c>
      <c r="F39" s="2">
        <f>vlookup(E39,SAP!G$1:S$236,13,0)</f>
        <v>2500</v>
      </c>
      <c r="G39" s="14">
        <f>vlookup(E39,SAP!G$1:S$236,12,0)</f>
        <v>1014.550508</v>
      </c>
    </row>
    <row r="40">
      <c r="A40" s="1">
        <v>39.0</v>
      </c>
      <c r="B40" s="1" t="str">
        <f>VLOOKUP(E40, SAP!$G$1:$V$236, 16, FALSE)</f>
        <v>Brown Wooden Louver PN 02305 B-CPC Panel</v>
      </c>
      <c r="C40" s="1" t="s">
        <v>216</v>
      </c>
      <c r="D40" s="13" t="s">
        <v>247</v>
      </c>
      <c r="E40" s="13" t="s">
        <v>247</v>
      </c>
      <c r="F40" s="2">
        <f>vlookup(E40,SAP!G$1:S$236,13,0)</f>
        <v>2500</v>
      </c>
      <c r="G40" s="14">
        <f>vlookup(E40,SAP!G$1:S$236,12,0)</f>
        <v>1014.550508</v>
      </c>
    </row>
    <row r="41">
      <c r="A41" s="1">
        <v>40.0</v>
      </c>
      <c r="B41" s="1" t="str">
        <f>VLOOKUP(E41, SAP!$G$1:$V$236, 16, FALSE)</f>
        <v>Grey Marble Louver PN 02325 - CPC Panel </v>
      </c>
      <c r="C41" s="1" t="s">
        <v>216</v>
      </c>
      <c r="D41" s="13" t="s">
        <v>248</v>
      </c>
      <c r="E41" s="13" t="s">
        <v>248</v>
      </c>
      <c r="F41" s="2">
        <f>vlookup(E41,SAP!G$1:S$236,13,0)</f>
        <v>7500</v>
      </c>
      <c r="G41" s="14">
        <f>vlookup(E41,SAP!G$1:S$236,12,0)</f>
        <v>4148.387119</v>
      </c>
    </row>
    <row r="42">
      <c r="A42" s="1">
        <v>41.0</v>
      </c>
      <c r="B42" s="1" t="str">
        <f>VLOOKUP(E42, SAP!$G$1:$V$236, 16, FALSE)</f>
        <v>White Marble Louver PN 02304 CPC Panel </v>
      </c>
      <c r="C42" s="1" t="s">
        <v>216</v>
      </c>
      <c r="D42" s="13" t="s">
        <v>249</v>
      </c>
      <c r="E42" s="13" t="s">
        <v>249</v>
      </c>
      <c r="F42" s="2">
        <f>vlookup(E42,SAP!G$1:S$236,13,0)</f>
        <v>7500</v>
      </c>
      <c r="G42" s="14">
        <f>vlookup(E42,SAP!G$1:S$236,12,0)</f>
        <v>4148.387119</v>
      </c>
    </row>
    <row r="43">
      <c r="A43" s="1">
        <v>42.0</v>
      </c>
      <c r="B43" s="1" t="str">
        <f>VLOOKUP(E43, SAP!$G$1:$V$236, 16, FALSE)</f>
        <v>Brown Stone Decor PN 02323 CPC Panel</v>
      </c>
      <c r="C43" s="1" t="s">
        <v>216</v>
      </c>
      <c r="D43" s="13" t="s">
        <v>250</v>
      </c>
      <c r="E43" s="15" t="s">
        <v>250</v>
      </c>
      <c r="F43" s="2">
        <f>vlookup(E43,SAP!G$1:S$236,13,0)</f>
        <v>7500</v>
      </c>
      <c r="G43" s="14">
        <f>vlookup(E43,SAP!G$1:S$236,12,0)</f>
        <v>4148.387119</v>
      </c>
    </row>
    <row r="44">
      <c r="A44" s="1">
        <v>43.0</v>
      </c>
      <c r="B44" s="1" t="str">
        <f>VLOOKUP(E44, SAP!$G$1:$V$236, 16, FALSE)</f>
        <v>Brown Wooden Louver PN 02312 CPC Panel </v>
      </c>
      <c r="C44" s="1" t="s">
        <v>216</v>
      </c>
      <c r="D44" s="13" t="s">
        <v>251</v>
      </c>
      <c r="E44" s="13" t="s">
        <v>251</v>
      </c>
      <c r="F44" s="2">
        <f>vlookup(E44,SAP!G$1:S$236,13,0)</f>
        <v>7500</v>
      </c>
      <c r="G44" s="14">
        <f>vlookup(E44,SAP!G$1:S$236,12,0)</f>
        <v>4148.387119</v>
      </c>
    </row>
    <row r="45">
      <c r="A45" s="1">
        <v>44.0</v>
      </c>
      <c r="B45" s="1" t="str">
        <f>VLOOKUP(E45, SAP!$G$1:$V$236, 16, FALSE)</f>
        <v>Beige Wooden Louver PN 02309 CPC Panel</v>
      </c>
      <c r="C45" s="1" t="s">
        <v>216</v>
      </c>
      <c r="D45" s="13" t="s">
        <v>252</v>
      </c>
      <c r="E45" s="13" t="s">
        <v>252</v>
      </c>
      <c r="F45" s="2">
        <f>vlookup(E45,SAP!G$1:S$236,13,0)</f>
        <v>7500</v>
      </c>
      <c r="G45" s="14">
        <f>vlookup(E45,SAP!G$1:S$236,12,0)</f>
        <v>4148.387119</v>
      </c>
    </row>
    <row r="46">
      <c r="A46" s="1">
        <v>45.0</v>
      </c>
      <c r="B46" s="1" t="str">
        <f>VLOOKUP(E46, SAP!$G$1:$V$236, 16, FALSE)</f>
        <v>Charcoal (PS)-Beige-Matte-PN 03851 || 9.5 ft x 6 inch</v>
      </c>
      <c r="C46" s="1" t="s">
        <v>216</v>
      </c>
      <c r="D46" s="13" t="s">
        <v>253</v>
      </c>
      <c r="E46" s="13" t="s">
        <v>253</v>
      </c>
      <c r="F46" s="2">
        <f>vlookup(E46,SAP!G$1:S$236,13,0)</f>
        <v>1500</v>
      </c>
      <c r="G46" s="14">
        <f>vlookup(E46,SAP!G$1:S$236,12,0)</f>
        <v>648.8050847</v>
      </c>
    </row>
    <row r="47">
      <c r="A47" s="1">
        <v>46.0</v>
      </c>
      <c r="B47" s="1" t="str">
        <f>VLOOKUP(E47, SAP!$G$1:$V$236, 16, FALSE)</f>
        <v>Charcoal (PS)-Pine-Wood Grain-PN 00147 || 8 ft x 5 inch</v>
      </c>
      <c r="C47" s="1" t="s">
        <v>216</v>
      </c>
      <c r="D47" s="13" t="s">
        <v>254</v>
      </c>
      <c r="E47" s="13" t="s">
        <v>254</v>
      </c>
      <c r="F47" s="2">
        <f>vlookup(E47,SAP!G$1:S$236,13,0)</f>
        <v>1500</v>
      </c>
      <c r="G47" s="14">
        <f>vlookup(E47,SAP!G$1:S$236,12,0)</f>
        <v>670.440678</v>
      </c>
    </row>
    <row r="48">
      <c r="A48" s="1">
        <v>47.0</v>
      </c>
      <c r="B48" s="1" t="str">
        <f>VLOOKUP(E48, SAP!$G$1:$V$236, 16, FALSE)</f>
        <v>Charcoal (PS)-Brown-Wood Grain-PN 05755 || 8 ft x 5 inch</v>
      </c>
      <c r="C48" s="1" t="s">
        <v>216</v>
      </c>
      <c r="D48" s="13" t="s">
        <v>255</v>
      </c>
      <c r="E48" s="13" t="s">
        <v>255</v>
      </c>
      <c r="F48" s="2">
        <f>vlookup(E48,SAP!G$1:S$236,13,0)</f>
        <v>2500</v>
      </c>
      <c r="G48" s="14">
        <f>vlookup(E48,SAP!G$1:S$236,12,0)</f>
        <v>1016.271186</v>
      </c>
    </row>
    <row r="49">
      <c r="A49" s="1">
        <v>48.0</v>
      </c>
      <c r="B49" s="1" t="str">
        <f>VLOOKUP(E49, SAP!$G$1:$V$236, 16, FALSE)</f>
        <v>Charcoal (PS)-Teak-Wood Grain-PN 02343 || 8 ft x 2 ft</v>
      </c>
      <c r="C49" s="1" t="s">
        <v>216</v>
      </c>
      <c r="D49" s="13" t="s">
        <v>256</v>
      </c>
      <c r="E49" s="13" t="s">
        <v>256</v>
      </c>
      <c r="F49" s="2">
        <f>vlookup(E49,SAP!G$1:S$236,13,0)</f>
        <v>2500</v>
      </c>
      <c r="G49" s="14">
        <f>vlookup(E49,SAP!G$1:S$236,12,0)</f>
        <v>1117.898305</v>
      </c>
    </row>
    <row r="50">
      <c r="A50" s="1">
        <v>49.0</v>
      </c>
      <c r="B50" s="1" t="str">
        <f>VLOOKUP(E50, SAP!$G$1:$V$236, 16, FALSE)</f>
        <v>PN 02315 B Crema Fluted CPC Board </v>
      </c>
      <c r="C50" s="1" t="s">
        <v>216</v>
      </c>
      <c r="D50" s="13" t="s">
        <v>257</v>
      </c>
      <c r="E50" s="13" t="s">
        <v>257</v>
      </c>
      <c r="F50" s="2">
        <f>vlookup(E50,SAP!G$1:S$236,13,0)</f>
        <v>2500</v>
      </c>
      <c r="G50" s="14">
        <f>vlookup(E50,SAP!G$1:S$236,12,0)</f>
        <v>1087.023729</v>
      </c>
    </row>
    <row r="51">
      <c r="A51" s="1">
        <v>50.0</v>
      </c>
      <c r="B51" s="1" t="str">
        <f>VLOOKUP(E51, SAP!$G$1:$V$236, 16, FALSE)</f>
        <v>Grey Marble Louver PN 02325 B-CPC Panel</v>
      </c>
      <c r="C51" s="1" t="s">
        <v>216</v>
      </c>
      <c r="D51" s="13" t="s">
        <v>258</v>
      </c>
      <c r="E51" s="13" t="s">
        <v>258</v>
      </c>
      <c r="F51" s="2">
        <f>vlookup(E51,SAP!G$1:S$236,13,0)</f>
        <v>2500</v>
      </c>
      <c r="G51" s="14">
        <f>vlookup(E51,SAP!G$1:S$236,12,0)</f>
        <v>1014.550508</v>
      </c>
    </row>
    <row r="52">
      <c r="A52" s="1">
        <v>51.0</v>
      </c>
      <c r="B52" s="1" t="str">
        <f>VLOOKUP(E52, SAP!$G$1:$V$236, 16, FALSE)</f>
        <v>Brown Wooden Louver PN 02313 B CPC Panel</v>
      </c>
      <c r="C52" s="1" t="s">
        <v>216</v>
      </c>
      <c r="D52" s="13" t="s">
        <v>259</v>
      </c>
      <c r="E52" s="13" t="s">
        <v>259</v>
      </c>
      <c r="F52" s="2">
        <f>vlookup(E52,SAP!G$1:S$236,13,0)</f>
        <v>2500</v>
      </c>
      <c r="G52" s="14">
        <f>vlookup(E52,SAP!G$1:S$236,12,0)</f>
        <v>1014.550508</v>
      </c>
    </row>
    <row r="53">
      <c r="A53" s="1">
        <v>52.0</v>
      </c>
      <c r="B53" s="1" t="str">
        <f>VLOOKUP(E53, SAP!$G$1:$V$236, 16, FALSE)</f>
        <v>Beige Fabric Decor PN 02326 CPC Panel</v>
      </c>
      <c r="C53" s="1" t="s">
        <v>216</v>
      </c>
      <c r="D53" s="13" t="s">
        <v>260</v>
      </c>
      <c r="E53" s="13" t="s">
        <v>260</v>
      </c>
      <c r="F53" s="2">
        <f>vlookup(E53,SAP!G$1:S$236,13,0)</f>
        <v>7500</v>
      </c>
      <c r="G53" s="14">
        <f>vlookup(E53,SAP!G$1:S$236,12,0)</f>
        <v>4148.387119</v>
      </c>
    </row>
    <row r="54">
      <c r="A54" s="1">
        <v>53.0</v>
      </c>
      <c r="B54" s="1" t="str">
        <f>VLOOKUP(E54, SAP!$G$1:$V$236, 16, FALSE)</f>
        <v>Wall Bidding WPC 09</v>
      </c>
      <c r="C54" s="1" t="s">
        <v>216</v>
      </c>
      <c r="D54" s="13" t="s">
        <v>261</v>
      </c>
      <c r="E54" s="13" t="s">
        <v>261</v>
      </c>
      <c r="F54" s="2">
        <f>vlookup(E54,SAP!G$1:S$236,13,0)</f>
        <v>500</v>
      </c>
      <c r="G54" s="2">
        <f>vlookup(E54,SAP!G$1:S$236,12,0)</f>
        <v>250</v>
      </c>
    </row>
    <row r="55">
      <c r="A55" s="1">
        <v>54.0</v>
      </c>
      <c r="B55" s="1" t="str">
        <f>VLOOKUP(E55, SAP!$G$1:$V$236, 16, FALSE)</f>
        <v>Wall storage 450mm shelf light woodgrain</v>
      </c>
      <c r="C55" s="1" t="s">
        <v>216</v>
      </c>
      <c r="D55" s="13" t="s">
        <v>262</v>
      </c>
      <c r="E55" s="13" t="s">
        <v>262</v>
      </c>
      <c r="F55" s="2">
        <f>vlookup(E55,SAP!G$1:S$236,13,0)</f>
        <v>1000</v>
      </c>
      <c r="G55" s="2">
        <f>vlookup(E55,SAP!G$1:S$236,12,0)</f>
        <v>250</v>
      </c>
    </row>
    <row r="56">
      <c r="A56" s="1">
        <v>55.0</v>
      </c>
      <c r="B56" s="1" t="str">
        <f>VLOOKUP(E56, SAP!$G$1:$V$236, 16, FALSE)</f>
        <v>Wall Bidding PVC 05</v>
      </c>
      <c r="C56" s="1" t="s">
        <v>216</v>
      </c>
      <c r="D56" s="13" t="s">
        <v>263</v>
      </c>
      <c r="E56" s="13" t="s">
        <v>263</v>
      </c>
      <c r="F56" s="2">
        <f>vlookup(E56,SAP!G$1:S$236,13,0)</f>
        <v>500</v>
      </c>
      <c r="G56" s="2">
        <f>vlookup(E56,SAP!G$1:S$236,12,0)</f>
        <v>200</v>
      </c>
    </row>
    <row r="57">
      <c r="A57" s="1">
        <v>56.0</v>
      </c>
      <c r="B57" s="1" t="str">
        <f>VLOOKUP(E57, SAP!$G$1:$V$236, 16, FALSE)</f>
        <v>Wall Trim 6 mm SS: Rose Gold Glossy</v>
      </c>
      <c r="C57" s="1" t="s">
        <v>216</v>
      </c>
      <c r="D57" s="13" t="s">
        <v>264</v>
      </c>
      <c r="E57" s="13" t="s">
        <v>264</v>
      </c>
      <c r="F57" s="2">
        <f>vlookup(E57,SAP!G$1:S$236,13,0)</f>
        <v>600</v>
      </c>
      <c r="G57" s="2">
        <f>vlookup(E57,SAP!G$1:S$236,12,0)</f>
        <v>500</v>
      </c>
    </row>
    <row r="58">
      <c r="A58" s="1">
        <v>57.0</v>
      </c>
      <c r="B58" s="1" t="str">
        <f>VLOOKUP(E58, SAP!$G$1:$V$236, 16, FALSE)</f>
        <v>Wall storage 300mm shelf mid wood grain</v>
      </c>
      <c r="C58" s="1" t="s">
        <v>216</v>
      </c>
      <c r="D58" s="13" t="s">
        <v>126</v>
      </c>
      <c r="E58" s="13" t="s">
        <v>126</v>
      </c>
      <c r="F58" s="2">
        <f>vlookup(E58,SAP!G$1:S$236,13,0)</f>
        <v>1000</v>
      </c>
      <c r="G58" s="2">
        <f>vlookup(E58,SAP!G$1:S$236,12,0)</f>
        <v>250</v>
      </c>
    </row>
    <row r="59">
      <c r="A59" s="1">
        <v>58.0</v>
      </c>
      <c r="B59" s="1" t="str">
        <f>VLOOKUP(E59, SAP!$G$1:$V$236, 16, FALSE)</f>
        <v>Wall Bidding PVC 02</v>
      </c>
      <c r="C59" s="1" t="s">
        <v>216</v>
      </c>
      <c r="D59" s="13" t="s">
        <v>172</v>
      </c>
      <c r="E59" s="13" t="s">
        <v>172</v>
      </c>
      <c r="F59" s="2">
        <f>vlookup(E59,SAP!G$1:S$236,13,0)</f>
        <v>500</v>
      </c>
      <c r="G59" s="2">
        <f>vlookup(E59,SAP!G$1:S$236,12,0)</f>
        <v>200</v>
      </c>
    </row>
    <row r="60">
      <c r="A60" s="1">
        <v>59.0</v>
      </c>
      <c r="B60" s="1" t="str">
        <f>VLOOKUP(E60, SAP!$G$1:$V$236, 16, FALSE)</f>
        <v>Wall storage 300mm shelf dark wood grain</v>
      </c>
      <c r="C60" s="1" t="s">
        <v>216</v>
      </c>
      <c r="D60" s="13" t="s">
        <v>176</v>
      </c>
      <c r="E60" s="13" t="s">
        <v>176</v>
      </c>
      <c r="F60" s="2">
        <f>vlookup(E60,SAP!G$1:S$236,13,0)</f>
        <v>1000</v>
      </c>
      <c r="G60" s="2">
        <f>vlookup(E60,SAP!G$1:S$236,12,0)</f>
        <v>250</v>
      </c>
    </row>
    <row r="61">
      <c r="A61" s="1">
        <v>60.0</v>
      </c>
      <c r="B61" s="1" t="str">
        <f>VLOOKUP(E61, SAP!$G$1:$V$236, 16, FALSE)</f>
        <v>Charcoal (PS)-Dark-Wood Grain-PN 05484 || 8 ft x 5 inch</v>
      </c>
      <c r="C61" s="1" t="s">
        <v>216</v>
      </c>
      <c r="D61" s="13" t="s">
        <v>265</v>
      </c>
      <c r="E61" s="13" t="s">
        <v>265</v>
      </c>
      <c r="F61" s="2">
        <f>vlookup(E61,SAP!G$1:S$236,13,0)</f>
        <v>1500</v>
      </c>
      <c r="G61" s="14">
        <f>vlookup(E61,SAP!G$1:S$236,12,0)</f>
        <v>595.8644068</v>
      </c>
    </row>
    <row r="62">
      <c r="A62" s="1">
        <v>61.0</v>
      </c>
      <c r="B62" s="1" t="str">
        <f>VLOOKUP(E62, SAP!$G$1:$V$236, 16, FALSE)</f>
        <v>Rangular box backpanel mid woodgrain</v>
      </c>
      <c r="C62" s="1" t="s">
        <v>216</v>
      </c>
      <c r="D62" s="13" t="s">
        <v>266</v>
      </c>
      <c r="E62" s="13" t="s">
        <v>266</v>
      </c>
      <c r="F62" s="2">
        <f>vlookup(E62,SAP!G$1:S$236,13,0)</f>
        <v>1000</v>
      </c>
      <c r="G62" s="2">
        <f>vlookup(E62,SAP!G$1:S$236,12,0)</f>
        <v>250</v>
      </c>
    </row>
    <row r="63">
      <c r="A63" s="1">
        <v>62.0</v>
      </c>
      <c r="B63" s="1" t="str">
        <f>VLOOKUP(E63, SAP!$G$1:$V$236, 16, FALSE)</f>
        <v>Charcoal (PS)-Walnut-Wood Grain-PN 03026 || 8 ft x 5 inch</v>
      </c>
      <c r="C63" s="1" t="s">
        <v>216</v>
      </c>
      <c r="D63" s="13" t="s">
        <v>267</v>
      </c>
      <c r="E63" s="13" t="s">
        <v>267</v>
      </c>
      <c r="F63" s="2">
        <f>vlookup(E63,SAP!G$1:S$236,13,0)</f>
        <v>1500</v>
      </c>
      <c r="G63" s="14">
        <f>vlookup(E63,SAP!G$1:S$236,12,0)</f>
        <v>609.4915254</v>
      </c>
    </row>
    <row r="64">
      <c r="A64" s="1">
        <v>63.0</v>
      </c>
      <c r="B64" s="1" t="str">
        <f>VLOOKUP(E64, SAP!$G$1:$V$236, 16, FALSE)</f>
        <v>Wall Trim 6 mm SS: Golden Glossy</v>
      </c>
      <c r="C64" s="1" t="s">
        <v>216</v>
      </c>
      <c r="D64" s="13" t="s">
        <v>268</v>
      </c>
      <c r="E64" s="13" t="s">
        <v>268</v>
      </c>
      <c r="F64" s="2">
        <f>vlookup(E64,SAP!G$1:S$236,13,0)</f>
        <v>600</v>
      </c>
      <c r="G64" s="2">
        <f>vlookup(E64,SAP!G$1:S$236,12,0)</f>
        <v>500</v>
      </c>
    </row>
    <row r="65">
      <c r="A65" s="1">
        <v>64.0</v>
      </c>
      <c r="B65" s="1" t="str">
        <f>VLOOKUP(E65, SAP!$G$1:$V$236, 16, FALSE)</f>
        <v>Wall Bidding WPC 05</v>
      </c>
      <c r="C65" s="1" t="s">
        <v>216</v>
      </c>
      <c r="D65" s="13" t="s">
        <v>269</v>
      </c>
      <c r="E65" s="13" t="s">
        <v>269</v>
      </c>
      <c r="F65" s="2">
        <f>vlookup(E65,SAP!G$1:S$236,13,0)</f>
        <v>500</v>
      </c>
      <c r="G65" s="2">
        <f>vlookup(E65,SAP!G$1:S$236,12,0)</f>
        <v>250</v>
      </c>
    </row>
    <row r="66">
      <c r="A66" s="1">
        <v>65.0</v>
      </c>
      <c r="B66" s="1" t="str">
        <f>VLOOKUP(E66, SAP!$G$1:$V$236, 16, FALSE)</f>
        <v>Wall Bidding PVC 06</v>
      </c>
      <c r="C66" s="1" t="s">
        <v>216</v>
      </c>
      <c r="D66" s="13" t="s">
        <v>270</v>
      </c>
      <c r="E66" s="13" t="s">
        <v>270</v>
      </c>
      <c r="F66" s="2">
        <f>vlookup(E66,SAP!G$1:S$236,13,0)</f>
        <v>500</v>
      </c>
      <c r="G66" s="2">
        <f>vlookup(E66,SAP!G$1:S$236,12,0)</f>
        <v>200</v>
      </c>
    </row>
    <row r="67">
      <c r="A67" s="1">
        <v>66.0</v>
      </c>
      <c r="B67" s="1" t="str">
        <f>VLOOKUP(E67, SAP!$G$1:$V$236, 16, FALSE)</f>
        <v>Charcoal (PS)-Grey-Matte-PN 03856 || 9.5 ft x 6 inch</v>
      </c>
      <c r="C67" s="1" t="s">
        <v>216</v>
      </c>
      <c r="D67" s="13" t="s">
        <v>271</v>
      </c>
      <c r="E67" s="13" t="s">
        <v>271</v>
      </c>
      <c r="F67" s="2">
        <f>vlookup(E67,SAP!G$1:S$236,13,0)</f>
        <v>1500</v>
      </c>
      <c r="G67" s="14">
        <f>vlookup(E67,SAP!G$1:S$236,12,0)</f>
        <v>745.0169492</v>
      </c>
    </row>
    <row r="68">
      <c r="A68" s="1">
        <v>67.0</v>
      </c>
      <c r="B68" s="1" t="str">
        <f>VLOOKUP(E68, SAP!$G$1:$V$236, 16, FALSE)</f>
        <v>Charcoal (PS)-Pine-Wood Grain-PN 04073 || 8 ft x 8 inch</v>
      </c>
      <c r="C68" s="1" t="s">
        <v>216</v>
      </c>
      <c r="D68" s="13" t="s">
        <v>272</v>
      </c>
      <c r="E68" s="13" t="s">
        <v>272</v>
      </c>
      <c r="F68" s="2">
        <f>vlookup(E68,SAP!G$1:S$236,13,0)</f>
        <v>1500</v>
      </c>
      <c r="G68" s="14">
        <f>vlookup(E68,SAP!G$1:S$236,12,0)</f>
        <v>677.2881356</v>
      </c>
    </row>
    <row r="69">
      <c r="A69" s="1">
        <v>68.0</v>
      </c>
      <c r="B69" s="1" t="str">
        <f>VLOOKUP(E69, SAP!$G$1:$V$236, 16, FALSE)</f>
        <v>Wall Bidding WPC 10</v>
      </c>
      <c r="C69" s="1" t="s">
        <v>216</v>
      </c>
      <c r="D69" s="13" t="s">
        <v>119</v>
      </c>
      <c r="E69" s="13" t="s">
        <v>119</v>
      </c>
      <c r="F69" s="2">
        <f>vlookup(E69,SAP!G$1:S$236,13,0)</f>
        <v>500</v>
      </c>
      <c r="G69" s="2">
        <f>vlookup(E69,SAP!G$1:S$236,12,0)</f>
        <v>250</v>
      </c>
    </row>
    <row r="70">
      <c r="A70" s="1">
        <v>69.0</v>
      </c>
      <c r="B70" s="1" t="str">
        <f>VLOOKUP(E70, SAP!$G$1:$V$236, 16, FALSE)</f>
        <v>Wall Bidding WPC 07</v>
      </c>
      <c r="C70" s="1" t="s">
        <v>216</v>
      </c>
      <c r="D70" s="13" t="s">
        <v>273</v>
      </c>
      <c r="E70" s="13" t="s">
        <v>273</v>
      </c>
      <c r="F70" s="2">
        <f>vlookup(E70,SAP!G$1:S$236,13,0)</f>
        <v>500</v>
      </c>
      <c r="G70" s="2">
        <f>vlookup(E70,SAP!G$1:S$236,12,0)</f>
        <v>250</v>
      </c>
    </row>
    <row r="71">
      <c r="A71" s="1">
        <v>70.0</v>
      </c>
      <c r="B71" s="1" t="str">
        <f>VLOOKUP(E71, SAP!$G$1:$V$236, 16, FALSE)</f>
        <v>Charcoal (PS)-Medium-Wood Grain-PN 05514 || 8 ft x 5 inch</v>
      </c>
      <c r="C71" s="1" t="s">
        <v>216</v>
      </c>
      <c r="D71" s="13" t="s">
        <v>274</v>
      </c>
      <c r="E71" s="13" t="s">
        <v>274</v>
      </c>
      <c r="F71" s="2">
        <f>vlookup(E71,SAP!G$1:S$236,13,0)</f>
        <v>1500</v>
      </c>
      <c r="G71" s="14">
        <f>vlookup(E71,SAP!G$1:S$236,12,0)</f>
        <v>595.8644068</v>
      </c>
    </row>
    <row r="72">
      <c r="A72" s="1">
        <v>71.0</v>
      </c>
      <c r="B72" s="1" t="str">
        <f>VLOOKUP(E72, SAP!$G$1:$V$236, 16, FALSE)</f>
        <v>Charcoal (PS)-Walnut-Wood Grain-PN 05925 || 9.5 ft x 4.8 inch</v>
      </c>
      <c r="C72" s="1" t="s">
        <v>216</v>
      </c>
      <c r="D72" s="13" t="s">
        <v>275</v>
      </c>
      <c r="E72" s="13" t="s">
        <v>275</v>
      </c>
      <c r="F72" s="2">
        <f>vlookup(E72,SAP!G$1:S$236,13,0)</f>
        <v>1500</v>
      </c>
      <c r="G72" s="14">
        <f>vlookup(E72,SAP!G$1:S$236,12,0)</f>
        <v>670.440678</v>
      </c>
    </row>
    <row r="73">
      <c r="A73" s="1">
        <v>72.0</v>
      </c>
      <c r="B73" s="1" t="str">
        <f>VLOOKUP(E73, SAP!$G$1:$V$236, 16, FALSE)</f>
        <v>Brown Louver PN 02328 B - CPC Panel</v>
      </c>
      <c r="C73" s="1" t="s">
        <v>216</v>
      </c>
      <c r="D73" s="13" t="s">
        <v>276</v>
      </c>
      <c r="E73" s="13" t="s">
        <v>276</v>
      </c>
      <c r="F73" s="2">
        <f>vlookup(E73,SAP!G$1:S$236,13,0)</f>
        <v>2500</v>
      </c>
      <c r="G73" s="14">
        <f>vlookup(E73,SAP!G$1:S$236,12,0)</f>
        <v>1014.550508</v>
      </c>
    </row>
    <row r="74">
      <c r="A74" s="1">
        <v>73.0</v>
      </c>
      <c r="B74" s="1" t="str">
        <f>VLOOKUP(E74, SAP!$G$1:$V$236, 16, FALSE)</f>
        <v>Brown Plain Louver PN 02312 B CPC Panel </v>
      </c>
      <c r="C74" s="1" t="s">
        <v>216</v>
      </c>
      <c r="D74" s="13" t="s">
        <v>277</v>
      </c>
      <c r="E74" s="13" t="s">
        <v>277</v>
      </c>
      <c r="F74" s="2">
        <f>vlookup(E74,SAP!G$1:S$236,13,0)</f>
        <v>2500</v>
      </c>
      <c r="G74" s="14">
        <f>vlookup(E74,SAP!G$1:S$236,12,0)</f>
        <v>1014.550508</v>
      </c>
    </row>
    <row r="75">
      <c r="A75" s="1">
        <v>74.0</v>
      </c>
      <c r="B75" s="1" t="str">
        <f>VLOOKUP(E75, SAP!$G$1:$V$236, 16, FALSE)</f>
        <v>Beige Plain Louver PN 02311 B-CPC Panel</v>
      </c>
      <c r="C75" s="1" t="s">
        <v>216</v>
      </c>
      <c r="D75" s="13" t="s">
        <v>278</v>
      </c>
      <c r="E75" s="13" t="s">
        <v>278</v>
      </c>
      <c r="F75" s="2">
        <f>vlookup(E75,SAP!G$1:S$236,13,0)</f>
        <v>2500</v>
      </c>
      <c r="G75" s="14">
        <f>vlookup(E75,SAP!G$1:S$236,12,0)</f>
        <v>1014.550508</v>
      </c>
    </row>
    <row r="76">
      <c r="A76" s="1">
        <v>75.0</v>
      </c>
      <c r="B76" s="1" t="str">
        <f>VLOOKUP(E76, SAP!$G$1:$V$236, 16, FALSE)</f>
        <v>Grey Stone Louver PN 02324 B - CPC Panel</v>
      </c>
      <c r="C76" s="1" t="s">
        <v>216</v>
      </c>
      <c r="D76" s="13" t="s">
        <v>279</v>
      </c>
      <c r="E76" s="13" t="s">
        <v>279</v>
      </c>
      <c r="F76" s="2">
        <f>vlookup(E76,SAP!G$1:S$236,13,0)</f>
        <v>2500</v>
      </c>
      <c r="G76" s="14">
        <f>vlookup(E76,SAP!G$1:S$236,12,0)</f>
        <v>1014.550508</v>
      </c>
    </row>
    <row r="77">
      <c r="A77" s="1">
        <v>76.0</v>
      </c>
      <c r="B77" s="1" t="str">
        <f>VLOOKUP(E77, SAP!$G$1:$V$236, 16, FALSE)</f>
        <v>Charcoal (PS)-Pine-Wood Grain-PN 03865 || 9.5 ft x 6 inch</v>
      </c>
      <c r="C77" s="1" t="s">
        <v>216</v>
      </c>
      <c r="D77" s="13" t="s">
        <v>280</v>
      </c>
      <c r="E77" s="13" t="s">
        <v>280</v>
      </c>
      <c r="F77" s="2">
        <f>vlookup(E77,SAP!G$1:S$236,13,0)</f>
        <v>2000</v>
      </c>
      <c r="G77" s="14">
        <f>vlookup(E77,SAP!G$1:S$236,12,0)</f>
        <v>819.5932203</v>
      </c>
    </row>
    <row r="78">
      <c r="A78" s="1">
        <v>77.0</v>
      </c>
      <c r="B78" s="1" t="str">
        <f>VLOOKUP(E78, SAP!$G$1:$V$236, 16, FALSE)</f>
        <v>Rangular box wo backpanel mid wood grain</v>
      </c>
      <c r="C78" s="1" t="s">
        <v>216</v>
      </c>
      <c r="D78" s="13" t="s">
        <v>106</v>
      </c>
      <c r="E78" s="13" t="s">
        <v>106</v>
      </c>
      <c r="F78" s="2">
        <f>vlookup(E78,SAP!G$1:S$236,13,0)</f>
        <v>1000</v>
      </c>
      <c r="G78" s="2">
        <f>vlookup(E78,SAP!G$1:S$236,12,0)</f>
        <v>250</v>
      </c>
    </row>
    <row r="79">
      <c r="A79" s="1">
        <v>78.0</v>
      </c>
      <c r="B79" s="1" t="str">
        <f>VLOOKUP(E79, SAP!$G$1:$V$236, 16, FALSE)</f>
        <v>Charcoal (PS)-Medium-Wood Grain-PN 03214 || 8 ft x 8 inch</v>
      </c>
      <c r="C79" s="1" t="s">
        <v>216</v>
      </c>
      <c r="D79" s="13" t="s">
        <v>281</v>
      </c>
      <c r="E79" s="13" t="s">
        <v>281</v>
      </c>
      <c r="F79" s="2">
        <f>vlookup(E79,SAP!G$1:S$236,13,0)</f>
        <v>1500</v>
      </c>
      <c r="G79" s="14">
        <f>vlookup(E79,SAP!G$1:S$236,12,0)</f>
        <v>595.8644068</v>
      </c>
    </row>
    <row r="80">
      <c r="A80" s="1">
        <v>79.0</v>
      </c>
      <c r="B80" s="1" t="str">
        <f>VLOOKUP(E80, SAP!$G$1:$V$236, 16, FALSE)</f>
        <v>Rangular box wo backpanel solid dark</v>
      </c>
      <c r="C80" s="1" t="s">
        <v>216</v>
      </c>
      <c r="D80" s="13" t="s">
        <v>110</v>
      </c>
      <c r="E80" s="13" t="s">
        <v>110</v>
      </c>
      <c r="F80" s="2">
        <f>vlookup(E80,SAP!G$1:S$236,13,0)</f>
        <v>1000</v>
      </c>
      <c r="G80" s="2">
        <f>vlookup(E80,SAP!G$1:S$236,12,0)</f>
        <v>250</v>
      </c>
    </row>
    <row r="81">
      <c r="A81" s="1">
        <v>80.0</v>
      </c>
      <c r="B81" s="1" t="str">
        <f>VLOOKUP(E81, SAP!$G$1:$V$236, 16, FALSE)</f>
        <v>Charcoal (PS)-Walnut-Wood Grain-PN 04598 || 8 ft x 5 inch</v>
      </c>
      <c r="C81" s="1" t="s">
        <v>216</v>
      </c>
      <c r="D81" s="13" t="s">
        <v>282</v>
      </c>
      <c r="E81" s="13" t="s">
        <v>282</v>
      </c>
      <c r="F81" s="2">
        <f>vlookup(E81,SAP!G$1:S$236,13,0)</f>
        <v>2000</v>
      </c>
      <c r="G81" s="14">
        <f>vlookup(E81,SAP!G$1:S$236,12,0)</f>
        <v>948.4745763</v>
      </c>
    </row>
    <row r="82">
      <c r="A82" s="1">
        <v>81.0</v>
      </c>
      <c r="B82" s="1" t="str">
        <f>VLOOKUP(E82, SAP!$G$1:$V$236, 16, FALSE)</f>
        <v>Square box wo backpanel solid dark</v>
      </c>
      <c r="C82" s="1" t="s">
        <v>216</v>
      </c>
      <c r="D82" s="13" t="s">
        <v>115</v>
      </c>
      <c r="E82" s="13" t="s">
        <v>115</v>
      </c>
      <c r="F82" s="2">
        <f>vlookup(E82,SAP!G$1:S$236,13,0)</f>
        <v>1000</v>
      </c>
      <c r="G82" s="2">
        <f>vlookup(E82,SAP!G$1:S$236,12,0)</f>
        <v>250</v>
      </c>
    </row>
    <row r="83">
      <c r="A83" s="1">
        <v>82.0</v>
      </c>
      <c r="B83" s="1" t="str">
        <f>VLOOKUP(E83, SAP!$G$1:$V$236, 16, FALSE)</f>
        <v>Charcoal (PS)-Brown-Wood Grain-PN 05662 || 8 ft x 5 inch</v>
      </c>
      <c r="C83" s="1" t="s">
        <v>216</v>
      </c>
      <c r="D83" s="13" t="s">
        <v>283</v>
      </c>
      <c r="E83" s="13" t="s">
        <v>283</v>
      </c>
      <c r="F83" s="2">
        <f>vlookup(E83,SAP!G$1:S$236,13,0)</f>
        <v>1500</v>
      </c>
      <c r="G83" s="14">
        <f>vlookup(E83,SAP!G$1:S$236,12,0)</f>
        <v>609.4915254</v>
      </c>
    </row>
    <row r="84">
      <c r="A84" s="1">
        <v>83.0</v>
      </c>
      <c r="B84" s="1" t="str">
        <f>VLOOKUP(E84, SAP!$G$1:$V$236, 16, FALSE)</f>
        <v>Wall storage 600 mm shelf mid wood grain</v>
      </c>
      <c r="C84" s="1" t="s">
        <v>216</v>
      </c>
      <c r="D84" s="13" t="s">
        <v>284</v>
      </c>
      <c r="E84" s="13" t="s">
        <v>284</v>
      </c>
      <c r="F84" s="2">
        <f>vlookup(E84,SAP!G$1:S$236,13,0)</f>
        <v>1000</v>
      </c>
      <c r="G84" s="2">
        <f>vlookup(E84,SAP!G$1:S$236,12,0)</f>
        <v>250</v>
      </c>
    </row>
    <row r="85">
      <c r="A85" s="1">
        <v>84.0</v>
      </c>
      <c r="B85" s="1" t="str">
        <f>VLOOKUP(E85, SAP!$G$1:$V$236, 16, FALSE)</f>
        <v>Wall storage 600mm shelf light woodgrain</v>
      </c>
      <c r="C85" s="1" t="s">
        <v>216</v>
      </c>
      <c r="D85" s="13" t="s">
        <v>285</v>
      </c>
      <c r="E85" s="13" t="s">
        <v>285</v>
      </c>
      <c r="F85" s="2">
        <f>vlookup(E85,SAP!G$1:S$236,13,0)</f>
        <v>1000</v>
      </c>
      <c r="G85" s="2">
        <f>vlookup(E85,SAP!G$1:S$236,12,0)</f>
        <v>250</v>
      </c>
    </row>
    <row r="86">
      <c r="A86" s="1">
        <v>85.0</v>
      </c>
      <c r="B86" s="1" t="str">
        <f>VLOOKUP(E86, SAP!$G$1:$V$236, 16, FALSE)</f>
        <v>Charcoal (PS)-Medium-Wood Grain-PN 03914 || 8 ft x 5 inch</v>
      </c>
      <c r="C86" s="1" t="s">
        <v>216</v>
      </c>
      <c r="D86" s="13" t="s">
        <v>286</v>
      </c>
      <c r="E86" s="13" t="s">
        <v>286</v>
      </c>
      <c r="F86" s="2">
        <f>vlookup(E86,SAP!G$1:S$236,13,0)</f>
        <v>1500</v>
      </c>
      <c r="G86" s="14">
        <f>vlookup(E86,SAP!G$1:S$236,12,0)</f>
        <v>711.1864407</v>
      </c>
    </row>
    <row r="87">
      <c r="A87" s="1">
        <v>86.0</v>
      </c>
      <c r="B87" s="1" t="str">
        <f>VLOOKUP(E87, SAP!$G$1:$V$236, 16, FALSE)</f>
        <v>Charcoal (PS)-Grey-Matte-PN 03210 || 8 ft x 5 inch</v>
      </c>
      <c r="C87" s="1" t="s">
        <v>216</v>
      </c>
      <c r="D87" s="13" t="s">
        <v>287</v>
      </c>
      <c r="E87" s="13" t="s">
        <v>287</v>
      </c>
      <c r="F87" s="2">
        <f>vlookup(E87,SAP!G$1:S$236,13,0)</f>
        <v>1500</v>
      </c>
      <c r="G87" s="14">
        <f>vlookup(E87,SAP!G$1:S$236,12,0)</f>
        <v>595.8644068</v>
      </c>
    </row>
    <row r="88">
      <c r="A88" s="1">
        <v>87.0</v>
      </c>
      <c r="B88" s="1" t="str">
        <f>VLOOKUP(E88, SAP!$G$1:$V$236, 16, FALSE)</f>
        <v>Rangular box backpanel dark woodgrain</v>
      </c>
      <c r="C88" s="1" t="s">
        <v>216</v>
      </c>
      <c r="D88" s="13" t="s">
        <v>288</v>
      </c>
      <c r="E88" s="13" t="s">
        <v>288</v>
      </c>
      <c r="F88" s="2">
        <f>vlookup(E88,SAP!G$1:S$236,13,0)</f>
        <v>1000</v>
      </c>
      <c r="G88" s="2">
        <f>vlookup(E88,SAP!G$1:S$236,12,0)</f>
        <v>250</v>
      </c>
    </row>
    <row r="89">
      <c r="A89" s="1">
        <v>88.0</v>
      </c>
      <c r="B89" s="1" t="str">
        <f>VLOOKUP(E89, SAP!$G$1:$V$236, 16, FALSE)</f>
        <v>Square box backpanel dark wood grain</v>
      </c>
      <c r="C89" s="1" t="s">
        <v>216</v>
      </c>
      <c r="D89" s="13" t="s">
        <v>289</v>
      </c>
      <c r="E89" s="13" t="s">
        <v>289</v>
      </c>
      <c r="F89" s="2">
        <f>vlookup(E89,SAP!G$1:S$236,13,0)</f>
        <v>1000</v>
      </c>
      <c r="G89" s="2">
        <f>vlookup(E89,SAP!G$1:S$236,12,0)</f>
        <v>250</v>
      </c>
    </row>
    <row r="90">
      <c r="A90" s="1">
        <v>89.0</v>
      </c>
      <c r="B90" s="1" t="str">
        <f>VLOOKUP(E90, SAP!$G$1:$V$236, 16, FALSE)</f>
        <v>Charcoal (PS)-Ivory-Matte-PN 02750 || 9.5 ft x 4.8 inch</v>
      </c>
      <c r="C90" s="1" t="s">
        <v>216</v>
      </c>
      <c r="D90" s="13" t="s">
        <v>290</v>
      </c>
      <c r="E90" s="13" t="s">
        <v>290</v>
      </c>
      <c r="F90" s="2">
        <f>vlookup(E90,SAP!G$1:S$236,13,0)</f>
        <v>1500</v>
      </c>
      <c r="G90" s="14">
        <f>vlookup(E90,SAP!G$1:S$236,12,0)</f>
        <v>745.0847458</v>
      </c>
    </row>
    <row r="91">
      <c r="A91" s="1">
        <v>90.0</v>
      </c>
      <c r="B91" s="1" t="str">
        <f>VLOOKUP(E91, SAP!$G$1:$V$236, 16, FALSE)</f>
        <v>Rangular box backpanel solid dark</v>
      </c>
      <c r="C91" s="1" t="s">
        <v>216</v>
      </c>
      <c r="D91" s="13" t="s">
        <v>291</v>
      </c>
      <c r="E91" s="13" t="s">
        <v>291</v>
      </c>
      <c r="F91" s="2">
        <f>vlookup(E91,SAP!G$1:S$236,13,0)</f>
        <v>1000</v>
      </c>
      <c r="G91" s="2">
        <f>vlookup(E91,SAP!G$1:S$236,12,0)</f>
        <v>250</v>
      </c>
    </row>
    <row r="92">
      <c r="A92" s="1">
        <v>91.0</v>
      </c>
      <c r="B92" s="1" t="str">
        <f>VLOOKUP(E92, SAP!$G$1:$V$236, 16, FALSE)</f>
        <v>Beige Pattern Louver PN 02327 B CPCPanel</v>
      </c>
      <c r="C92" s="1" t="s">
        <v>216</v>
      </c>
      <c r="D92" s="13" t="s">
        <v>292</v>
      </c>
      <c r="E92" s="13" t="s">
        <v>292</v>
      </c>
      <c r="F92" s="2">
        <f>vlookup(E92,SAP!G$1:S$236,13,0)</f>
        <v>2500</v>
      </c>
      <c r="G92" s="14">
        <f>vlookup(E92,SAP!G$1:S$236,12,0)</f>
        <v>1014.550508</v>
      </c>
    </row>
    <row r="93">
      <c r="A93" s="1">
        <v>92.0</v>
      </c>
      <c r="B93" s="1" t="str">
        <f>VLOOKUP(E93, SAP!$G$1:$V$236, 16, FALSE)</f>
        <v>Wall storage 450 mm shelf mid wood grain</v>
      </c>
      <c r="C93" s="1" t="s">
        <v>216</v>
      </c>
      <c r="D93" s="13" t="s">
        <v>293</v>
      </c>
      <c r="E93" s="13" t="s">
        <v>293</v>
      </c>
      <c r="F93" s="2">
        <f>vlookup(E93,SAP!G$1:S$236,13,0)</f>
        <v>1000</v>
      </c>
      <c r="G93" s="2">
        <f>vlookup(E93,SAP!G$1:S$236,12,0)</f>
        <v>250</v>
      </c>
    </row>
    <row r="94">
      <c r="A94" s="1">
        <v>93.0</v>
      </c>
      <c r="B94" s="1" t="str">
        <f>VLOOKUP(E94, SAP!$G$1:$V$236, 16, FALSE)</f>
        <v>Silicon sealant glue</v>
      </c>
      <c r="C94" s="1" t="s">
        <v>216</v>
      </c>
      <c r="D94" s="13" t="s">
        <v>294</v>
      </c>
      <c r="E94" s="13" t="s">
        <v>294</v>
      </c>
      <c r="F94" s="2">
        <f>vlookup(E94,SAP!G$1:S$236,13,0)</f>
        <v>500</v>
      </c>
      <c r="G94" s="14">
        <f>vlookup(E94,SAP!G$1:S$236,12,0)</f>
        <v>273.6</v>
      </c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5"/>
    <col customWidth="1" min="3" max="3" width="18.38"/>
    <col customWidth="1" min="4" max="4" width="14.75"/>
  </cols>
  <sheetData>
    <row r="1">
      <c r="A1" s="1" t="s">
        <v>209</v>
      </c>
      <c r="B1" s="1" t="s">
        <v>2</v>
      </c>
      <c r="C1" s="1" t="s">
        <v>212</v>
      </c>
      <c r="D1" s="16" t="s">
        <v>295</v>
      </c>
      <c r="E1" s="17" t="s">
        <v>296</v>
      </c>
      <c r="F1" s="1" t="s">
        <v>214</v>
      </c>
      <c r="G1" s="1" t="s">
        <v>297</v>
      </c>
    </row>
    <row r="2">
      <c r="B2" s="2" t="s">
        <v>21</v>
      </c>
      <c r="C2" s="18" t="s">
        <v>217</v>
      </c>
      <c r="D2" s="19">
        <v>6167.0</v>
      </c>
      <c r="E2" s="17">
        <v>0.0</v>
      </c>
      <c r="F2" s="2">
        <f>VLOOKUP(C2, Material!$E$2:$F$94, 2, FALSE)</f>
        <v>2500</v>
      </c>
      <c r="G2" s="14">
        <f>VLOOKUP(C2, Material!$E$2:$G$94, 3, FALSE)</f>
        <v>1084.067797</v>
      </c>
    </row>
    <row r="3">
      <c r="B3" s="2" t="s">
        <v>24</v>
      </c>
      <c r="C3" s="18" t="s">
        <v>218</v>
      </c>
      <c r="D3" s="19">
        <v>3221.0</v>
      </c>
      <c r="E3" s="17">
        <v>0.0</v>
      </c>
      <c r="F3" s="2">
        <f>VLOOKUP(C3, Material!$E$2:$F$94, 2, FALSE)</f>
        <v>1500</v>
      </c>
      <c r="G3" s="14">
        <f>VLOOKUP(C3, Material!$E$2:$G$94, 3, FALSE)</f>
        <v>595.8644068</v>
      </c>
    </row>
    <row r="4">
      <c r="B4" s="2" t="s">
        <v>25</v>
      </c>
      <c r="C4" s="18" t="s">
        <v>219</v>
      </c>
      <c r="D4" s="19">
        <v>6277.0</v>
      </c>
      <c r="E4" s="17">
        <v>0.0</v>
      </c>
      <c r="F4" s="2">
        <f>VLOOKUP(C4, Material!$E$2:$F$94, 2, FALSE)</f>
        <v>1500</v>
      </c>
      <c r="G4" s="14">
        <f>VLOOKUP(C4, Material!$E$2:$G$94, 3, FALSE)</f>
        <v>609.4915254</v>
      </c>
    </row>
    <row r="5">
      <c r="B5" s="2" t="s">
        <v>26</v>
      </c>
      <c r="C5" s="18" t="s">
        <v>220</v>
      </c>
      <c r="D5" s="19">
        <v>3399.0</v>
      </c>
      <c r="E5" s="17">
        <v>0.0</v>
      </c>
      <c r="F5" s="2">
        <f>VLOOKUP(C5, Material!$E$2:$F$94, 2, FALSE)</f>
        <v>2000</v>
      </c>
      <c r="G5" s="14">
        <f>VLOOKUP(C5, Material!$E$2:$G$94, 3, FALSE)</f>
        <v>894.1694915</v>
      </c>
    </row>
    <row r="6">
      <c r="B6" s="2" t="s">
        <v>28</v>
      </c>
      <c r="C6" s="18" t="s">
        <v>217</v>
      </c>
      <c r="D6" s="19">
        <v>6167.0</v>
      </c>
      <c r="E6" s="17">
        <v>5.0</v>
      </c>
      <c r="F6" s="2">
        <f>VLOOKUP(C6, Material!$E$2:$F$94, 2, FALSE)</f>
        <v>2500</v>
      </c>
      <c r="G6" s="14">
        <f>VLOOKUP(C6, Material!$E$2:$G$94, 3, FALSE)</f>
        <v>1084.067797</v>
      </c>
    </row>
    <row r="7">
      <c r="B7" s="2" t="s">
        <v>28</v>
      </c>
      <c r="C7" s="20" t="s">
        <v>221</v>
      </c>
      <c r="D7" s="16" t="s">
        <v>298</v>
      </c>
      <c r="E7" s="17">
        <v>1.0</v>
      </c>
      <c r="F7" s="2">
        <f>VLOOKUP(C7, Material!$E$2:$F$94, 2, FALSE)</f>
        <v>1500</v>
      </c>
      <c r="G7" s="14">
        <f>VLOOKUP(C7, Material!$E$2:$G$94, 3, FALSE)</f>
        <v>750</v>
      </c>
    </row>
    <row r="8">
      <c r="B8" s="2" t="s">
        <v>28</v>
      </c>
      <c r="C8" s="18" t="s">
        <v>222</v>
      </c>
      <c r="D8" s="16" t="s">
        <v>299</v>
      </c>
      <c r="E8" s="17">
        <v>1.0</v>
      </c>
      <c r="F8" s="2">
        <f>VLOOKUP(C8, Material!$E$2:$F$94, 2, FALSE)</f>
        <v>500</v>
      </c>
      <c r="G8" s="14">
        <f>VLOOKUP(C8, Material!$E$2:$G$94, 3, FALSE)</f>
        <v>270</v>
      </c>
    </row>
    <row r="9">
      <c r="B9" s="2" t="s">
        <v>28</v>
      </c>
      <c r="C9" s="20" t="s">
        <v>223</v>
      </c>
      <c r="D9" s="16" t="s">
        <v>300</v>
      </c>
      <c r="E9" s="17">
        <v>1.0</v>
      </c>
      <c r="F9" s="2">
        <f>VLOOKUP(C9, Material!$E$2:$F$94, 2, FALSE)</f>
        <v>1500</v>
      </c>
      <c r="G9" s="14">
        <f>VLOOKUP(C9, Material!$E$2:$G$94, 3, FALSE)</f>
        <v>750</v>
      </c>
    </row>
    <row r="10">
      <c r="B10" s="2" t="s">
        <v>28</v>
      </c>
      <c r="C10" s="21" t="s">
        <v>224</v>
      </c>
      <c r="D10" s="22" t="s">
        <v>301</v>
      </c>
      <c r="E10" s="17">
        <v>2.0</v>
      </c>
      <c r="F10" s="2">
        <f>VLOOKUP(C10, Material!$E$2:$F$94, 2, FALSE)</f>
        <v>1000</v>
      </c>
      <c r="G10" s="14">
        <f>VLOOKUP(C10, Material!$E$2:$G$94, 3, FALSE)</f>
        <v>675</v>
      </c>
    </row>
    <row r="11">
      <c r="B11" s="1" t="s">
        <v>28</v>
      </c>
      <c r="C11" s="23" t="s">
        <v>225</v>
      </c>
      <c r="D11" s="22" t="s">
        <v>302</v>
      </c>
      <c r="E11" s="17">
        <v>1.0</v>
      </c>
      <c r="F11" s="2">
        <f>VLOOKUP(C11, Material!$E$2:$F$94, 2, FALSE)</f>
        <v>2500</v>
      </c>
      <c r="G11" s="14">
        <f>VLOOKUP(C11, Material!$E$2:$G$94, 3, FALSE)</f>
        <v>2050</v>
      </c>
    </row>
    <row r="12">
      <c r="B12" s="2" t="s">
        <v>28</v>
      </c>
      <c r="C12" s="1" t="s">
        <v>30</v>
      </c>
      <c r="D12" s="22" t="s">
        <v>303</v>
      </c>
      <c r="E12" s="17">
        <v>2.0</v>
      </c>
      <c r="F12" s="2">
        <f>VLOOKUP(C12, Material!$E$2:$F$94, 2, FALSE)</f>
        <v>500</v>
      </c>
      <c r="G12" s="2">
        <f>VLOOKUP(C12, Material!$E$2:$G$94, 3, FALSE)</f>
        <v>250</v>
      </c>
    </row>
    <row r="13">
      <c r="B13" s="2" t="s">
        <v>33</v>
      </c>
      <c r="C13" s="18" t="s">
        <v>226</v>
      </c>
      <c r="D13" s="19">
        <v>2746.0</v>
      </c>
      <c r="E13" s="17">
        <v>5.0</v>
      </c>
      <c r="F13" s="2">
        <f>VLOOKUP(C13, Material!$E$2:$F$94, 2, FALSE)</f>
        <v>2000</v>
      </c>
      <c r="G13" s="14">
        <f>VLOOKUP(C13, Material!$E$2:$G$94, 3, FALSE)</f>
        <v>819.5932203</v>
      </c>
    </row>
    <row r="14">
      <c r="B14" s="2" t="s">
        <v>33</v>
      </c>
      <c r="C14" s="20" t="s">
        <v>221</v>
      </c>
      <c r="D14" s="16" t="s">
        <v>298</v>
      </c>
      <c r="E14" s="17">
        <v>1.0</v>
      </c>
      <c r="F14" s="2">
        <f>VLOOKUP(C14, Material!$E$2:$F$94, 2, FALSE)</f>
        <v>1500</v>
      </c>
      <c r="G14" s="14">
        <f>VLOOKUP(C14, Material!$E$2:$G$94, 3, FALSE)</f>
        <v>750</v>
      </c>
    </row>
    <row r="15">
      <c r="B15" s="2" t="s">
        <v>33</v>
      </c>
      <c r="C15" s="18" t="s">
        <v>222</v>
      </c>
      <c r="D15" s="16" t="s">
        <v>299</v>
      </c>
      <c r="E15" s="17">
        <v>1.0</v>
      </c>
      <c r="F15" s="2">
        <f>VLOOKUP(C15, Material!$E$2:$F$94, 2, FALSE)</f>
        <v>500</v>
      </c>
      <c r="G15" s="14">
        <f>VLOOKUP(C15, Material!$E$2:$G$94, 3, FALSE)</f>
        <v>270</v>
      </c>
    </row>
    <row r="16">
      <c r="B16" s="2" t="s">
        <v>33</v>
      </c>
      <c r="C16" s="20" t="s">
        <v>223</v>
      </c>
      <c r="D16" s="16" t="s">
        <v>300</v>
      </c>
      <c r="E16" s="17">
        <v>1.0</v>
      </c>
      <c r="F16" s="2">
        <f>VLOOKUP(C16, Material!$E$2:$F$94, 2, FALSE)</f>
        <v>1500</v>
      </c>
      <c r="G16" s="14">
        <f>VLOOKUP(C16, Material!$E$2:$G$94, 3, FALSE)</f>
        <v>750</v>
      </c>
    </row>
    <row r="17">
      <c r="B17" s="2" t="s">
        <v>33</v>
      </c>
      <c r="C17" s="21" t="s">
        <v>224</v>
      </c>
      <c r="D17" s="22" t="s">
        <v>301</v>
      </c>
      <c r="E17" s="17">
        <v>2.0</v>
      </c>
      <c r="F17" s="2">
        <f>VLOOKUP(C17, Material!$E$2:$F$94, 2, FALSE)</f>
        <v>1000</v>
      </c>
      <c r="G17" s="14">
        <f>VLOOKUP(C17, Material!$E$2:$G$94, 3, FALSE)</f>
        <v>675</v>
      </c>
    </row>
    <row r="18">
      <c r="B18" s="1" t="s">
        <v>33</v>
      </c>
      <c r="C18" s="23" t="s">
        <v>225</v>
      </c>
      <c r="D18" s="22" t="s">
        <v>302</v>
      </c>
      <c r="E18" s="17">
        <v>1.0</v>
      </c>
      <c r="F18" s="2">
        <f>VLOOKUP(C18, Material!$E$2:$F$94, 2, FALSE)</f>
        <v>2500</v>
      </c>
      <c r="G18" s="14">
        <f>VLOOKUP(C18, Material!$E$2:$G$94, 3, FALSE)</f>
        <v>2050</v>
      </c>
    </row>
    <row r="19">
      <c r="B19" s="2" t="s">
        <v>33</v>
      </c>
      <c r="C19" s="1" t="s">
        <v>34</v>
      </c>
      <c r="D19" s="22" t="s">
        <v>304</v>
      </c>
      <c r="E19" s="17">
        <v>2.0</v>
      </c>
      <c r="F19" s="2">
        <f>VLOOKUP(C19, Material!$E$2:$F$94, 2, FALSE)</f>
        <v>500</v>
      </c>
      <c r="G19" s="2">
        <f>VLOOKUP(C19, Material!$E$2:$G$94, 3, FALSE)</f>
        <v>250</v>
      </c>
    </row>
    <row r="20">
      <c r="B20" s="2" t="s">
        <v>37</v>
      </c>
      <c r="C20" s="18" t="s">
        <v>227</v>
      </c>
      <c r="D20" s="19">
        <v>3223.0</v>
      </c>
      <c r="E20" s="17">
        <v>10.0</v>
      </c>
      <c r="F20" s="2">
        <f>VLOOKUP(C20, Material!$E$2:$F$94, 2, FALSE)</f>
        <v>1500</v>
      </c>
      <c r="G20" s="14">
        <f>VLOOKUP(C20, Material!$E$2:$G$94, 3, FALSE)</f>
        <v>595.8644068</v>
      </c>
    </row>
    <row r="21">
      <c r="B21" s="2" t="s">
        <v>37</v>
      </c>
      <c r="C21" s="20" t="s">
        <v>221</v>
      </c>
      <c r="D21" s="16" t="s">
        <v>298</v>
      </c>
      <c r="E21" s="17">
        <v>1.0</v>
      </c>
      <c r="F21" s="2">
        <f>VLOOKUP(C21, Material!$E$2:$F$94, 2, FALSE)</f>
        <v>1500</v>
      </c>
      <c r="G21" s="14">
        <f>VLOOKUP(C21, Material!$E$2:$G$94, 3, FALSE)</f>
        <v>750</v>
      </c>
    </row>
    <row r="22">
      <c r="B22" s="2" t="s">
        <v>37</v>
      </c>
      <c r="C22" s="18" t="s">
        <v>222</v>
      </c>
      <c r="D22" s="16" t="s">
        <v>299</v>
      </c>
      <c r="E22" s="17">
        <v>1.0</v>
      </c>
      <c r="F22" s="2">
        <f>VLOOKUP(C22, Material!$E$2:$F$94, 2, FALSE)</f>
        <v>500</v>
      </c>
      <c r="G22" s="14">
        <f>VLOOKUP(C22, Material!$E$2:$G$94, 3, FALSE)</f>
        <v>270</v>
      </c>
    </row>
    <row r="23">
      <c r="B23" s="2" t="s">
        <v>37</v>
      </c>
      <c r="C23" s="20" t="s">
        <v>223</v>
      </c>
      <c r="D23" s="16" t="s">
        <v>300</v>
      </c>
      <c r="E23" s="17">
        <v>1.0</v>
      </c>
      <c r="F23" s="2">
        <f>VLOOKUP(C23, Material!$E$2:$F$94, 2, FALSE)</f>
        <v>1500</v>
      </c>
      <c r="G23" s="14">
        <f>VLOOKUP(C23, Material!$E$2:$G$94, 3, FALSE)</f>
        <v>750</v>
      </c>
    </row>
    <row r="24">
      <c r="B24" s="2" t="s">
        <v>37</v>
      </c>
      <c r="C24" s="21" t="s">
        <v>224</v>
      </c>
      <c r="D24" s="22" t="s">
        <v>301</v>
      </c>
      <c r="E24" s="17">
        <v>2.0</v>
      </c>
      <c r="F24" s="2">
        <f>VLOOKUP(C24, Material!$E$2:$F$94, 2, FALSE)</f>
        <v>1000</v>
      </c>
      <c r="G24" s="14">
        <f>VLOOKUP(C24, Material!$E$2:$G$94, 3, FALSE)</f>
        <v>675</v>
      </c>
    </row>
    <row r="25">
      <c r="B25" s="1" t="s">
        <v>37</v>
      </c>
      <c r="C25" s="23" t="s">
        <v>225</v>
      </c>
      <c r="D25" s="22" t="s">
        <v>302</v>
      </c>
      <c r="E25" s="17">
        <v>2.0</v>
      </c>
      <c r="F25" s="2">
        <f>VLOOKUP(C25, Material!$E$2:$F$94, 2, FALSE)</f>
        <v>2500</v>
      </c>
      <c r="G25" s="14">
        <f>VLOOKUP(C25, Material!$E$2:$G$94, 3, FALSE)</f>
        <v>2050</v>
      </c>
    </row>
    <row r="26">
      <c r="B26" s="2" t="s">
        <v>37</v>
      </c>
      <c r="C26" s="5" t="s">
        <v>38</v>
      </c>
      <c r="D26" s="22" t="s">
        <v>305</v>
      </c>
      <c r="E26" s="17">
        <v>2.0</v>
      </c>
      <c r="F26" s="2">
        <f>VLOOKUP(C26, Material!$E$2:$F$94, 2, FALSE)</f>
        <v>1000</v>
      </c>
      <c r="G26" s="2">
        <f>VLOOKUP(C26, Material!$E$2:$G$94, 3, FALSE)</f>
        <v>250</v>
      </c>
    </row>
    <row r="27">
      <c r="B27" s="2" t="s">
        <v>37</v>
      </c>
      <c r="C27" s="6" t="s">
        <v>39</v>
      </c>
      <c r="D27" s="22" t="s">
        <v>11</v>
      </c>
      <c r="E27" s="17">
        <v>1.0</v>
      </c>
      <c r="F27" s="2">
        <f>VLOOKUP(C27, Material!$E$2:$F$94, 2, FALSE)</f>
        <v>1000</v>
      </c>
      <c r="G27" s="2">
        <f>VLOOKUP(C27, Material!$E$2:$G$94, 3, FALSE)</f>
        <v>250</v>
      </c>
    </row>
    <row r="28">
      <c r="B28" s="2" t="s">
        <v>37</v>
      </c>
      <c r="C28" s="1" t="s">
        <v>34</v>
      </c>
      <c r="D28" s="22" t="s">
        <v>304</v>
      </c>
      <c r="E28" s="17">
        <v>2.0</v>
      </c>
      <c r="F28" s="2">
        <f>VLOOKUP(C28, Material!$E$2:$F$94, 2, FALSE)</f>
        <v>500</v>
      </c>
      <c r="G28" s="2">
        <f>VLOOKUP(C28, Material!$E$2:$G$94, 3, FALSE)</f>
        <v>250</v>
      </c>
    </row>
    <row r="29">
      <c r="B29" s="2" t="s">
        <v>41</v>
      </c>
      <c r="C29" s="18" t="s">
        <v>228</v>
      </c>
      <c r="D29" s="19">
        <v>5656.0</v>
      </c>
      <c r="E29" s="17">
        <v>10.0</v>
      </c>
      <c r="F29" s="2">
        <f>VLOOKUP(C29, Material!$E$2:$F$94, 2, FALSE)</f>
        <v>2000</v>
      </c>
      <c r="G29" s="14">
        <f>VLOOKUP(C29, Material!$E$2:$G$94, 3, FALSE)</f>
        <v>968.7457627</v>
      </c>
    </row>
    <row r="30">
      <c r="B30" s="2" t="s">
        <v>41</v>
      </c>
      <c r="C30" s="20" t="s">
        <v>221</v>
      </c>
      <c r="D30" s="16" t="s">
        <v>298</v>
      </c>
      <c r="E30" s="17">
        <v>1.0</v>
      </c>
      <c r="F30" s="2">
        <f>VLOOKUP(C30, Material!$E$2:$F$94, 2, FALSE)</f>
        <v>1500</v>
      </c>
      <c r="G30" s="14">
        <f>VLOOKUP(C30, Material!$E$2:$G$94, 3, FALSE)</f>
        <v>750</v>
      </c>
    </row>
    <row r="31">
      <c r="B31" s="2" t="s">
        <v>41</v>
      </c>
      <c r="C31" s="18" t="s">
        <v>222</v>
      </c>
      <c r="D31" s="16" t="s">
        <v>299</v>
      </c>
      <c r="E31" s="17">
        <v>1.0</v>
      </c>
      <c r="F31" s="2">
        <f>VLOOKUP(C31, Material!$E$2:$F$94, 2, FALSE)</f>
        <v>500</v>
      </c>
      <c r="G31" s="14">
        <f>VLOOKUP(C31, Material!$E$2:$G$94, 3, FALSE)</f>
        <v>270</v>
      </c>
    </row>
    <row r="32">
      <c r="B32" s="2" t="s">
        <v>41</v>
      </c>
      <c r="C32" s="20" t="s">
        <v>223</v>
      </c>
      <c r="D32" s="16" t="s">
        <v>300</v>
      </c>
      <c r="E32" s="17">
        <v>1.0</v>
      </c>
      <c r="F32" s="2">
        <f>VLOOKUP(C32, Material!$E$2:$F$94, 2, FALSE)</f>
        <v>1500</v>
      </c>
      <c r="G32" s="14">
        <f>VLOOKUP(C32, Material!$E$2:$G$94, 3, FALSE)</f>
        <v>750</v>
      </c>
    </row>
    <row r="33">
      <c r="B33" s="2" t="s">
        <v>41</v>
      </c>
      <c r="C33" s="21" t="s">
        <v>224</v>
      </c>
      <c r="D33" s="22" t="s">
        <v>301</v>
      </c>
      <c r="E33" s="17">
        <v>2.0</v>
      </c>
      <c r="F33" s="2">
        <f>VLOOKUP(C33, Material!$E$2:$F$94, 2, FALSE)</f>
        <v>1000</v>
      </c>
      <c r="G33" s="14">
        <f>VLOOKUP(C33, Material!$E$2:$G$94, 3, FALSE)</f>
        <v>675</v>
      </c>
    </row>
    <row r="34">
      <c r="B34" s="1" t="s">
        <v>41</v>
      </c>
      <c r="C34" s="23" t="s">
        <v>225</v>
      </c>
      <c r="D34" s="22" t="s">
        <v>302</v>
      </c>
      <c r="E34" s="17">
        <v>2.0</v>
      </c>
      <c r="F34" s="2">
        <f>VLOOKUP(C34, Material!$E$2:$F$94, 2, FALSE)</f>
        <v>2500</v>
      </c>
      <c r="G34" s="14">
        <f>VLOOKUP(C34, Material!$E$2:$G$94, 3, FALSE)</f>
        <v>2050</v>
      </c>
    </row>
    <row r="35">
      <c r="B35" s="2" t="s">
        <v>41</v>
      </c>
      <c r="C35" s="5" t="s">
        <v>38</v>
      </c>
      <c r="D35" s="22" t="s">
        <v>305</v>
      </c>
      <c r="E35" s="17">
        <v>2.0</v>
      </c>
      <c r="F35" s="2">
        <f>VLOOKUP(C35, Material!$E$2:$F$94, 2, FALSE)</f>
        <v>1000</v>
      </c>
      <c r="G35" s="2">
        <f>VLOOKUP(C35, Material!$E$2:$G$94, 3, FALSE)</f>
        <v>250</v>
      </c>
    </row>
    <row r="36">
      <c r="B36" s="2" t="s">
        <v>41</v>
      </c>
      <c r="C36" s="6" t="s">
        <v>39</v>
      </c>
      <c r="D36" s="22" t="s">
        <v>11</v>
      </c>
      <c r="E36" s="17">
        <v>1.0</v>
      </c>
      <c r="F36" s="2">
        <f>VLOOKUP(C36, Material!$E$2:$F$94, 2, FALSE)</f>
        <v>1000</v>
      </c>
      <c r="G36" s="2">
        <f>VLOOKUP(C36, Material!$E$2:$G$94, 3, FALSE)</f>
        <v>250</v>
      </c>
    </row>
    <row r="37">
      <c r="B37" s="2" t="s">
        <v>41</v>
      </c>
      <c r="C37" s="1" t="s">
        <v>42</v>
      </c>
      <c r="D37" s="22" t="s">
        <v>306</v>
      </c>
      <c r="E37" s="17">
        <v>2.0</v>
      </c>
      <c r="F37" s="2">
        <f>VLOOKUP(C37, Material!$E$2:$F$94, 2, FALSE)</f>
        <v>500</v>
      </c>
      <c r="G37" s="2">
        <f>VLOOKUP(C37, Material!$E$2:$G$94, 3, FALSE)</f>
        <v>250</v>
      </c>
    </row>
    <row r="38">
      <c r="B38" s="2" t="s">
        <v>43</v>
      </c>
      <c r="C38" s="18" t="s">
        <v>229</v>
      </c>
      <c r="D38" s="19">
        <v>3889.0</v>
      </c>
      <c r="E38" s="17">
        <v>20.0</v>
      </c>
      <c r="F38" s="2">
        <f>VLOOKUP(C38, Material!$E$2:$F$94, 2, FALSE)</f>
        <v>1500</v>
      </c>
      <c r="G38" s="14">
        <f>VLOOKUP(C38, Material!$E$2:$G$94, 3, FALSE)</f>
        <v>745.0169492</v>
      </c>
    </row>
    <row r="39">
      <c r="B39" s="2" t="s">
        <v>44</v>
      </c>
      <c r="C39" s="18" t="s">
        <v>218</v>
      </c>
      <c r="D39" s="19">
        <v>3221.0</v>
      </c>
      <c r="E39" s="17">
        <v>20.0</v>
      </c>
      <c r="F39" s="2">
        <f>VLOOKUP(C39, Material!$E$2:$F$94, 2, FALSE)</f>
        <v>1500</v>
      </c>
      <c r="G39" s="14">
        <f>VLOOKUP(C39, Material!$E$2:$G$94, 3, FALSE)</f>
        <v>595.8644068</v>
      </c>
    </row>
    <row r="40">
      <c r="B40" s="2" t="s">
        <v>46</v>
      </c>
      <c r="C40" s="18" t="s">
        <v>230</v>
      </c>
      <c r="D40" s="19">
        <v>545.0</v>
      </c>
      <c r="E40" s="17">
        <v>20.0</v>
      </c>
      <c r="F40" s="2">
        <f>VLOOKUP(C40, Material!$E$2:$F$94, 2, FALSE)</f>
        <v>2000</v>
      </c>
      <c r="G40" s="14">
        <f>VLOOKUP(C40, Material!$E$2:$G$94, 3, FALSE)</f>
        <v>819.5932203</v>
      </c>
    </row>
    <row r="41">
      <c r="B41" s="2" t="s">
        <v>46</v>
      </c>
      <c r="C41" s="20" t="s">
        <v>221</v>
      </c>
      <c r="D41" s="16" t="s">
        <v>298</v>
      </c>
      <c r="E41" s="17">
        <v>1.0</v>
      </c>
      <c r="F41" s="2">
        <f>VLOOKUP(C41, Material!$E$2:$F$94, 2, FALSE)</f>
        <v>1500</v>
      </c>
      <c r="G41" s="14">
        <f>VLOOKUP(C41, Material!$E$2:$G$94, 3, FALSE)</f>
        <v>750</v>
      </c>
    </row>
    <row r="42">
      <c r="B42" s="2" t="s">
        <v>46</v>
      </c>
      <c r="C42" s="18" t="s">
        <v>222</v>
      </c>
      <c r="D42" s="16" t="s">
        <v>299</v>
      </c>
      <c r="E42" s="17">
        <v>1.0</v>
      </c>
      <c r="F42" s="2">
        <f>VLOOKUP(C42, Material!$E$2:$F$94, 2, FALSE)</f>
        <v>500</v>
      </c>
      <c r="G42" s="14">
        <f>VLOOKUP(C42, Material!$E$2:$G$94, 3, FALSE)</f>
        <v>270</v>
      </c>
    </row>
    <row r="43">
      <c r="B43" s="2" t="s">
        <v>46</v>
      </c>
      <c r="C43" s="20" t="s">
        <v>223</v>
      </c>
      <c r="D43" s="16" t="s">
        <v>300</v>
      </c>
      <c r="E43" s="17">
        <v>1.0</v>
      </c>
      <c r="F43" s="2">
        <f>VLOOKUP(C43, Material!$E$2:$F$94, 2, FALSE)</f>
        <v>1500</v>
      </c>
      <c r="G43" s="14">
        <f>VLOOKUP(C43, Material!$E$2:$G$94, 3, FALSE)</f>
        <v>750</v>
      </c>
    </row>
    <row r="44">
      <c r="B44" s="2" t="s">
        <v>46</v>
      </c>
      <c r="C44" s="21" t="s">
        <v>224</v>
      </c>
      <c r="D44" s="22" t="s">
        <v>301</v>
      </c>
      <c r="E44" s="17">
        <v>2.0</v>
      </c>
      <c r="F44" s="2">
        <f>VLOOKUP(C44, Material!$E$2:$F$94, 2, FALSE)</f>
        <v>1000</v>
      </c>
      <c r="G44" s="14">
        <f>VLOOKUP(C44, Material!$E$2:$G$94, 3, FALSE)</f>
        <v>675</v>
      </c>
    </row>
    <row r="45">
      <c r="B45" s="1" t="s">
        <v>46</v>
      </c>
      <c r="C45" s="23" t="s">
        <v>225</v>
      </c>
      <c r="D45" s="22" t="s">
        <v>302</v>
      </c>
      <c r="E45" s="17">
        <v>3.0</v>
      </c>
      <c r="F45" s="2">
        <f>VLOOKUP(C45, Material!$E$2:$F$94, 2, FALSE)</f>
        <v>2500</v>
      </c>
      <c r="G45" s="14">
        <f>VLOOKUP(C45, Material!$E$2:$G$94, 3, FALSE)</f>
        <v>2050</v>
      </c>
    </row>
    <row r="46">
      <c r="B46" s="2" t="s">
        <v>46</v>
      </c>
      <c r="C46" s="5" t="s">
        <v>38</v>
      </c>
      <c r="D46" s="22" t="s">
        <v>305</v>
      </c>
      <c r="E46" s="17">
        <v>4.0</v>
      </c>
      <c r="F46" s="2">
        <f>VLOOKUP(C46, Material!$E$2:$F$94, 2, FALSE)</f>
        <v>1000</v>
      </c>
      <c r="G46" s="2">
        <f>VLOOKUP(C46, Material!$E$2:$G$94, 3, FALSE)</f>
        <v>250</v>
      </c>
    </row>
    <row r="47">
      <c r="B47" s="2" t="s">
        <v>46</v>
      </c>
      <c r="C47" s="1" t="s">
        <v>47</v>
      </c>
      <c r="D47" s="22" t="s">
        <v>307</v>
      </c>
      <c r="E47" s="17">
        <v>2.0</v>
      </c>
      <c r="F47" s="2">
        <f>VLOOKUP(C47, Material!$E$2:$F$94, 2, FALSE)</f>
        <v>500</v>
      </c>
      <c r="G47" s="2">
        <f>VLOOKUP(C47, Material!$E$2:$G$94, 3, FALSE)</f>
        <v>250</v>
      </c>
    </row>
    <row r="48">
      <c r="B48" s="2" t="s">
        <v>50</v>
      </c>
      <c r="C48" s="18" t="s">
        <v>231</v>
      </c>
      <c r="D48" s="19">
        <v>5667.0</v>
      </c>
      <c r="E48" s="17">
        <v>20.0</v>
      </c>
      <c r="F48" s="2">
        <f>VLOOKUP(C48, Material!$E$2:$F$94, 2, FALSE)</f>
        <v>1500</v>
      </c>
      <c r="G48" s="14">
        <f>VLOOKUP(C48, Material!$E$2:$G$94, 3, FALSE)</f>
        <v>609.4915254</v>
      </c>
    </row>
    <row r="49">
      <c r="B49" s="2" t="s">
        <v>50</v>
      </c>
      <c r="C49" s="20" t="s">
        <v>221</v>
      </c>
      <c r="D49" s="16" t="s">
        <v>298</v>
      </c>
      <c r="E49" s="17">
        <v>1.0</v>
      </c>
      <c r="F49" s="2">
        <f>VLOOKUP(C49, Material!$E$2:$F$94, 2, FALSE)</f>
        <v>1500</v>
      </c>
      <c r="G49" s="14">
        <f>VLOOKUP(C49, Material!$E$2:$G$94, 3, FALSE)</f>
        <v>750</v>
      </c>
    </row>
    <row r="50">
      <c r="B50" s="2" t="s">
        <v>50</v>
      </c>
      <c r="C50" s="18" t="s">
        <v>222</v>
      </c>
      <c r="D50" s="16" t="s">
        <v>299</v>
      </c>
      <c r="E50" s="17">
        <v>1.0</v>
      </c>
      <c r="F50" s="2">
        <f>VLOOKUP(C50, Material!$E$2:$F$94, 2, FALSE)</f>
        <v>500</v>
      </c>
      <c r="G50" s="14">
        <f>VLOOKUP(C50, Material!$E$2:$G$94, 3, FALSE)</f>
        <v>270</v>
      </c>
    </row>
    <row r="51">
      <c r="B51" s="2" t="s">
        <v>50</v>
      </c>
      <c r="C51" s="20" t="s">
        <v>223</v>
      </c>
      <c r="D51" s="16" t="s">
        <v>300</v>
      </c>
      <c r="E51" s="17">
        <v>1.0</v>
      </c>
      <c r="F51" s="2">
        <f>VLOOKUP(C51, Material!$E$2:$F$94, 2, FALSE)</f>
        <v>1500</v>
      </c>
      <c r="G51" s="14">
        <f>VLOOKUP(C51, Material!$E$2:$G$94, 3, FALSE)</f>
        <v>750</v>
      </c>
    </row>
    <row r="52">
      <c r="B52" s="2" t="s">
        <v>50</v>
      </c>
      <c r="C52" s="21" t="s">
        <v>224</v>
      </c>
      <c r="D52" s="22" t="s">
        <v>301</v>
      </c>
      <c r="E52" s="17">
        <v>2.0</v>
      </c>
      <c r="F52" s="2">
        <f>VLOOKUP(C52, Material!$E$2:$F$94, 2, FALSE)</f>
        <v>1000</v>
      </c>
      <c r="G52" s="14">
        <f>VLOOKUP(C52, Material!$E$2:$G$94, 3, FALSE)</f>
        <v>675</v>
      </c>
    </row>
    <row r="53">
      <c r="B53" s="1" t="s">
        <v>50</v>
      </c>
      <c r="C53" s="23" t="s">
        <v>225</v>
      </c>
      <c r="D53" s="22" t="s">
        <v>302</v>
      </c>
      <c r="E53" s="17">
        <v>3.0</v>
      </c>
      <c r="F53" s="2">
        <f>VLOOKUP(C53, Material!$E$2:$F$94, 2, FALSE)</f>
        <v>2500</v>
      </c>
      <c r="G53" s="14">
        <f>VLOOKUP(C53, Material!$E$2:$G$94, 3, FALSE)</f>
        <v>2050</v>
      </c>
    </row>
    <row r="54">
      <c r="B54" s="2" t="s">
        <v>50</v>
      </c>
      <c r="C54" s="5" t="s">
        <v>38</v>
      </c>
      <c r="D54" s="22" t="s">
        <v>305</v>
      </c>
      <c r="E54" s="17">
        <v>4.0</v>
      </c>
      <c r="F54" s="2">
        <f>VLOOKUP(C54, Material!$E$2:$F$94, 2, FALSE)</f>
        <v>1000</v>
      </c>
      <c r="G54" s="2">
        <f>VLOOKUP(C54, Material!$E$2:$G$94, 3, FALSE)</f>
        <v>250</v>
      </c>
    </row>
    <row r="55">
      <c r="B55" s="2" t="s">
        <v>50</v>
      </c>
      <c r="C55" s="1" t="s">
        <v>34</v>
      </c>
      <c r="D55" s="22" t="s">
        <v>304</v>
      </c>
      <c r="E55" s="17">
        <v>2.0</v>
      </c>
      <c r="F55" s="2">
        <f>VLOOKUP(C55, Material!$E$2:$F$94, 2, FALSE)</f>
        <v>500</v>
      </c>
      <c r="G55" s="2">
        <f>VLOOKUP(C55, Material!$E$2:$G$94, 3, FALSE)</f>
        <v>250</v>
      </c>
    </row>
    <row r="56">
      <c r="B56" s="2" t="s">
        <v>51</v>
      </c>
      <c r="C56" s="18" t="s">
        <v>232</v>
      </c>
      <c r="D56" s="19">
        <v>3027.0</v>
      </c>
      <c r="E56" s="17">
        <v>20.0</v>
      </c>
      <c r="F56" s="2">
        <f>VLOOKUP(C56, Material!$E$2:$F$94, 2, FALSE)</f>
        <v>1500</v>
      </c>
      <c r="G56" s="14">
        <f>VLOOKUP(C56, Material!$E$2:$G$94, 3, FALSE)</f>
        <v>609.4915254</v>
      </c>
    </row>
    <row r="57">
      <c r="B57" s="2" t="s">
        <v>52</v>
      </c>
      <c r="C57" s="18" t="s">
        <v>233</v>
      </c>
      <c r="D57" s="19">
        <v>149.0</v>
      </c>
      <c r="E57" s="17">
        <v>20.0</v>
      </c>
      <c r="F57" s="2">
        <f>VLOOKUP(C57, Material!$E$2:$F$94, 2, FALSE)</f>
        <v>1500</v>
      </c>
      <c r="G57" s="14">
        <f>VLOOKUP(C57, Material!$E$2:$G$94, 3, FALSE)</f>
        <v>670.440678</v>
      </c>
    </row>
    <row r="58">
      <c r="B58" s="2" t="s">
        <v>54</v>
      </c>
      <c r="C58" s="18" t="s">
        <v>234</v>
      </c>
      <c r="D58" s="19">
        <v>155.0</v>
      </c>
      <c r="E58" s="17">
        <v>14.0</v>
      </c>
      <c r="F58" s="2">
        <f>VLOOKUP(C58, Material!$E$2:$F$94, 2, FALSE)</f>
        <v>1500</v>
      </c>
      <c r="G58" s="14">
        <f>VLOOKUP(C58, Material!$E$2:$G$94, 3, FALSE)</f>
        <v>670.440678</v>
      </c>
    </row>
    <row r="59">
      <c r="B59" s="2" t="s">
        <v>54</v>
      </c>
      <c r="C59" s="20" t="s">
        <v>221</v>
      </c>
      <c r="D59" s="16" t="s">
        <v>298</v>
      </c>
      <c r="E59" s="17">
        <v>2.0</v>
      </c>
      <c r="F59" s="2">
        <f>VLOOKUP(C59, Material!$E$2:$F$94, 2, FALSE)</f>
        <v>1500</v>
      </c>
      <c r="G59" s="14">
        <f>VLOOKUP(C59, Material!$E$2:$G$94, 3, FALSE)</f>
        <v>750</v>
      </c>
    </row>
    <row r="60">
      <c r="B60" s="2" t="s">
        <v>54</v>
      </c>
      <c r="C60" s="18" t="s">
        <v>222</v>
      </c>
      <c r="D60" s="16" t="s">
        <v>299</v>
      </c>
      <c r="E60" s="17">
        <v>2.0</v>
      </c>
      <c r="F60" s="2">
        <f>VLOOKUP(C60, Material!$E$2:$F$94, 2, FALSE)</f>
        <v>500</v>
      </c>
      <c r="G60" s="14">
        <f>VLOOKUP(C60, Material!$E$2:$G$94, 3, FALSE)</f>
        <v>270</v>
      </c>
    </row>
    <row r="61">
      <c r="B61" s="2" t="s">
        <v>54</v>
      </c>
      <c r="C61" s="20" t="s">
        <v>223</v>
      </c>
      <c r="D61" s="16" t="s">
        <v>300</v>
      </c>
      <c r="E61" s="17">
        <v>2.0</v>
      </c>
      <c r="F61" s="2">
        <f>VLOOKUP(C61, Material!$E$2:$F$94, 2, FALSE)</f>
        <v>1500</v>
      </c>
      <c r="G61" s="14">
        <f>VLOOKUP(C61, Material!$E$2:$G$94, 3, FALSE)</f>
        <v>750</v>
      </c>
    </row>
    <row r="62">
      <c r="B62" s="2" t="s">
        <v>54</v>
      </c>
      <c r="C62" s="21" t="s">
        <v>224</v>
      </c>
      <c r="D62" s="22" t="s">
        <v>301</v>
      </c>
      <c r="E62" s="17">
        <v>2.0</v>
      </c>
      <c r="F62" s="2">
        <f>VLOOKUP(C62, Material!$E$2:$F$94, 2, FALSE)</f>
        <v>1000</v>
      </c>
      <c r="G62" s="14">
        <f>VLOOKUP(C62, Material!$E$2:$G$94, 3, FALSE)</f>
        <v>675</v>
      </c>
    </row>
    <row r="63">
      <c r="B63" s="1" t="s">
        <v>54</v>
      </c>
      <c r="C63" s="23" t="s">
        <v>225</v>
      </c>
      <c r="D63" s="22" t="s">
        <v>302</v>
      </c>
      <c r="E63" s="17">
        <v>4.0</v>
      </c>
      <c r="F63" s="2">
        <f>VLOOKUP(C63, Material!$E$2:$F$94, 2, FALSE)</f>
        <v>2500</v>
      </c>
      <c r="G63" s="14">
        <f>VLOOKUP(C63, Material!$E$2:$G$94, 3, FALSE)</f>
        <v>2050</v>
      </c>
    </row>
    <row r="64">
      <c r="B64" s="2" t="s">
        <v>54</v>
      </c>
      <c r="C64" s="5" t="s">
        <v>56</v>
      </c>
      <c r="D64" s="16" t="s">
        <v>305</v>
      </c>
      <c r="E64" s="17">
        <v>4.0</v>
      </c>
      <c r="F64" s="2">
        <f>VLOOKUP(C64, Material!$E$2:$F$94, 2, FALSE)</f>
        <v>1000</v>
      </c>
      <c r="G64" s="2">
        <f>VLOOKUP(C64, Material!$E$2:$G$94, 3, FALSE)</f>
        <v>250</v>
      </c>
    </row>
    <row r="65">
      <c r="B65" s="2" t="s">
        <v>54</v>
      </c>
      <c r="C65" s="1" t="s">
        <v>42</v>
      </c>
      <c r="D65" s="16" t="s">
        <v>306</v>
      </c>
      <c r="E65" s="17">
        <v>2.0</v>
      </c>
      <c r="F65" s="2">
        <f>VLOOKUP(C65, Material!$E$2:$F$94, 2, FALSE)</f>
        <v>500</v>
      </c>
      <c r="G65" s="2">
        <f>VLOOKUP(C65, Material!$E$2:$G$94, 3, FALSE)</f>
        <v>250</v>
      </c>
    </row>
    <row r="66">
      <c r="B66" s="2" t="s">
        <v>58</v>
      </c>
      <c r="C66" s="18" t="s">
        <v>233</v>
      </c>
      <c r="D66" s="19">
        <v>149.0</v>
      </c>
      <c r="E66" s="17">
        <v>14.0</v>
      </c>
      <c r="F66" s="2">
        <f>VLOOKUP(C66, Material!$E$2:$F$94, 2, FALSE)</f>
        <v>1500</v>
      </c>
      <c r="G66" s="14">
        <f>VLOOKUP(C66, Material!$E$2:$G$94, 3, FALSE)</f>
        <v>670.440678</v>
      </c>
    </row>
    <row r="67">
      <c r="B67" s="2" t="s">
        <v>58</v>
      </c>
      <c r="C67" s="20" t="s">
        <v>221</v>
      </c>
      <c r="D67" s="16" t="s">
        <v>298</v>
      </c>
      <c r="E67" s="17">
        <v>2.0</v>
      </c>
      <c r="F67" s="2">
        <f>VLOOKUP(C67, Material!$E$2:$F$94, 2, FALSE)</f>
        <v>1500</v>
      </c>
      <c r="G67" s="14">
        <f>VLOOKUP(C67, Material!$E$2:$G$94, 3, FALSE)</f>
        <v>750</v>
      </c>
    </row>
    <row r="68">
      <c r="B68" s="2" t="s">
        <v>58</v>
      </c>
      <c r="C68" s="18" t="s">
        <v>222</v>
      </c>
      <c r="D68" s="16" t="s">
        <v>299</v>
      </c>
      <c r="E68" s="17">
        <v>2.0</v>
      </c>
      <c r="F68" s="2">
        <f>VLOOKUP(C68, Material!$E$2:$F$94, 2, FALSE)</f>
        <v>500</v>
      </c>
      <c r="G68" s="14">
        <f>VLOOKUP(C68, Material!$E$2:$G$94, 3, FALSE)</f>
        <v>270</v>
      </c>
    </row>
    <row r="69">
      <c r="B69" s="2" t="s">
        <v>58</v>
      </c>
      <c r="C69" s="20" t="s">
        <v>223</v>
      </c>
      <c r="D69" s="16" t="s">
        <v>300</v>
      </c>
      <c r="E69" s="17">
        <v>2.0</v>
      </c>
      <c r="F69" s="2">
        <f>VLOOKUP(C69, Material!$E$2:$F$94, 2, FALSE)</f>
        <v>1500</v>
      </c>
      <c r="G69" s="14">
        <f>VLOOKUP(C69, Material!$E$2:$G$94, 3, FALSE)</f>
        <v>750</v>
      </c>
    </row>
    <row r="70">
      <c r="B70" s="2" t="s">
        <v>58</v>
      </c>
      <c r="C70" s="21" t="s">
        <v>224</v>
      </c>
      <c r="D70" s="22" t="s">
        <v>301</v>
      </c>
      <c r="E70" s="17">
        <v>2.0</v>
      </c>
      <c r="F70" s="2">
        <f>VLOOKUP(C70, Material!$E$2:$F$94, 2, FALSE)</f>
        <v>1000</v>
      </c>
      <c r="G70" s="14">
        <f>VLOOKUP(C70, Material!$E$2:$G$94, 3, FALSE)</f>
        <v>675</v>
      </c>
    </row>
    <row r="71">
      <c r="B71" s="1" t="s">
        <v>58</v>
      </c>
      <c r="C71" s="23" t="s">
        <v>225</v>
      </c>
      <c r="D71" s="22" t="s">
        <v>302</v>
      </c>
      <c r="E71" s="17">
        <v>4.0</v>
      </c>
      <c r="F71" s="2">
        <f>VLOOKUP(C71, Material!$E$2:$F$94, 2, FALSE)</f>
        <v>2500</v>
      </c>
      <c r="G71" s="14">
        <f>VLOOKUP(C71, Material!$E$2:$G$94, 3, FALSE)</f>
        <v>2050</v>
      </c>
    </row>
    <row r="72">
      <c r="B72" s="2" t="s">
        <v>58</v>
      </c>
      <c r="C72" s="5" t="s">
        <v>56</v>
      </c>
      <c r="D72" s="16" t="s">
        <v>305</v>
      </c>
      <c r="E72" s="17">
        <v>4.0</v>
      </c>
      <c r="F72" s="2">
        <f>VLOOKUP(C72, Material!$E$2:$F$94, 2, FALSE)</f>
        <v>1000</v>
      </c>
      <c r="G72" s="2">
        <f>VLOOKUP(C72, Material!$E$2:$G$94, 3, FALSE)</f>
        <v>250</v>
      </c>
    </row>
    <row r="73">
      <c r="B73" s="2" t="s">
        <v>58</v>
      </c>
      <c r="C73" s="1" t="s">
        <v>47</v>
      </c>
      <c r="D73" s="16" t="s">
        <v>307</v>
      </c>
      <c r="E73" s="17">
        <v>2.0</v>
      </c>
      <c r="F73" s="2">
        <f>VLOOKUP(C73, Material!$E$2:$F$94, 2, FALSE)</f>
        <v>500</v>
      </c>
      <c r="G73" s="2">
        <f>VLOOKUP(C73, Material!$E$2:$G$94, 3, FALSE)</f>
        <v>250</v>
      </c>
    </row>
    <row r="74">
      <c r="B74" s="2" t="s">
        <v>60</v>
      </c>
      <c r="C74" s="18" t="s">
        <v>231</v>
      </c>
      <c r="D74" s="19">
        <v>5667.0</v>
      </c>
      <c r="E74" s="17">
        <v>12.0</v>
      </c>
      <c r="F74" s="2">
        <f>VLOOKUP(C74, Material!$E$2:$F$94, 2, FALSE)</f>
        <v>1500</v>
      </c>
      <c r="G74" s="14">
        <f>VLOOKUP(C74, Material!$E$2:$G$94, 3, FALSE)</f>
        <v>609.4915254</v>
      </c>
    </row>
    <row r="75">
      <c r="B75" s="2" t="s">
        <v>60</v>
      </c>
      <c r="C75" s="20" t="s">
        <v>221</v>
      </c>
      <c r="D75" s="16" t="s">
        <v>298</v>
      </c>
      <c r="E75" s="17">
        <v>2.0</v>
      </c>
      <c r="F75" s="2">
        <f>VLOOKUP(C75, Material!$E$2:$F$94, 2, FALSE)</f>
        <v>1500</v>
      </c>
      <c r="G75" s="14">
        <f>VLOOKUP(C75, Material!$E$2:$G$94, 3, FALSE)</f>
        <v>750</v>
      </c>
    </row>
    <row r="76">
      <c r="B76" s="2" t="s">
        <v>60</v>
      </c>
      <c r="C76" s="18" t="s">
        <v>222</v>
      </c>
      <c r="D76" s="16" t="s">
        <v>299</v>
      </c>
      <c r="E76" s="17">
        <v>2.0</v>
      </c>
      <c r="F76" s="2">
        <f>VLOOKUP(C76, Material!$E$2:$F$94, 2, FALSE)</f>
        <v>500</v>
      </c>
      <c r="G76" s="14">
        <f>VLOOKUP(C76, Material!$E$2:$G$94, 3, FALSE)</f>
        <v>270</v>
      </c>
    </row>
    <row r="77">
      <c r="B77" s="2" t="s">
        <v>60</v>
      </c>
      <c r="C77" s="20" t="s">
        <v>223</v>
      </c>
      <c r="D77" s="16" t="s">
        <v>300</v>
      </c>
      <c r="E77" s="17">
        <v>2.0</v>
      </c>
      <c r="F77" s="2">
        <f>VLOOKUP(C77, Material!$E$2:$F$94, 2, FALSE)</f>
        <v>1500</v>
      </c>
      <c r="G77" s="14">
        <f>VLOOKUP(C77, Material!$E$2:$G$94, 3, FALSE)</f>
        <v>750</v>
      </c>
    </row>
    <row r="78">
      <c r="B78" s="2" t="s">
        <v>60</v>
      </c>
      <c r="C78" s="21" t="s">
        <v>224</v>
      </c>
      <c r="D78" s="22" t="s">
        <v>301</v>
      </c>
      <c r="E78" s="17">
        <v>2.0</v>
      </c>
      <c r="F78" s="2">
        <f>VLOOKUP(C78, Material!$E$2:$F$94, 2, FALSE)</f>
        <v>1000</v>
      </c>
      <c r="G78" s="14">
        <f>VLOOKUP(C78, Material!$E$2:$G$94, 3, FALSE)</f>
        <v>675</v>
      </c>
    </row>
    <row r="79">
      <c r="B79" s="1" t="s">
        <v>60</v>
      </c>
      <c r="C79" s="23" t="s">
        <v>225</v>
      </c>
      <c r="D79" s="22" t="s">
        <v>302</v>
      </c>
      <c r="E79" s="17">
        <v>2.0</v>
      </c>
      <c r="F79" s="2">
        <f>VLOOKUP(C79, Material!$E$2:$F$94, 2, FALSE)</f>
        <v>2500</v>
      </c>
      <c r="G79" s="14">
        <f>VLOOKUP(C79, Material!$E$2:$G$94, 3, FALSE)</f>
        <v>2050</v>
      </c>
    </row>
    <row r="80">
      <c r="B80" s="2" t="s">
        <v>60</v>
      </c>
      <c r="C80" s="6" t="s">
        <v>39</v>
      </c>
      <c r="D80" s="22" t="s">
        <v>308</v>
      </c>
      <c r="E80" s="17">
        <v>2.0</v>
      </c>
      <c r="F80" s="2">
        <f>VLOOKUP(C80, Material!$E$2:$F$94, 2, FALSE)</f>
        <v>1000</v>
      </c>
      <c r="G80" s="2">
        <f>VLOOKUP(C80, Material!$E$2:$G$94, 3, FALSE)</f>
        <v>250</v>
      </c>
    </row>
    <row r="81">
      <c r="B81" s="2" t="s">
        <v>60</v>
      </c>
      <c r="C81" s="9" t="s">
        <v>61</v>
      </c>
      <c r="D81" s="22" t="s">
        <v>11</v>
      </c>
      <c r="E81" s="17">
        <v>1.0</v>
      </c>
      <c r="F81" s="2">
        <f>VLOOKUP(C81, Material!$E$2:$F$94, 2, FALSE)</f>
        <v>1000</v>
      </c>
      <c r="G81" s="2">
        <f>VLOOKUP(C81, Material!$E$2:$G$94, 3, FALSE)</f>
        <v>250</v>
      </c>
    </row>
    <row r="82">
      <c r="B82" s="2" t="s">
        <v>60</v>
      </c>
      <c r="C82" s="1" t="s">
        <v>47</v>
      </c>
      <c r="D82" s="22" t="s">
        <v>307</v>
      </c>
      <c r="E82" s="17">
        <v>2.0</v>
      </c>
      <c r="F82" s="2">
        <f>VLOOKUP(C82, Material!$E$2:$F$94, 2, FALSE)</f>
        <v>500</v>
      </c>
      <c r="G82" s="2">
        <f>VLOOKUP(C82, Material!$E$2:$G$94, 3, FALSE)</f>
        <v>250</v>
      </c>
    </row>
    <row r="83">
      <c r="B83" s="2" t="s">
        <v>62</v>
      </c>
      <c r="C83" s="18" t="s">
        <v>235</v>
      </c>
      <c r="D83" s="19">
        <v>2347.0</v>
      </c>
      <c r="E83" s="17">
        <v>15.0</v>
      </c>
      <c r="F83" s="2">
        <f>VLOOKUP(C83, Material!$E$2:$F$94, 2, FALSE)</f>
        <v>2500</v>
      </c>
      <c r="G83" s="14">
        <f>VLOOKUP(C83, Material!$E$2:$G$94, 3, FALSE)</f>
        <v>1117.898305</v>
      </c>
    </row>
    <row r="84">
      <c r="B84" s="2" t="s">
        <v>64</v>
      </c>
      <c r="C84" s="18" t="s">
        <v>236</v>
      </c>
      <c r="D84" s="19">
        <v>2308.0</v>
      </c>
      <c r="E84" s="17">
        <v>3.0</v>
      </c>
      <c r="F84" s="2">
        <f>VLOOKUP(C84, Material!$E$2:$F$94, 2, FALSE)</f>
        <v>7500</v>
      </c>
      <c r="G84" s="14">
        <f>VLOOKUP(C84, Material!$E$2:$G$94, 3, FALSE)</f>
        <v>4148.387119</v>
      </c>
    </row>
    <row r="85">
      <c r="B85" s="2" t="s">
        <v>64</v>
      </c>
      <c r="C85" s="20" t="s">
        <v>221</v>
      </c>
      <c r="D85" s="16" t="s">
        <v>298</v>
      </c>
      <c r="E85" s="17">
        <v>1.0</v>
      </c>
      <c r="F85" s="2">
        <f>VLOOKUP(C85, Material!$E$2:$F$94, 2, FALSE)</f>
        <v>1500</v>
      </c>
      <c r="G85" s="14">
        <f>VLOOKUP(C85, Material!$E$2:$G$94, 3, FALSE)</f>
        <v>750</v>
      </c>
    </row>
    <row r="86">
      <c r="B86" s="2" t="s">
        <v>64</v>
      </c>
      <c r="C86" s="18" t="s">
        <v>222</v>
      </c>
      <c r="D86" s="16" t="s">
        <v>299</v>
      </c>
      <c r="E86" s="17">
        <v>1.0</v>
      </c>
      <c r="F86" s="2">
        <f>VLOOKUP(C86, Material!$E$2:$F$94, 2, FALSE)</f>
        <v>500</v>
      </c>
      <c r="G86" s="14">
        <f>VLOOKUP(C86, Material!$E$2:$G$94, 3, FALSE)</f>
        <v>270</v>
      </c>
    </row>
    <row r="87">
      <c r="B87" s="2" t="s">
        <v>64</v>
      </c>
      <c r="C87" s="20" t="s">
        <v>223</v>
      </c>
      <c r="D87" s="16" t="s">
        <v>300</v>
      </c>
      <c r="E87" s="17">
        <v>1.0</v>
      </c>
      <c r="F87" s="2">
        <f>VLOOKUP(C87, Material!$E$2:$F$94, 2, FALSE)</f>
        <v>1500</v>
      </c>
      <c r="G87" s="14">
        <f>VLOOKUP(C87, Material!$E$2:$G$94, 3, FALSE)</f>
        <v>750</v>
      </c>
    </row>
    <row r="88">
      <c r="B88" s="2" t="s">
        <v>64</v>
      </c>
      <c r="C88" s="21" t="s">
        <v>224</v>
      </c>
      <c r="D88" s="22" t="s">
        <v>301</v>
      </c>
      <c r="E88" s="17">
        <v>2.0</v>
      </c>
      <c r="F88" s="2">
        <f>VLOOKUP(C88, Material!$E$2:$F$94, 2, FALSE)</f>
        <v>1000</v>
      </c>
      <c r="G88" s="14">
        <f>VLOOKUP(C88, Material!$E$2:$G$94, 3, FALSE)</f>
        <v>675</v>
      </c>
    </row>
    <row r="89">
      <c r="B89" s="1" t="s">
        <v>64</v>
      </c>
      <c r="C89" s="23" t="s">
        <v>225</v>
      </c>
      <c r="D89" s="22" t="s">
        <v>302</v>
      </c>
      <c r="E89" s="17">
        <v>2.0</v>
      </c>
      <c r="F89" s="2">
        <f>VLOOKUP(C89, Material!$E$2:$F$94, 2, FALSE)</f>
        <v>2500</v>
      </c>
      <c r="G89" s="14">
        <f>VLOOKUP(C89, Material!$E$2:$G$94, 3, FALSE)</f>
        <v>2050</v>
      </c>
    </row>
    <row r="90">
      <c r="B90" s="2" t="s">
        <v>64</v>
      </c>
      <c r="C90" s="5" t="s">
        <v>56</v>
      </c>
      <c r="D90" s="22" t="s">
        <v>305</v>
      </c>
      <c r="E90" s="17">
        <v>3.0</v>
      </c>
      <c r="F90" s="2">
        <f>VLOOKUP(C90, Material!$E$2:$F$94, 2, FALSE)</f>
        <v>1000</v>
      </c>
      <c r="G90" s="2">
        <f>VLOOKUP(C90, Material!$E$2:$G$94, 3, FALSE)</f>
        <v>250</v>
      </c>
    </row>
    <row r="91">
      <c r="B91" s="2" t="s">
        <v>64</v>
      </c>
      <c r="C91" s="9" t="s">
        <v>61</v>
      </c>
      <c r="D91" s="22" t="s">
        <v>11</v>
      </c>
      <c r="E91" s="17">
        <v>2.0</v>
      </c>
      <c r="F91" s="2">
        <f>VLOOKUP(C91, Material!$E$2:$F$94, 2, FALSE)</f>
        <v>1000</v>
      </c>
      <c r="G91" s="2">
        <f>VLOOKUP(C91, Material!$E$2:$G$94, 3, FALSE)</f>
        <v>250</v>
      </c>
    </row>
    <row r="92">
      <c r="B92" s="2" t="s">
        <v>64</v>
      </c>
      <c r="C92" s="24" t="s">
        <v>237</v>
      </c>
      <c r="D92" s="22" t="s">
        <v>309</v>
      </c>
      <c r="E92" s="17">
        <v>3.0</v>
      </c>
      <c r="F92" s="2">
        <f>VLOOKUP(C92, Material!$E$2:$F$94, 2, FALSE)</f>
        <v>600</v>
      </c>
      <c r="G92" s="2">
        <f>VLOOKUP(C92, Material!$E$2:$G$94, 3, FALSE)</f>
        <v>500</v>
      </c>
    </row>
    <row r="93">
      <c r="B93" s="2" t="s">
        <v>64</v>
      </c>
      <c r="C93" s="1" t="s">
        <v>47</v>
      </c>
      <c r="D93" s="22" t="s">
        <v>307</v>
      </c>
      <c r="E93" s="17">
        <v>2.0</v>
      </c>
      <c r="F93" s="2">
        <f>VLOOKUP(C93, Material!$E$2:$F$94, 2, FALSE)</f>
        <v>500</v>
      </c>
      <c r="G93" s="2">
        <f>VLOOKUP(C93, Material!$E$2:$G$94, 3, FALSE)</f>
        <v>250</v>
      </c>
    </row>
    <row r="94">
      <c r="B94" s="2" t="s">
        <v>66</v>
      </c>
      <c r="C94" s="18" t="s">
        <v>238</v>
      </c>
      <c r="D94" s="19">
        <v>2327.0</v>
      </c>
      <c r="E94" s="17">
        <v>3.0</v>
      </c>
      <c r="F94" s="2">
        <f>VLOOKUP(C94, Material!$E$2:$F$94, 2, FALSE)</f>
        <v>7500</v>
      </c>
      <c r="G94" s="14">
        <f>VLOOKUP(C94, Material!$E$2:$G$94, 3, FALSE)</f>
        <v>4148.387119</v>
      </c>
    </row>
    <row r="95">
      <c r="B95" s="2" t="s">
        <v>66</v>
      </c>
      <c r="C95" s="20" t="s">
        <v>221</v>
      </c>
      <c r="D95" s="16" t="s">
        <v>298</v>
      </c>
      <c r="E95" s="17">
        <v>1.0</v>
      </c>
      <c r="F95" s="2">
        <f>VLOOKUP(C95, Material!$E$2:$F$94, 2, FALSE)</f>
        <v>1500</v>
      </c>
      <c r="G95" s="14">
        <f>VLOOKUP(C95, Material!$E$2:$G$94, 3, FALSE)</f>
        <v>750</v>
      </c>
    </row>
    <row r="96">
      <c r="B96" s="2" t="s">
        <v>66</v>
      </c>
      <c r="C96" s="18" t="s">
        <v>222</v>
      </c>
      <c r="D96" s="16" t="s">
        <v>299</v>
      </c>
      <c r="E96" s="17">
        <v>1.0</v>
      </c>
      <c r="F96" s="2">
        <f>VLOOKUP(C96, Material!$E$2:$F$94, 2, FALSE)</f>
        <v>500</v>
      </c>
      <c r="G96" s="14">
        <f>VLOOKUP(C96, Material!$E$2:$G$94, 3, FALSE)</f>
        <v>270</v>
      </c>
    </row>
    <row r="97">
      <c r="B97" s="2" t="s">
        <v>66</v>
      </c>
      <c r="C97" s="20" t="s">
        <v>223</v>
      </c>
      <c r="D97" s="16" t="s">
        <v>300</v>
      </c>
      <c r="E97" s="17">
        <v>1.0</v>
      </c>
      <c r="F97" s="2">
        <f>VLOOKUP(C97, Material!$E$2:$F$94, 2, FALSE)</f>
        <v>1500</v>
      </c>
      <c r="G97" s="14">
        <f>VLOOKUP(C97, Material!$E$2:$G$94, 3, FALSE)</f>
        <v>750</v>
      </c>
    </row>
    <row r="98">
      <c r="B98" s="2" t="s">
        <v>66</v>
      </c>
      <c r="C98" s="21" t="s">
        <v>224</v>
      </c>
      <c r="D98" s="22" t="s">
        <v>301</v>
      </c>
      <c r="E98" s="17">
        <v>1.0</v>
      </c>
      <c r="F98" s="2">
        <f>VLOOKUP(C98, Material!$E$2:$F$94, 2, FALSE)</f>
        <v>1000</v>
      </c>
      <c r="G98" s="14">
        <f>VLOOKUP(C98, Material!$E$2:$G$94, 3, FALSE)</f>
        <v>675</v>
      </c>
    </row>
    <row r="99">
      <c r="B99" s="1" t="s">
        <v>66</v>
      </c>
      <c r="C99" s="23" t="s">
        <v>225</v>
      </c>
      <c r="D99" s="22" t="s">
        <v>302</v>
      </c>
      <c r="E99" s="17">
        <v>2.0</v>
      </c>
      <c r="F99" s="2">
        <f>VLOOKUP(C99, Material!$E$2:$F$94, 2, FALSE)</f>
        <v>2500</v>
      </c>
      <c r="G99" s="14">
        <f>VLOOKUP(C99, Material!$E$2:$G$94, 3, FALSE)</f>
        <v>2050</v>
      </c>
    </row>
    <row r="100">
      <c r="B100" s="2" t="s">
        <v>66</v>
      </c>
      <c r="C100" s="5" t="s">
        <v>56</v>
      </c>
      <c r="D100" s="22" t="s">
        <v>305</v>
      </c>
      <c r="E100" s="17">
        <v>3.0</v>
      </c>
      <c r="F100" s="2">
        <f>VLOOKUP(C100, Material!$E$2:$F$94, 2, FALSE)</f>
        <v>1000</v>
      </c>
      <c r="G100" s="2">
        <f>VLOOKUP(C100, Material!$E$2:$G$94, 3, FALSE)</f>
        <v>250</v>
      </c>
    </row>
    <row r="101">
      <c r="B101" s="2" t="s">
        <v>66</v>
      </c>
      <c r="C101" s="9" t="s">
        <v>61</v>
      </c>
      <c r="D101" s="22" t="s">
        <v>11</v>
      </c>
      <c r="E101" s="17">
        <v>2.0</v>
      </c>
      <c r="F101" s="2">
        <f>VLOOKUP(C101, Material!$E$2:$F$94, 2, FALSE)</f>
        <v>1000</v>
      </c>
      <c r="G101" s="2">
        <f>VLOOKUP(C101, Material!$E$2:$G$94, 3, FALSE)</f>
        <v>250</v>
      </c>
    </row>
    <row r="102">
      <c r="B102" s="2" t="s">
        <v>66</v>
      </c>
      <c r="C102" s="1" t="s">
        <v>47</v>
      </c>
      <c r="D102" s="22" t="s">
        <v>307</v>
      </c>
      <c r="E102" s="17">
        <v>2.0</v>
      </c>
      <c r="F102" s="2">
        <f>VLOOKUP(C102, Material!$E$2:$F$94, 2, FALSE)</f>
        <v>500</v>
      </c>
      <c r="G102" s="2">
        <f>VLOOKUP(C102, Material!$E$2:$G$94, 3, FALSE)</f>
        <v>250</v>
      </c>
    </row>
    <row r="103">
      <c r="B103" s="2" t="s">
        <v>66</v>
      </c>
      <c r="C103" s="24" t="s">
        <v>237</v>
      </c>
      <c r="D103" s="22" t="s">
        <v>309</v>
      </c>
      <c r="E103" s="17">
        <v>3.0</v>
      </c>
      <c r="F103" s="2">
        <f>VLOOKUP(C103, Material!$E$2:$F$94, 2, FALSE)</f>
        <v>600</v>
      </c>
      <c r="G103" s="2">
        <f>VLOOKUP(C103, Material!$E$2:$G$94, 3, FALSE)</f>
        <v>500</v>
      </c>
    </row>
    <row r="104">
      <c r="B104" s="2" t="s">
        <v>67</v>
      </c>
      <c r="C104" s="18" t="s">
        <v>239</v>
      </c>
      <c r="D104" s="19">
        <v>2314.0</v>
      </c>
      <c r="E104" s="17">
        <v>12.0</v>
      </c>
      <c r="F104" s="2">
        <f>VLOOKUP(C104, Material!$E$2:$F$94, 2, FALSE)</f>
        <v>7500</v>
      </c>
      <c r="G104" s="14">
        <f>VLOOKUP(C104, Material!$E$2:$G$94, 3, FALSE)</f>
        <v>4148.387119</v>
      </c>
    </row>
    <row r="105">
      <c r="B105" s="2" t="s">
        <v>72</v>
      </c>
      <c r="C105" s="18" t="s">
        <v>240</v>
      </c>
      <c r="D105" s="25">
        <v>2307.0</v>
      </c>
      <c r="E105" s="17">
        <v>4.0</v>
      </c>
      <c r="F105" s="2">
        <f>VLOOKUP(C105, Material!$E$2:$F$94, 2, FALSE)</f>
        <v>7500</v>
      </c>
      <c r="G105" s="14">
        <f>VLOOKUP(C105, Material!$E$2:$G$94, 3, FALSE)</f>
        <v>4148.387119</v>
      </c>
    </row>
    <row r="106">
      <c r="B106" s="2" t="s">
        <v>72</v>
      </c>
      <c r="C106" s="20" t="s">
        <v>221</v>
      </c>
      <c r="D106" s="16" t="s">
        <v>298</v>
      </c>
      <c r="E106" s="17">
        <v>2.0</v>
      </c>
      <c r="F106" s="2">
        <f>VLOOKUP(C106, Material!$E$2:$F$94, 2, FALSE)</f>
        <v>1500</v>
      </c>
      <c r="G106" s="14">
        <f>VLOOKUP(C106, Material!$E$2:$G$94, 3, FALSE)</f>
        <v>750</v>
      </c>
    </row>
    <row r="107">
      <c r="B107" s="2" t="s">
        <v>72</v>
      </c>
      <c r="C107" s="20" t="s">
        <v>223</v>
      </c>
      <c r="D107" s="16" t="s">
        <v>300</v>
      </c>
      <c r="E107" s="17">
        <v>1.0</v>
      </c>
      <c r="F107" s="2">
        <f>VLOOKUP(C107, Material!$E$2:$F$94, 2, FALSE)</f>
        <v>1500</v>
      </c>
      <c r="G107" s="14">
        <f>VLOOKUP(C107, Material!$E$2:$G$94, 3, FALSE)</f>
        <v>750</v>
      </c>
    </row>
    <row r="108">
      <c r="B108" s="2" t="s">
        <v>72</v>
      </c>
      <c r="C108" s="21" t="s">
        <v>224</v>
      </c>
      <c r="D108" s="22" t="s">
        <v>301</v>
      </c>
      <c r="E108" s="17">
        <v>2.0</v>
      </c>
      <c r="F108" s="2">
        <f>VLOOKUP(C108, Material!$E$2:$F$94, 2, FALSE)</f>
        <v>1000</v>
      </c>
      <c r="G108" s="14">
        <f>VLOOKUP(C108, Material!$E$2:$G$94, 3, FALSE)</f>
        <v>675</v>
      </c>
    </row>
    <row r="109">
      <c r="B109" s="1" t="s">
        <v>72</v>
      </c>
      <c r="C109" s="23" t="s">
        <v>225</v>
      </c>
      <c r="D109" s="22" t="s">
        <v>302</v>
      </c>
      <c r="E109" s="17">
        <v>2.0</v>
      </c>
      <c r="F109" s="2">
        <f>VLOOKUP(C109, Material!$E$2:$F$94, 2, FALSE)</f>
        <v>2500</v>
      </c>
      <c r="G109" s="14">
        <f>VLOOKUP(C109, Material!$E$2:$G$94, 3, FALSE)</f>
        <v>2050</v>
      </c>
    </row>
    <row r="110">
      <c r="B110" s="2" t="s">
        <v>72</v>
      </c>
      <c r="C110" s="1" t="s">
        <v>47</v>
      </c>
      <c r="D110" s="22" t="s">
        <v>304</v>
      </c>
      <c r="E110" s="17">
        <v>2.0</v>
      </c>
      <c r="F110" s="2">
        <f>VLOOKUP(C110, Material!$E$2:$F$94, 2, FALSE)</f>
        <v>500</v>
      </c>
      <c r="G110" s="2">
        <f>VLOOKUP(C110, Material!$E$2:$G$94, 3, FALSE)</f>
        <v>250</v>
      </c>
    </row>
    <row r="111">
      <c r="B111" s="2" t="s">
        <v>73</v>
      </c>
      <c r="C111" s="18" t="s">
        <v>240</v>
      </c>
      <c r="D111" s="25">
        <v>2307.0</v>
      </c>
      <c r="E111" s="17">
        <v>18.0</v>
      </c>
      <c r="F111" s="2">
        <f>VLOOKUP(C111, Material!$E$2:$F$94, 2, FALSE)</f>
        <v>7500</v>
      </c>
      <c r="G111" s="14">
        <f>VLOOKUP(C111, Material!$E$2:$G$94, 3, FALSE)</f>
        <v>4148.387119</v>
      </c>
    </row>
    <row r="112">
      <c r="B112" s="2" t="s">
        <v>74</v>
      </c>
      <c r="C112" s="18" t="s">
        <v>241</v>
      </c>
      <c r="D112" s="19">
        <v>2313.0</v>
      </c>
      <c r="E112" s="17">
        <v>18.0</v>
      </c>
      <c r="F112" s="2">
        <f>VLOOKUP(C112, Material!$E$2:$F$94, 2, FALSE)</f>
        <v>7500</v>
      </c>
      <c r="G112" s="14">
        <f>VLOOKUP(C112, Material!$E$2:$G$94, 3, FALSE)</f>
        <v>4148.387119</v>
      </c>
    </row>
    <row r="113">
      <c r="B113" s="2" t="s">
        <v>75</v>
      </c>
      <c r="C113" s="18" t="s">
        <v>242</v>
      </c>
      <c r="D113" s="19">
        <v>2305.0</v>
      </c>
      <c r="E113" s="17">
        <v>0.0</v>
      </c>
      <c r="F113" s="2">
        <f>VLOOKUP(C113, Material!$E$2:$F$94, 2, FALSE)</f>
        <v>7500</v>
      </c>
      <c r="G113" s="14">
        <f>VLOOKUP(C113, Material!$E$2:$G$94, 3, FALSE)</f>
        <v>4148.387119</v>
      </c>
    </row>
    <row r="114">
      <c r="B114" s="2" t="s">
        <v>76</v>
      </c>
      <c r="C114" s="18" t="s">
        <v>243</v>
      </c>
      <c r="D114" s="19">
        <v>2324.0</v>
      </c>
      <c r="E114" s="17">
        <v>0.0</v>
      </c>
      <c r="F114" s="2">
        <f>VLOOKUP(C114, Material!$E$2:$F$94, 2, FALSE)</f>
        <v>7500</v>
      </c>
      <c r="G114" s="14">
        <f>VLOOKUP(C114, Material!$E$2:$G$94, 3, FALSE)</f>
        <v>4148.387119</v>
      </c>
    </row>
    <row r="115">
      <c r="B115" s="2" t="s">
        <v>77</v>
      </c>
      <c r="C115" s="18" t="s">
        <v>244</v>
      </c>
      <c r="D115" s="19">
        <v>2328.0</v>
      </c>
      <c r="E115" s="17">
        <v>0.0</v>
      </c>
      <c r="F115" s="2">
        <f>VLOOKUP(C115, Material!$E$2:$F$94, 2, FALSE)</f>
        <v>7500</v>
      </c>
      <c r="G115" s="14">
        <f>VLOOKUP(C115, Material!$E$2:$G$94, 3, FALSE)</f>
        <v>4148.387119</v>
      </c>
    </row>
    <row r="116">
      <c r="B116" s="2" t="s">
        <v>78</v>
      </c>
      <c r="C116" s="18" t="s">
        <v>243</v>
      </c>
      <c r="D116" s="19">
        <v>2324.0</v>
      </c>
      <c r="E116" s="17">
        <v>0.0</v>
      </c>
      <c r="F116" s="2">
        <f>VLOOKUP(C116, Material!$E$2:$F$94, 2, FALSE)</f>
        <v>7500</v>
      </c>
      <c r="G116" s="14">
        <f>VLOOKUP(C116, Material!$E$2:$G$94, 3, FALSE)</f>
        <v>4148.387119</v>
      </c>
    </row>
    <row r="117">
      <c r="B117" s="2" t="s">
        <v>79</v>
      </c>
      <c r="C117" s="18" t="s">
        <v>242</v>
      </c>
      <c r="D117" s="19">
        <v>2305.0</v>
      </c>
      <c r="E117" s="17">
        <v>0.0</v>
      </c>
      <c r="F117" s="2">
        <f>VLOOKUP(C117, Material!$E$2:$F$94, 2, FALSE)</f>
        <v>7500</v>
      </c>
      <c r="G117" s="14">
        <f>VLOOKUP(C117, Material!$E$2:$G$94, 3, FALSE)</f>
        <v>4148.387119</v>
      </c>
    </row>
    <row r="118">
      <c r="B118" s="2" t="s">
        <v>80</v>
      </c>
      <c r="C118" s="18" t="s">
        <v>242</v>
      </c>
      <c r="D118" s="19">
        <v>2305.0</v>
      </c>
      <c r="E118" s="17">
        <v>0.0</v>
      </c>
      <c r="F118" s="2">
        <f>VLOOKUP(C118, Material!$E$2:$F$94, 2, FALSE)</f>
        <v>7500</v>
      </c>
      <c r="G118" s="14">
        <f>VLOOKUP(C118, Material!$E$2:$G$94, 3, FALSE)</f>
        <v>4148.387119</v>
      </c>
    </row>
    <row r="119">
      <c r="B119" s="2" t="s">
        <v>81</v>
      </c>
      <c r="C119" s="18" t="s">
        <v>243</v>
      </c>
      <c r="D119" s="19">
        <v>2324.0</v>
      </c>
      <c r="E119" s="17">
        <v>0.0</v>
      </c>
      <c r="F119" s="2">
        <f>VLOOKUP(C119, Material!$E$2:$F$94, 2, FALSE)</f>
        <v>7500</v>
      </c>
      <c r="G119" s="14">
        <f>VLOOKUP(C119, Material!$E$2:$G$94, 3, FALSE)</f>
        <v>4148.387119</v>
      </c>
    </row>
    <row r="120">
      <c r="B120" s="2" t="s">
        <v>82</v>
      </c>
      <c r="C120" s="18" t="s">
        <v>239</v>
      </c>
      <c r="D120" s="19">
        <v>2314.0</v>
      </c>
      <c r="E120" s="17">
        <v>0.0</v>
      </c>
      <c r="F120" s="2">
        <f>VLOOKUP(C120, Material!$E$2:$F$94, 2, FALSE)</f>
        <v>7500</v>
      </c>
      <c r="G120" s="14">
        <f>VLOOKUP(C120, Material!$E$2:$G$94, 3, FALSE)</f>
        <v>4148.387119</v>
      </c>
    </row>
    <row r="121">
      <c r="B121" s="2" t="s">
        <v>83</v>
      </c>
      <c r="C121" s="18" t="s">
        <v>241</v>
      </c>
      <c r="D121" s="19">
        <v>2313.0</v>
      </c>
      <c r="E121" s="17">
        <v>0.0</v>
      </c>
      <c r="F121" s="2">
        <f>VLOOKUP(C121, Material!$E$2:$F$94, 2, FALSE)</f>
        <v>7500</v>
      </c>
      <c r="G121" s="14">
        <f>VLOOKUP(C121, Material!$E$2:$G$94, 3, FALSE)</f>
        <v>4148.387119</v>
      </c>
    </row>
    <row r="122">
      <c r="B122" s="2" t="s">
        <v>84</v>
      </c>
      <c r="C122" s="18" t="s">
        <v>241</v>
      </c>
      <c r="D122" s="19">
        <v>2313.0</v>
      </c>
      <c r="E122" s="17">
        <v>0.0</v>
      </c>
      <c r="F122" s="2">
        <f>VLOOKUP(C122, Material!$E$2:$F$94, 2, FALSE)</f>
        <v>7500</v>
      </c>
      <c r="G122" s="14">
        <f>VLOOKUP(C122, Material!$E$2:$G$94, 3, FALSE)</f>
        <v>4148.387119</v>
      </c>
    </row>
    <row r="123">
      <c r="B123" s="2" t="s">
        <v>85</v>
      </c>
      <c r="C123" s="18" t="s">
        <v>241</v>
      </c>
      <c r="D123" s="19">
        <v>2313.0</v>
      </c>
      <c r="E123" s="17">
        <v>0.0</v>
      </c>
      <c r="F123" s="2">
        <f>VLOOKUP(C123, Material!$E$2:$F$94, 2, FALSE)</f>
        <v>7500</v>
      </c>
      <c r="G123" s="14">
        <f>VLOOKUP(C123, Material!$E$2:$G$94, 3, FALSE)</f>
        <v>4148.387119</v>
      </c>
    </row>
    <row r="124">
      <c r="B124" s="2" t="s">
        <v>86</v>
      </c>
      <c r="C124" s="18" t="s">
        <v>244</v>
      </c>
      <c r="D124" s="19">
        <v>2328.0</v>
      </c>
      <c r="E124" s="17">
        <v>0.0</v>
      </c>
      <c r="F124" s="2">
        <f>VLOOKUP(C124, Material!$E$2:$F$94, 2, FALSE)</f>
        <v>7500</v>
      </c>
      <c r="G124" s="14">
        <f>VLOOKUP(C124, Material!$E$2:$G$94, 3, FALSE)</f>
        <v>4148.387119</v>
      </c>
    </row>
    <row r="125">
      <c r="B125" s="2" t="s">
        <v>87</v>
      </c>
      <c r="C125" s="18" t="s">
        <v>236</v>
      </c>
      <c r="D125" s="19">
        <v>2308.0</v>
      </c>
      <c r="E125" s="17">
        <v>0.0</v>
      </c>
      <c r="F125" s="2">
        <f>VLOOKUP(C125, Material!$E$2:$F$94, 2, FALSE)</f>
        <v>7500</v>
      </c>
      <c r="G125" s="14">
        <f>VLOOKUP(C125, Material!$E$2:$G$94, 3, FALSE)</f>
        <v>4148.387119</v>
      </c>
    </row>
    <row r="126">
      <c r="B126" s="2" t="s">
        <v>88</v>
      </c>
      <c r="C126" s="18" t="s">
        <v>240</v>
      </c>
      <c r="D126" s="19">
        <v>2307.0</v>
      </c>
      <c r="E126" s="17">
        <v>0.0</v>
      </c>
      <c r="F126" s="2">
        <f>VLOOKUP(C126, Material!$E$2:$F$94, 2, FALSE)</f>
        <v>7500</v>
      </c>
      <c r="G126" s="14">
        <f>VLOOKUP(C126, Material!$E$2:$G$94, 3, FALSE)</f>
        <v>4148.387119</v>
      </c>
    </row>
    <row r="127">
      <c r="B127" s="2" t="s">
        <v>89</v>
      </c>
      <c r="C127" s="18" t="s">
        <v>245</v>
      </c>
      <c r="D127" s="19">
        <v>2322.0</v>
      </c>
      <c r="E127" s="17">
        <v>0.0</v>
      </c>
      <c r="F127" s="2">
        <f>VLOOKUP(C127, Material!$E$2:$F$94, 2, FALSE)</f>
        <v>7500</v>
      </c>
      <c r="G127" s="14">
        <f>VLOOKUP(C127, Material!$E$2:$G$94, 3, FALSE)</f>
        <v>4741.014915</v>
      </c>
    </row>
    <row r="128">
      <c r="B128" s="2" t="s">
        <v>90</v>
      </c>
      <c r="C128" s="18" t="s">
        <v>242</v>
      </c>
      <c r="D128" s="19">
        <v>2305.0</v>
      </c>
      <c r="E128" s="17">
        <v>0.0</v>
      </c>
      <c r="F128" s="2">
        <f>VLOOKUP(C128, Material!$E$2:$F$94, 2, FALSE)</f>
        <v>7500</v>
      </c>
      <c r="G128" s="14">
        <f>VLOOKUP(C128, Material!$E$2:$G$94, 3, FALSE)</f>
        <v>4148.387119</v>
      </c>
    </row>
    <row r="129">
      <c r="B129" s="2" t="s">
        <v>91</v>
      </c>
      <c r="C129" s="18" t="s">
        <v>242</v>
      </c>
      <c r="D129" s="19">
        <v>2305.0</v>
      </c>
      <c r="E129" s="17">
        <v>0.0</v>
      </c>
      <c r="F129" s="2">
        <f>VLOOKUP(C129, Material!$E$2:$F$94, 2, FALSE)</f>
        <v>7500</v>
      </c>
      <c r="G129" s="14">
        <f>VLOOKUP(C129, Material!$E$2:$G$94, 3, FALSE)</f>
        <v>4148.387119</v>
      </c>
    </row>
    <row r="130">
      <c r="B130" s="2" t="s">
        <v>92</v>
      </c>
      <c r="C130" s="18" t="s">
        <v>246</v>
      </c>
      <c r="D130" s="19" t="s">
        <v>310</v>
      </c>
      <c r="E130" s="17">
        <v>0.0</v>
      </c>
      <c r="F130" s="2">
        <f>VLOOKUP(C130, Material!$E$2:$F$94, 2, FALSE)</f>
        <v>2500</v>
      </c>
      <c r="G130" s="14">
        <f>VLOOKUP(C130, Material!$E$2:$G$94, 3, FALSE)</f>
        <v>1014.550508</v>
      </c>
    </row>
    <row r="131">
      <c r="B131" s="2" t="s">
        <v>93</v>
      </c>
      <c r="C131" s="18" t="s">
        <v>247</v>
      </c>
      <c r="D131" s="19" t="s">
        <v>311</v>
      </c>
      <c r="E131" s="17">
        <v>0.0</v>
      </c>
      <c r="F131" s="2">
        <f>VLOOKUP(C131, Material!$E$2:$F$94, 2, FALSE)</f>
        <v>2500</v>
      </c>
      <c r="G131" s="14">
        <f>VLOOKUP(C131, Material!$E$2:$G$94, 3, FALSE)</f>
        <v>1014.550508</v>
      </c>
    </row>
    <row r="132">
      <c r="B132" s="2" t="s">
        <v>94</v>
      </c>
      <c r="C132" s="18" t="s">
        <v>248</v>
      </c>
      <c r="D132" s="19">
        <v>2325.0</v>
      </c>
      <c r="E132" s="17">
        <v>0.0</v>
      </c>
      <c r="F132" s="2">
        <f>VLOOKUP(C132, Material!$E$2:$F$94, 2, FALSE)</f>
        <v>7500</v>
      </c>
      <c r="G132" s="14">
        <f>VLOOKUP(C132, Material!$E$2:$G$94, 3, FALSE)</f>
        <v>4148.387119</v>
      </c>
    </row>
    <row r="133">
      <c r="B133" s="2" t="s">
        <v>95</v>
      </c>
      <c r="C133" s="18" t="s">
        <v>249</v>
      </c>
      <c r="D133" s="19">
        <v>2304.0</v>
      </c>
      <c r="E133" s="17">
        <v>0.0</v>
      </c>
      <c r="F133" s="2">
        <f>VLOOKUP(C133, Material!$E$2:$F$94, 2, FALSE)</f>
        <v>7500</v>
      </c>
      <c r="G133" s="14">
        <f>VLOOKUP(C133, Material!$E$2:$G$94, 3, FALSE)</f>
        <v>4148.387119</v>
      </c>
    </row>
    <row r="134">
      <c r="B134" s="2" t="s">
        <v>96</v>
      </c>
      <c r="C134" s="18" t="s">
        <v>238</v>
      </c>
      <c r="D134" s="19">
        <v>2327.0</v>
      </c>
      <c r="E134" s="17">
        <v>0.0</v>
      </c>
      <c r="F134" s="2">
        <f>VLOOKUP(C134, Material!$E$2:$F$94, 2, FALSE)</f>
        <v>7500</v>
      </c>
      <c r="G134" s="14">
        <f>VLOOKUP(C134, Material!$E$2:$G$94, 3, FALSE)</f>
        <v>4148.387119</v>
      </c>
    </row>
    <row r="135">
      <c r="B135" s="2" t="s">
        <v>97</v>
      </c>
      <c r="C135" s="18" t="s">
        <v>248</v>
      </c>
      <c r="D135" s="19">
        <v>2325.0</v>
      </c>
      <c r="E135" s="17">
        <v>0.0</v>
      </c>
      <c r="F135" s="2">
        <f>VLOOKUP(C135, Material!$E$2:$F$94, 2, FALSE)</f>
        <v>7500</v>
      </c>
      <c r="G135" s="14">
        <f>VLOOKUP(C135, Material!$E$2:$G$94, 3, FALSE)</f>
        <v>4148.387119</v>
      </c>
    </row>
    <row r="136">
      <c r="B136" s="2" t="s">
        <v>98</v>
      </c>
      <c r="C136" s="18" t="s">
        <v>240</v>
      </c>
      <c r="D136" s="19">
        <v>2307.0</v>
      </c>
      <c r="E136" s="17">
        <v>0.0</v>
      </c>
      <c r="F136" s="2">
        <f>VLOOKUP(C136, Material!$E$2:$F$94, 2, FALSE)</f>
        <v>7500</v>
      </c>
      <c r="G136" s="14">
        <f>VLOOKUP(C136, Material!$E$2:$G$94, 3, FALSE)</f>
        <v>4148.387119</v>
      </c>
    </row>
    <row r="137">
      <c r="B137" s="2" t="s">
        <v>99</v>
      </c>
      <c r="C137" s="18" t="s">
        <v>243</v>
      </c>
      <c r="D137" s="19">
        <v>2324.0</v>
      </c>
      <c r="E137" s="17">
        <v>0.0</v>
      </c>
      <c r="F137" s="2">
        <f>VLOOKUP(C137, Material!$E$2:$F$94, 2, FALSE)</f>
        <v>7500</v>
      </c>
      <c r="G137" s="14">
        <f>VLOOKUP(C137, Material!$E$2:$G$94, 3, FALSE)</f>
        <v>4148.387119</v>
      </c>
    </row>
    <row r="138">
      <c r="B138" s="2" t="s">
        <v>100</v>
      </c>
      <c r="C138" s="18" t="s">
        <v>249</v>
      </c>
      <c r="D138" s="19">
        <v>2304.0</v>
      </c>
      <c r="E138" s="17">
        <v>0.0</v>
      </c>
      <c r="F138" s="2">
        <f>VLOOKUP(C138, Material!$E$2:$F$94, 2, FALSE)</f>
        <v>7500</v>
      </c>
      <c r="G138" s="14">
        <f>VLOOKUP(C138, Material!$E$2:$G$94, 3, FALSE)</f>
        <v>4148.387119</v>
      </c>
    </row>
    <row r="139">
      <c r="B139" s="2" t="s">
        <v>101</v>
      </c>
      <c r="C139" s="18" t="s">
        <v>239</v>
      </c>
      <c r="D139" s="19">
        <v>2314.0</v>
      </c>
      <c r="E139" s="17">
        <v>0.0</v>
      </c>
      <c r="F139" s="2">
        <f>VLOOKUP(C139, Material!$E$2:$F$94, 2, FALSE)</f>
        <v>7500</v>
      </c>
      <c r="G139" s="14">
        <f>VLOOKUP(C139, Material!$E$2:$G$94, 3, FALSE)</f>
        <v>4148.387119</v>
      </c>
    </row>
    <row r="140">
      <c r="B140" s="2" t="s">
        <v>102</v>
      </c>
      <c r="C140" s="18" t="s">
        <v>241</v>
      </c>
      <c r="D140" s="19">
        <v>2313.0</v>
      </c>
      <c r="E140" s="17">
        <v>0.0</v>
      </c>
      <c r="F140" s="2">
        <f>VLOOKUP(C140, Material!$E$2:$F$94, 2, FALSE)</f>
        <v>7500</v>
      </c>
      <c r="G140" s="14">
        <f>VLOOKUP(C140, Material!$E$2:$G$94, 3, FALSE)</f>
        <v>4148.387119</v>
      </c>
    </row>
    <row r="141">
      <c r="B141" s="2" t="s">
        <v>103</v>
      </c>
      <c r="C141" s="18" t="s">
        <v>241</v>
      </c>
      <c r="D141" s="19">
        <v>2313.0</v>
      </c>
      <c r="E141" s="17">
        <v>0.0</v>
      </c>
      <c r="F141" s="2">
        <f>VLOOKUP(C141, Material!$E$2:$F$94, 2, FALSE)</f>
        <v>7500</v>
      </c>
      <c r="G141" s="14">
        <f>VLOOKUP(C141, Material!$E$2:$G$94, 3, FALSE)</f>
        <v>4148.387119</v>
      </c>
    </row>
    <row r="142">
      <c r="B142" s="2" t="s">
        <v>73</v>
      </c>
      <c r="C142" s="18" t="s">
        <v>239</v>
      </c>
      <c r="D142" s="19">
        <v>2314.0</v>
      </c>
      <c r="E142" s="17">
        <v>0.0</v>
      </c>
      <c r="F142" s="2">
        <f>VLOOKUP(C142, Material!$E$2:$F$94, 2, FALSE)</f>
        <v>7500</v>
      </c>
      <c r="G142" s="14">
        <f>VLOOKUP(C142, Material!$E$2:$G$94, 3, FALSE)</f>
        <v>4148.387119</v>
      </c>
    </row>
    <row r="143">
      <c r="B143" s="2" t="s">
        <v>76</v>
      </c>
      <c r="C143" s="18" t="s">
        <v>248</v>
      </c>
      <c r="D143" s="19">
        <v>2325.0</v>
      </c>
      <c r="E143" s="17">
        <v>0.0</v>
      </c>
      <c r="F143" s="2">
        <f>VLOOKUP(C143, Material!$E$2:$F$94, 2, FALSE)</f>
        <v>7500</v>
      </c>
      <c r="G143" s="14">
        <f>VLOOKUP(C143, Material!$E$2:$G$94, 3, FALSE)</f>
        <v>4148.387119</v>
      </c>
    </row>
    <row r="144">
      <c r="B144" s="2" t="s">
        <v>77</v>
      </c>
      <c r="C144" s="18" t="s">
        <v>242</v>
      </c>
      <c r="D144" s="19">
        <v>2305.0</v>
      </c>
      <c r="E144" s="17">
        <v>0.0</v>
      </c>
      <c r="F144" s="2">
        <f>VLOOKUP(C144, Material!$E$2:$F$94, 2, FALSE)</f>
        <v>7500</v>
      </c>
      <c r="G144" s="14">
        <f>VLOOKUP(C144, Material!$E$2:$G$94, 3, FALSE)</f>
        <v>4148.387119</v>
      </c>
    </row>
    <row r="145">
      <c r="B145" s="2" t="s">
        <v>78</v>
      </c>
      <c r="C145" s="18" t="s">
        <v>239</v>
      </c>
      <c r="D145" s="19">
        <v>2314.0</v>
      </c>
      <c r="E145" s="17">
        <v>0.0</v>
      </c>
      <c r="F145" s="2">
        <f>VLOOKUP(C145, Material!$E$2:$F$94, 2, FALSE)</f>
        <v>7500</v>
      </c>
      <c r="G145" s="14">
        <f>VLOOKUP(C145, Material!$E$2:$G$94, 3, FALSE)</f>
        <v>4148.387119</v>
      </c>
    </row>
    <row r="146">
      <c r="B146" s="2" t="s">
        <v>79</v>
      </c>
      <c r="C146" s="18" t="s">
        <v>250</v>
      </c>
      <c r="D146" s="19">
        <v>2323.0</v>
      </c>
      <c r="E146" s="17">
        <v>0.0</v>
      </c>
      <c r="F146" s="2">
        <f>VLOOKUP(C146, Material!$E$2:$F$94, 2, FALSE)</f>
        <v>7500</v>
      </c>
      <c r="G146" s="14">
        <f>VLOOKUP(C146, Material!$E$2:$G$94, 3, FALSE)</f>
        <v>4148.387119</v>
      </c>
    </row>
    <row r="147">
      <c r="B147" s="2" t="s">
        <v>80</v>
      </c>
      <c r="C147" s="18" t="s">
        <v>249</v>
      </c>
      <c r="D147" s="19">
        <v>2304.0</v>
      </c>
      <c r="E147" s="17">
        <v>0.0</v>
      </c>
      <c r="F147" s="2">
        <f>VLOOKUP(C147, Material!$E$2:$F$94, 2, FALSE)</f>
        <v>7500</v>
      </c>
      <c r="G147" s="14">
        <f>VLOOKUP(C147, Material!$E$2:$G$94, 3, FALSE)</f>
        <v>4148.387119</v>
      </c>
    </row>
    <row r="148">
      <c r="B148" s="2" t="s">
        <v>81</v>
      </c>
      <c r="C148" s="18" t="s">
        <v>248</v>
      </c>
      <c r="D148" s="25">
        <v>2325.0</v>
      </c>
      <c r="E148" s="17">
        <v>0.0</v>
      </c>
      <c r="F148" s="2">
        <f>VLOOKUP(C148, Material!$E$2:$F$94, 2, FALSE)</f>
        <v>7500</v>
      </c>
      <c r="G148" s="14">
        <f>VLOOKUP(C148, Material!$E$2:$G$94, 3, FALSE)</f>
        <v>4148.387119</v>
      </c>
    </row>
    <row r="149">
      <c r="B149" s="2" t="s">
        <v>83</v>
      </c>
      <c r="C149" s="18" t="s">
        <v>243</v>
      </c>
      <c r="D149" s="25">
        <v>2324.0</v>
      </c>
      <c r="E149" s="17">
        <v>0.0</v>
      </c>
      <c r="F149" s="2">
        <f>VLOOKUP(C149, Material!$E$2:$F$94, 2, FALSE)</f>
        <v>7500</v>
      </c>
      <c r="G149" s="14">
        <f>VLOOKUP(C149, Material!$E$2:$G$94, 3, FALSE)</f>
        <v>4148.387119</v>
      </c>
    </row>
    <row r="150">
      <c r="B150" s="2" t="s">
        <v>84</v>
      </c>
      <c r="C150" s="18" t="s">
        <v>249</v>
      </c>
      <c r="D150" s="25">
        <v>2304.0</v>
      </c>
      <c r="E150" s="17">
        <v>0.0</v>
      </c>
      <c r="F150" s="2">
        <f>VLOOKUP(C150, Material!$E$2:$F$94, 2, FALSE)</f>
        <v>7500</v>
      </c>
      <c r="G150" s="14">
        <f>VLOOKUP(C150, Material!$E$2:$G$94, 3, FALSE)</f>
        <v>4148.387119</v>
      </c>
    </row>
    <row r="151">
      <c r="B151" s="2" t="s">
        <v>85</v>
      </c>
      <c r="C151" s="18" t="s">
        <v>239</v>
      </c>
      <c r="D151" s="25">
        <v>2314.0</v>
      </c>
      <c r="E151" s="17">
        <v>0.0</v>
      </c>
      <c r="F151" s="2">
        <f>VLOOKUP(C151, Material!$E$2:$F$94, 2, FALSE)</f>
        <v>7500</v>
      </c>
      <c r="G151" s="14">
        <f>VLOOKUP(C151, Material!$E$2:$G$94, 3, FALSE)</f>
        <v>4148.387119</v>
      </c>
    </row>
    <row r="152">
      <c r="B152" s="2" t="s">
        <v>86</v>
      </c>
      <c r="C152" s="18" t="s">
        <v>251</v>
      </c>
      <c r="D152" s="25">
        <v>2312.0</v>
      </c>
      <c r="E152" s="17">
        <v>0.0</v>
      </c>
      <c r="F152" s="2">
        <f>VLOOKUP(C152, Material!$E$2:$F$94, 2, FALSE)</f>
        <v>7500</v>
      </c>
      <c r="G152" s="14">
        <f>VLOOKUP(C152, Material!$E$2:$G$94, 3, FALSE)</f>
        <v>4148.387119</v>
      </c>
    </row>
    <row r="153">
      <c r="B153" s="2" t="s">
        <v>87</v>
      </c>
      <c r="C153" s="18" t="s">
        <v>252</v>
      </c>
      <c r="D153" s="25">
        <v>2309.0</v>
      </c>
      <c r="E153" s="17">
        <v>0.0</v>
      </c>
      <c r="F153" s="2">
        <f>VLOOKUP(C153, Material!$E$2:$F$94, 2, FALSE)</f>
        <v>7500</v>
      </c>
      <c r="G153" s="14">
        <f>VLOOKUP(C153, Material!$E$2:$G$94, 3, FALSE)</f>
        <v>4148.387119</v>
      </c>
    </row>
    <row r="154">
      <c r="B154" s="2" t="s">
        <v>88</v>
      </c>
      <c r="C154" s="18" t="s">
        <v>239</v>
      </c>
      <c r="D154" s="25">
        <v>2314.0</v>
      </c>
      <c r="E154" s="17">
        <v>0.0</v>
      </c>
      <c r="F154" s="2">
        <f>VLOOKUP(C154, Material!$E$2:$F$94, 2, FALSE)</f>
        <v>7500</v>
      </c>
      <c r="G154" s="14">
        <f>VLOOKUP(C154, Material!$E$2:$G$94, 3, FALSE)</f>
        <v>4148.387119</v>
      </c>
    </row>
    <row r="155">
      <c r="B155" s="2" t="s">
        <v>89</v>
      </c>
      <c r="C155" s="18" t="s">
        <v>241</v>
      </c>
      <c r="D155" s="25">
        <v>2313.0</v>
      </c>
      <c r="E155" s="17">
        <v>0.0</v>
      </c>
      <c r="F155" s="2">
        <f>VLOOKUP(C155, Material!$E$2:$F$94, 2, FALSE)</f>
        <v>7500</v>
      </c>
      <c r="G155" s="14">
        <f>VLOOKUP(C155, Material!$E$2:$G$94, 3, FALSE)</f>
        <v>4148.387119</v>
      </c>
    </row>
    <row r="156">
      <c r="B156" s="2" t="s">
        <v>90</v>
      </c>
      <c r="C156" s="18" t="s">
        <v>241</v>
      </c>
      <c r="D156" s="25">
        <v>2313.0</v>
      </c>
      <c r="E156" s="17">
        <v>0.0</v>
      </c>
      <c r="F156" s="2">
        <f>VLOOKUP(C156, Material!$E$2:$F$94, 2, FALSE)</f>
        <v>7500</v>
      </c>
      <c r="G156" s="14">
        <f>VLOOKUP(C156, Material!$E$2:$G$94, 3, FALSE)</f>
        <v>4148.387119</v>
      </c>
    </row>
    <row r="157">
      <c r="B157" s="2" t="s">
        <v>91</v>
      </c>
      <c r="C157" s="18" t="s">
        <v>249</v>
      </c>
      <c r="D157" s="25">
        <v>2304.0</v>
      </c>
      <c r="E157" s="17">
        <v>0.0</v>
      </c>
      <c r="F157" s="2">
        <f>VLOOKUP(C157, Material!$E$2:$F$94, 2, FALSE)</f>
        <v>7500</v>
      </c>
      <c r="G157" s="14">
        <f>VLOOKUP(C157, Material!$E$2:$G$94, 3, FALSE)</f>
        <v>4148.387119</v>
      </c>
    </row>
    <row r="158">
      <c r="B158" s="2" t="s">
        <v>92</v>
      </c>
      <c r="C158" s="18" t="s">
        <v>239</v>
      </c>
      <c r="D158" s="25">
        <v>2314.0</v>
      </c>
      <c r="E158" s="17">
        <v>0.0</v>
      </c>
      <c r="F158" s="2">
        <f>VLOOKUP(C158, Material!$E$2:$F$94, 2, FALSE)</f>
        <v>7500</v>
      </c>
      <c r="G158" s="14">
        <f>VLOOKUP(C158, Material!$E$2:$G$94, 3, FALSE)</f>
        <v>4148.387119</v>
      </c>
    </row>
    <row r="159">
      <c r="B159" s="2" t="s">
        <v>93</v>
      </c>
      <c r="C159" s="18" t="s">
        <v>243</v>
      </c>
      <c r="D159" s="25">
        <v>2324.0</v>
      </c>
      <c r="E159" s="17">
        <v>0.0</v>
      </c>
      <c r="F159" s="2">
        <f>VLOOKUP(C159, Material!$E$2:$F$94, 2, FALSE)</f>
        <v>7500</v>
      </c>
      <c r="G159" s="14">
        <f>VLOOKUP(C159, Material!$E$2:$G$94, 3, FALSE)</f>
        <v>4148.387119</v>
      </c>
    </row>
    <row r="160">
      <c r="B160" s="2" t="s">
        <v>94</v>
      </c>
      <c r="C160" s="18" t="s">
        <v>253</v>
      </c>
      <c r="D160" s="25">
        <v>3851.0</v>
      </c>
      <c r="E160" s="17">
        <v>0.0</v>
      </c>
      <c r="F160" s="2">
        <f>VLOOKUP(C160, Material!$E$2:$F$94, 2, FALSE)</f>
        <v>1500</v>
      </c>
      <c r="G160" s="14">
        <f>VLOOKUP(C160, Material!$E$2:$G$94, 3, FALSE)</f>
        <v>648.8050847</v>
      </c>
    </row>
    <row r="161">
      <c r="B161" s="2" t="s">
        <v>95</v>
      </c>
      <c r="C161" s="18" t="s">
        <v>254</v>
      </c>
      <c r="D161" s="25">
        <v>147.0</v>
      </c>
      <c r="E161" s="17">
        <v>0.0</v>
      </c>
      <c r="F161" s="2">
        <f>VLOOKUP(C161, Material!$E$2:$F$94, 2, FALSE)</f>
        <v>1500</v>
      </c>
      <c r="G161" s="14">
        <f>VLOOKUP(C161, Material!$E$2:$G$94, 3, FALSE)</f>
        <v>670.440678</v>
      </c>
    </row>
    <row r="162">
      <c r="B162" s="2" t="s">
        <v>96</v>
      </c>
      <c r="C162" s="18" t="s">
        <v>255</v>
      </c>
      <c r="D162" s="25">
        <v>5755.0</v>
      </c>
      <c r="E162" s="17">
        <v>0.0</v>
      </c>
      <c r="F162" s="2">
        <f>VLOOKUP(C162, Material!$E$2:$F$94, 2, FALSE)</f>
        <v>2500</v>
      </c>
      <c r="G162" s="14">
        <f>VLOOKUP(C162, Material!$E$2:$G$94, 3, FALSE)</f>
        <v>1016.271186</v>
      </c>
    </row>
    <row r="163">
      <c r="B163" s="2" t="s">
        <v>97</v>
      </c>
      <c r="C163" s="18" t="s">
        <v>256</v>
      </c>
      <c r="D163" s="25">
        <v>2343.0</v>
      </c>
      <c r="E163" s="17">
        <v>0.0</v>
      </c>
      <c r="F163" s="2">
        <f>VLOOKUP(C163, Material!$E$2:$F$94, 2, FALSE)</f>
        <v>2500</v>
      </c>
      <c r="G163" s="14">
        <f>VLOOKUP(C163, Material!$E$2:$G$94, 3, FALSE)</f>
        <v>1117.898305</v>
      </c>
    </row>
    <row r="164">
      <c r="B164" s="2" t="s">
        <v>98</v>
      </c>
      <c r="C164" s="18" t="s">
        <v>235</v>
      </c>
      <c r="D164" s="25">
        <v>2347.0</v>
      </c>
      <c r="E164" s="17">
        <v>0.0</v>
      </c>
      <c r="F164" s="2">
        <f>VLOOKUP(C164, Material!$E$2:$F$94, 2, FALSE)</f>
        <v>2500</v>
      </c>
      <c r="G164" s="14">
        <f>VLOOKUP(C164, Material!$E$2:$G$94, 3, FALSE)</f>
        <v>1117.898305</v>
      </c>
    </row>
    <row r="165">
      <c r="B165" s="2" t="s">
        <v>99</v>
      </c>
      <c r="C165" s="18" t="s">
        <v>235</v>
      </c>
      <c r="D165" s="25">
        <v>2347.0</v>
      </c>
      <c r="E165" s="17">
        <v>0.0</v>
      </c>
      <c r="F165" s="2">
        <f>VLOOKUP(C165, Material!$E$2:$F$94, 2, FALSE)</f>
        <v>2500</v>
      </c>
      <c r="G165" s="14">
        <f>VLOOKUP(C165, Material!$E$2:$G$94, 3, FALSE)</f>
        <v>1117.898305</v>
      </c>
    </row>
    <row r="166">
      <c r="B166" s="2" t="s">
        <v>100</v>
      </c>
      <c r="C166" s="18" t="s">
        <v>257</v>
      </c>
      <c r="D166" s="25" t="s">
        <v>312</v>
      </c>
      <c r="E166" s="17">
        <v>0.0</v>
      </c>
      <c r="F166" s="2">
        <f>VLOOKUP(C166, Material!$E$2:$F$94, 2, FALSE)</f>
        <v>2500</v>
      </c>
      <c r="G166" s="14">
        <f>VLOOKUP(C166, Material!$E$2:$G$94, 3, FALSE)</f>
        <v>1087.023729</v>
      </c>
    </row>
    <row r="167">
      <c r="B167" s="2" t="s">
        <v>101</v>
      </c>
      <c r="C167" s="18" t="s">
        <v>258</v>
      </c>
      <c r="D167" s="25" t="s">
        <v>313</v>
      </c>
      <c r="E167" s="17">
        <v>0.0</v>
      </c>
      <c r="F167" s="2">
        <f>VLOOKUP(C167, Material!$E$2:$F$94, 2, FALSE)</f>
        <v>2500</v>
      </c>
      <c r="G167" s="14">
        <f>VLOOKUP(C167, Material!$E$2:$G$94, 3, FALSE)</f>
        <v>1014.550508</v>
      </c>
    </row>
    <row r="168">
      <c r="B168" s="2" t="s">
        <v>102</v>
      </c>
      <c r="C168" s="18" t="s">
        <v>259</v>
      </c>
      <c r="D168" s="25" t="s">
        <v>314</v>
      </c>
      <c r="E168" s="17">
        <v>0.0</v>
      </c>
      <c r="F168" s="2">
        <f>VLOOKUP(C168, Material!$E$2:$F$94, 2, FALSE)</f>
        <v>2500</v>
      </c>
      <c r="G168" s="14">
        <f>VLOOKUP(C168, Material!$E$2:$G$94, 3, FALSE)</f>
        <v>1014.550508</v>
      </c>
    </row>
    <row r="169">
      <c r="B169" s="2" t="s">
        <v>103</v>
      </c>
      <c r="C169" s="18" t="s">
        <v>259</v>
      </c>
      <c r="D169" s="25" t="s">
        <v>314</v>
      </c>
      <c r="E169" s="17">
        <v>0.0</v>
      </c>
      <c r="F169" s="2">
        <f>VLOOKUP(C169, Material!$E$2:$F$94, 2, FALSE)</f>
        <v>2500</v>
      </c>
      <c r="G169" s="14">
        <f>VLOOKUP(C169, Material!$E$2:$G$94, 3, FALSE)</f>
        <v>1014.550508</v>
      </c>
    </row>
    <row r="170">
      <c r="B170" s="2" t="s">
        <v>102</v>
      </c>
      <c r="C170" s="18" t="s">
        <v>249</v>
      </c>
      <c r="D170" s="25">
        <v>2304.0</v>
      </c>
      <c r="E170" s="17">
        <v>0.0</v>
      </c>
      <c r="F170" s="2">
        <f>VLOOKUP(C170, Material!$E$2:$F$94, 2, FALSE)</f>
        <v>7500</v>
      </c>
      <c r="G170" s="14">
        <f>VLOOKUP(C170, Material!$E$2:$G$94, 3, FALSE)</f>
        <v>4148.387119</v>
      </c>
    </row>
    <row r="171">
      <c r="B171" s="2" t="s">
        <v>103</v>
      </c>
      <c r="C171" s="18" t="s">
        <v>238</v>
      </c>
      <c r="D171" s="25">
        <v>2327.0</v>
      </c>
      <c r="E171" s="17">
        <v>0.0</v>
      </c>
      <c r="F171" s="2">
        <f>VLOOKUP(C171, Material!$E$2:$F$94, 2, FALSE)</f>
        <v>7500</v>
      </c>
      <c r="G171" s="14">
        <f>VLOOKUP(C171, Material!$E$2:$G$94, 3, FALSE)</f>
        <v>4148.387119</v>
      </c>
    </row>
    <row r="172">
      <c r="B172" s="2" t="s">
        <v>156</v>
      </c>
      <c r="C172" s="18" t="s">
        <v>248</v>
      </c>
      <c r="D172" s="25">
        <v>2325.0</v>
      </c>
      <c r="E172" s="17">
        <v>0.0</v>
      </c>
      <c r="F172" s="2">
        <f>VLOOKUP(C172, Material!$E$2:$F$94, 2, FALSE)</f>
        <v>7500</v>
      </c>
      <c r="G172" s="14">
        <f>VLOOKUP(C172, Material!$E$2:$G$94, 3, FALSE)</f>
        <v>4148.387119</v>
      </c>
    </row>
    <row r="173">
      <c r="B173" s="2" t="s">
        <v>157</v>
      </c>
      <c r="C173" s="18" t="s">
        <v>249</v>
      </c>
      <c r="D173" s="25">
        <v>2304.0</v>
      </c>
      <c r="E173" s="17">
        <v>0.0</v>
      </c>
      <c r="F173" s="2">
        <f>VLOOKUP(C173, Material!$E$2:$F$94, 2, FALSE)</f>
        <v>7500</v>
      </c>
      <c r="G173" s="14">
        <f>VLOOKUP(C173, Material!$E$2:$G$94, 3, FALSE)</f>
        <v>4148.387119</v>
      </c>
    </row>
    <row r="174">
      <c r="B174" s="1" t="s">
        <v>200</v>
      </c>
      <c r="C174" s="18" t="s">
        <v>260</v>
      </c>
      <c r="D174" s="26">
        <v>2326.0</v>
      </c>
      <c r="E174" s="17">
        <v>5.0</v>
      </c>
      <c r="F174" s="2">
        <f>VLOOKUP(C174, Material!$E$2:$F$94, 2, FALSE)</f>
        <v>7500</v>
      </c>
      <c r="G174" s="14">
        <f>VLOOKUP(C174, Material!$E$2:$G$94, 3, FALSE)</f>
        <v>4148.387119</v>
      </c>
    </row>
    <row r="175">
      <c r="B175" s="1" t="s">
        <v>200</v>
      </c>
      <c r="C175" s="18" t="s">
        <v>227</v>
      </c>
      <c r="D175" s="26">
        <v>3223.0</v>
      </c>
      <c r="E175" s="17">
        <v>10.0</v>
      </c>
      <c r="F175" s="2">
        <f>VLOOKUP(C175, Material!$E$2:$F$94, 2, FALSE)</f>
        <v>1500</v>
      </c>
      <c r="G175" s="14">
        <f>VLOOKUP(C175, Material!$E$2:$G$94, 3, FALSE)</f>
        <v>595.8644068</v>
      </c>
    </row>
    <row r="176">
      <c r="B176" s="1" t="s">
        <v>200</v>
      </c>
      <c r="C176" s="20" t="s">
        <v>221</v>
      </c>
      <c r="D176" s="16" t="s">
        <v>298</v>
      </c>
      <c r="E176" s="17">
        <v>1.0</v>
      </c>
      <c r="F176" s="2">
        <f>VLOOKUP(C176, Material!$E$2:$F$94, 2, FALSE)</f>
        <v>1500</v>
      </c>
      <c r="G176" s="14">
        <f>VLOOKUP(C176, Material!$E$2:$G$94, 3, FALSE)</f>
        <v>750</v>
      </c>
    </row>
    <row r="177">
      <c r="B177" s="1" t="s">
        <v>200</v>
      </c>
      <c r="C177" s="18" t="s">
        <v>222</v>
      </c>
      <c r="D177" s="16" t="s">
        <v>299</v>
      </c>
      <c r="E177" s="17">
        <v>1.0</v>
      </c>
      <c r="F177" s="2">
        <f>VLOOKUP(C177, Material!$E$2:$F$94, 2, FALSE)</f>
        <v>500</v>
      </c>
      <c r="G177" s="14">
        <f>VLOOKUP(C177, Material!$E$2:$G$94, 3, FALSE)</f>
        <v>270</v>
      </c>
    </row>
    <row r="178">
      <c r="B178" s="1" t="s">
        <v>200</v>
      </c>
      <c r="C178" s="20" t="s">
        <v>223</v>
      </c>
      <c r="D178" s="16" t="s">
        <v>300</v>
      </c>
      <c r="E178" s="17">
        <v>1.0</v>
      </c>
      <c r="F178" s="2">
        <f>VLOOKUP(C178, Material!$E$2:$F$94, 2, FALSE)</f>
        <v>1500</v>
      </c>
      <c r="G178" s="14">
        <f>VLOOKUP(C178, Material!$E$2:$G$94, 3, FALSE)</f>
        <v>750</v>
      </c>
    </row>
    <row r="179">
      <c r="B179" s="1" t="s">
        <v>200</v>
      </c>
      <c r="C179" s="21" t="s">
        <v>224</v>
      </c>
      <c r="D179" s="22" t="s">
        <v>301</v>
      </c>
      <c r="E179" s="17">
        <v>2.0</v>
      </c>
      <c r="F179" s="2">
        <f>VLOOKUP(C179, Material!$E$2:$F$94, 2, FALSE)</f>
        <v>1000</v>
      </c>
      <c r="G179" s="14">
        <f>VLOOKUP(C179, Material!$E$2:$G$94, 3, FALSE)</f>
        <v>675</v>
      </c>
    </row>
    <row r="180">
      <c r="B180" s="1" t="s">
        <v>200</v>
      </c>
      <c r="C180" s="23" t="s">
        <v>225</v>
      </c>
      <c r="D180" s="22" t="s">
        <v>302</v>
      </c>
      <c r="E180" s="17">
        <v>2.0</v>
      </c>
      <c r="F180" s="2">
        <f>VLOOKUP(C180, Material!$E$2:$F$94, 2, FALSE)</f>
        <v>2500</v>
      </c>
      <c r="G180" s="14">
        <f>VLOOKUP(C180, Material!$E$2:$G$94, 3, FALSE)</f>
        <v>2050</v>
      </c>
    </row>
    <row r="181">
      <c r="B181" s="1" t="s">
        <v>200</v>
      </c>
      <c r="C181" s="27" t="s">
        <v>38</v>
      </c>
      <c r="D181" s="16" t="s">
        <v>305</v>
      </c>
      <c r="E181" s="17">
        <v>2.0</v>
      </c>
      <c r="F181" s="2">
        <f>VLOOKUP(C181, Material!$E$2:$F$94, 2, FALSE)</f>
        <v>1000</v>
      </c>
      <c r="G181" s="2">
        <f>VLOOKUP(C181, Material!$E$2:$G$94, 3, FALSE)</f>
        <v>250</v>
      </c>
    </row>
    <row r="182">
      <c r="B182" s="1" t="s">
        <v>200</v>
      </c>
      <c r="C182" s="27" t="s">
        <v>39</v>
      </c>
      <c r="D182" s="16" t="s">
        <v>308</v>
      </c>
      <c r="E182" s="17">
        <v>1.0</v>
      </c>
      <c r="F182" s="2">
        <f>VLOOKUP(C182, Material!$E$2:$F$94, 2, FALSE)</f>
        <v>1000</v>
      </c>
      <c r="G182" s="2">
        <f>VLOOKUP(C182, Material!$E$2:$G$94, 3, FALSE)</f>
        <v>250</v>
      </c>
    </row>
    <row r="183">
      <c r="B183" s="1" t="s">
        <v>200</v>
      </c>
      <c r="C183" s="24" t="s">
        <v>261</v>
      </c>
      <c r="D183" s="16" t="s">
        <v>315</v>
      </c>
      <c r="E183" s="17">
        <v>2.0</v>
      </c>
      <c r="F183" s="2">
        <f>VLOOKUP(C183, Material!$E$2:$F$94, 2, FALSE)</f>
        <v>500</v>
      </c>
      <c r="G183" s="2">
        <f>VLOOKUP(C183, Material!$E$2:$G$94, 3, FALSE)</f>
        <v>250</v>
      </c>
    </row>
    <row r="184">
      <c r="B184" s="1" t="s">
        <v>202</v>
      </c>
      <c r="C184" s="23" t="s">
        <v>236</v>
      </c>
      <c r="D184" s="28">
        <v>2308.0</v>
      </c>
      <c r="E184" s="17">
        <v>3.0</v>
      </c>
      <c r="F184" s="2">
        <f>VLOOKUP(C184, Material!$E$2:$F$94, 2, FALSE)</f>
        <v>7500</v>
      </c>
      <c r="G184" s="14">
        <f>VLOOKUP(C184, Material!$E$2:$G$94, 3, FALSE)</f>
        <v>4148.387119</v>
      </c>
    </row>
    <row r="185">
      <c r="B185" s="1" t="s">
        <v>202</v>
      </c>
      <c r="C185" s="23" t="s">
        <v>259</v>
      </c>
      <c r="D185" s="28" t="s">
        <v>316</v>
      </c>
      <c r="E185" s="17">
        <v>4.0</v>
      </c>
      <c r="F185" s="2">
        <f>VLOOKUP(C185, Material!$E$2:$F$94, 2, FALSE)</f>
        <v>2500</v>
      </c>
      <c r="G185" s="14">
        <f>VLOOKUP(C185, Material!$E$2:$G$94, 3, FALSE)</f>
        <v>1014.550508</v>
      </c>
    </row>
    <row r="186">
      <c r="B186" s="1" t="s">
        <v>202</v>
      </c>
      <c r="C186" s="27" t="s">
        <v>38</v>
      </c>
      <c r="D186" s="16" t="s">
        <v>305</v>
      </c>
      <c r="E186" s="17">
        <v>3.0</v>
      </c>
      <c r="F186" s="2">
        <f>VLOOKUP(C186, Material!$E$2:$F$94, 2, FALSE)</f>
        <v>1000</v>
      </c>
      <c r="G186" s="2">
        <f>VLOOKUP(C186, Material!$E$2:$G$94, 3, FALSE)</f>
        <v>250</v>
      </c>
    </row>
    <row r="187">
      <c r="B187" s="1" t="s">
        <v>202</v>
      </c>
      <c r="C187" s="29" t="s">
        <v>262</v>
      </c>
      <c r="D187" s="16" t="s">
        <v>11</v>
      </c>
      <c r="E187" s="17">
        <v>2.0</v>
      </c>
      <c r="F187" s="2">
        <f>VLOOKUP(C187, Material!$E$2:$F$94, 2, FALSE)</f>
        <v>1000</v>
      </c>
      <c r="G187" s="2">
        <f>VLOOKUP(C187, Material!$E$2:$G$94, 3, FALSE)</f>
        <v>250</v>
      </c>
    </row>
    <row r="188">
      <c r="B188" s="1" t="s">
        <v>317</v>
      </c>
      <c r="C188" s="23" t="s">
        <v>248</v>
      </c>
      <c r="D188" s="16">
        <v>2325.0</v>
      </c>
      <c r="E188" s="17">
        <v>3.0</v>
      </c>
      <c r="F188" s="2">
        <f>VLOOKUP(C188, Material!$E$2:$F$94, 2, FALSE)</f>
        <v>7500</v>
      </c>
      <c r="G188" s="14">
        <f>VLOOKUP(C188, Material!$E$2:$G$94, 3, FALSE)</f>
        <v>4148.387119</v>
      </c>
    </row>
    <row r="189">
      <c r="B189" s="1" t="s">
        <v>317</v>
      </c>
      <c r="C189" s="23" t="s">
        <v>226</v>
      </c>
      <c r="D189" s="17">
        <v>2746.0</v>
      </c>
      <c r="E189" s="17">
        <v>12.0</v>
      </c>
      <c r="F189" s="2">
        <f>VLOOKUP(C189, Material!$E$2:$F$94, 2, FALSE)</f>
        <v>2000</v>
      </c>
      <c r="G189" s="14">
        <f>VLOOKUP(C189, Material!$E$2:$G$94, 3, FALSE)</f>
        <v>819.5932203</v>
      </c>
    </row>
    <row r="190">
      <c r="B190" s="1" t="s">
        <v>317</v>
      </c>
      <c r="C190" s="24" t="s">
        <v>263</v>
      </c>
      <c r="D190" s="16" t="s">
        <v>315</v>
      </c>
      <c r="E190" s="17">
        <v>5.0</v>
      </c>
      <c r="F190" s="2">
        <f>VLOOKUP(C190, Material!$E$2:$F$94, 2, FALSE)</f>
        <v>500</v>
      </c>
      <c r="G190" s="2">
        <f>VLOOKUP(C190, Material!$E$2:$G$94, 3, FALSE)</f>
        <v>200</v>
      </c>
    </row>
    <row r="191">
      <c r="B191" s="1" t="s">
        <v>206</v>
      </c>
      <c r="C191" s="23" t="s">
        <v>243</v>
      </c>
      <c r="D191" s="16">
        <v>2324.0</v>
      </c>
      <c r="E191" s="17">
        <v>3.0</v>
      </c>
      <c r="F191" s="2">
        <f>VLOOKUP(C191, Material!$E$2:$F$94, 2, FALSE)</f>
        <v>7500</v>
      </c>
      <c r="G191" s="14">
        <f>VLOOKUP(C191, Material!$E$2:$G$94, 3, FALSE)</f>
        <v>4148.387119</v>
      </c>
    </row>
    <row r="192">
      <c r="B192" s="1" t="s">
        <v>206</v>
      </c>
      <c r="C192" s="23" t="s">
        <v>231</v>
      </c>
      <c r="D192" s="16">
        <v>5667.0</v>
      </c>
      <c r="E192" s="17">
        <v>8.0</v>
      </c>
      <c r="F192" s="2">
        <f>VLOOKUP(C192, Material!$E$2:$F$94, 2, FALSE)</f>
        <v>1500</v>
      </c>
      <c r="G192" s="14">
        <f>VLOOKUP(C192, Material!$E$2:$G$94, 3, FALSE)</f>
        <v>609.4915254</v>
      </c>
    </row>
    <row r="193">
      <c r="B193" s="1" t="s">
        <v>206</v>
      </c>
      <c r="C193" s="20" t="s">
        <v>221</v>
      </c>
      <c r="D193" s="16" t="s">
        <v>298</v>
      </c>
      <c r="E193" s="17">
        <v>2.0</v>
      </c>
      <c r="F193" s="2">
        <f>VLOOKUP(C193, Material!$E$2:$F$94, 2, FALSE)</f>
        <v>1500</v>
      </c>
      <c r="G193" s="14">
        <f>VLOOKUP(C193, Material!$E$2:$G$94, 3, FALSE)</f>
        <v>750</v>
      </c>
    </row>
    <row r="194">
      <c r="B194" s="1" t="s">
        <v>206</v>
      </c>
      <c r="C194" s="18" t="s">
        <v>222</v>
      </c>
      <c r="D194" s="16" t="s">
        <v>299</v>
      </c>
      <c r="E194" s="17">
        <v>2.0</v>
      </c>
      <c r="F194" s="2">
        <f>VLOOKUP(C194, Material!$E$2:$F$94, 2, FALSE)</f>
        <v>500</v>
      </c>
      <c r="G194" s="14">
        <f>VLOOKUP(C194, Material!$E$2:$G$94, 3, FALSE)</f>
        <v>270</v>
      </c>
    </row>
    <row r="195">
      <c r="B195" s="1" t="s">
        <v>206</v>
      </c>
      <c r="C195" s="20" t="s">
        <v>223</v>
      </c>
      <c r="D195" s="16" t="s">
        <v>300</v>
      </c>
      <c r="E195" s="17">
        <v>1.0</v>
      </c>
      <c r="F195" s="2">
        <f>VLOOKUP(C195, Material!$E$2:$F$94, 2, FALSE)</f>
        <v>1500</v>
      </c>
      <c r="G195" s="14">
        <f>VLOOKUP(C195, Material!$E$2:$G$94, 3, FALSE)</f>
        <v>750</v>
      </c>
    </row>
    <row r="196">
      <c r="B196" s="1" t="s">
        <v>206</v>
      </c>
      <c r="C196" s="21" t="s">
        <v>224</v>
      </c>
      <c r="D196" s="22" t="s">
        <v>301</v>
      </c>
      <c r="E196" s="17">
        <v>4.0</v>
      </c>
      <c r="F196" s="2">
        <f>VLOOKUP(C196, Material!$E$2:$F$94, 2, FALSE)</f>
        <v>1000</v>
      </c>
      <c r="G196" s="14">
        <f>VLOOKUP(C196, Material!$E$2:$G$94, 3, FALSE)</f>
        <v>675</v>
      </c>
    </row>
    <row r="197">
      <c r="B197" s="1" t="s">
        <v>206</v>
      </c>
      <c r="C197" s="23" t="s">
        <v>225</v>
      </c>
      <c r="D197" s="22" t="s">
        <v>302</v>
      </c>
      <c r="E197" s="17">
        <v>2.0</v>
      </c>
      <c r="F197" s="2">
        <f>VLOOKUP(C197, Material!$E$2:$F$94, 2, FALSE)</f>
        <v>2500</v>
      </c>
      <c r="G197" s="14">
        <f>VLOOKUP(C197, Material!$E$2:$G$94, 3, FALSE)</f>
        <v>2050</v>
      </c>
    </row>
    <row r="198">
      <c r="B198" s="1" t="s">
        <v>206</v>
      </c>
      <c r="C198" s="27" t="s">
        <v>39</v>
      </c>
      <c r="D198" s="22" t="s">
        <v>308</v>
      </c>
      <c r="E198" s="17">
        <v>2.0</v>
      </c>
      <c r="F198" s="2">
        <f>VLOOKUP(C198, Material!$E$2:$F$94, 2, FALSE)</f>
        <v>1000</v>
      </c>
      <c r="G198" s="2">
        <f>VLOOKUP(C198, Material!$E$2:$G$94, 3, FALSE)</f>
        <v>250</v>
      </c>
    </row>
    <row r="199">
      <c r="B199" s="1" t="s">
        <v>206</v>
      </c>
      <c r="C199" s="29" t="s">
        <v>262</v>
      </c>
      <c r="D199" s="22" t="s">
        <v>11</v>
      </c>
      <c r="E199" s="17">
        <v>1.0</v>
      </c>
      <c r="F199" s="2">
        <f>VLOOKUP(C199, Material!$E$2:$F$94, 2, FALSE)</f>
        <v>1000</v>
      </c>
      <c r="G199" s="2">
        <f>VLOOKUP(C199, Material!$E$2:$G$94, 3, FALSE)</f>
        <v>250</v>
      </c>
    </row>
    <row r="200">
      <c r="B200" s="1" t="s">
        <v>206</v>
      </c>
      <c r="C200" s="24" t="s">
        <v>264</v>
      </c>
      <c r="D200" s="22" t="s">
        <v>318</v>
      </c>
      <c r="E200" s="17">
        <v>5.0</v>
      </c>
      <c r="F200" s="2">
        <f>VLOOKUP(C200, Material!$E$2:$F$94, 2, FALSE)</f>
        <v>600</v>
      </c>
      <c r="G200" s="2">
        <f>VLOOKUP(C200, Material!$E$2:$G$94, 3, FALSE)</f>
        <v>500</v>
      </c>
    </row>
    <row r="201">
      <c r="B201" s="1" t="s">
        <v>208</v>
      </c>
      <c r="C201" s="23" t="s">
        <v>239</v>
      </c>
      <c r="D201" s="16">
        <v>2312.0</v>
      </c>
      <c r="E201" s="17">
        <v>5.0</v>
      </c>
      <c r="F201" s="2">
        <f>VLOOKUP(C201, Material!$E$2:$F$94, 2, FALSE)</f>
        <v>7500</v>
      </c>
      <c r="G201" s="14">
        <f>VLOOKUP(C201, Material!$E$2:$G$94, 3, FALSE)</f>
        <v>4148.387119</v>
      </c>
    </row>
    <row r="202">
      <c r="B202" s="1" t="s">
        <v>208</v>
      </c>
      <c r="C202" s="23" t="s">
        <v>227</v>
      </c>
      <c r="D202" s="26">
        <v>3223.0</v>
      </c>
      <c r="E202" s="17">
        <v>20.0</v>
      </c>
      <c r="F202" s="2">
        <f>VLOOKUP(C202, Material!$E$2:$F$94, 2, FALSE)</f>
        <v>1500</v>
      </c>
      <c r="G202" s="14">
        <f>VLOOKUP(C202, Material!$E$2:$G$94, 3, FALSE)</f>
        <v>595.8644068</v>
      </c>
    </row>
    <row r="203">
      <c r="B203" s="1" t="s">
        <v>208</v>
      </c>
      <c r="C203" s="20" t="s">
        <v>221</v>
      </c>
      <c r="D203" s="16" t="s">
        <v>298</v>
      </c>
      <c r="E203" s="17">
        <v>2.0</v>
      </c>
      <c r="F203" s="2">
        <f>VLOOKUP(C203, Material!$E$2:$F$94, 2, FALSE)</f>
        <v>1500</v>
      </c>
      <c r="G203" s="14">
        <f>VLOOKUP(C203, Material!$E$2:$G$94, 3, FALSE)</f>
        <v>750</v>
      </c>
    </row>
    <row r="204">
      <c r="B204" s="1" t="s">
        <v>208</v>
      </c>
      <c r="C204" s="18" t="s">
        <v>222</v>
      </c>
      <c r="D204" s="16" t="s">
        <v>299</v>
      </c>
      <c r="E204" s="17">
        <v>2.0</v>
      </c>
      <c r="F204" s="2">
        <f>VLOOKUP(C204, Material!$E$2:$F$94, 2, FALSE)</f>
        <v>500</v>
      </c>
      <c r="G204" s="14">
        <f>VLOOKUP(C204, Material!$E$2:$G$94, 3, FALSE)</f>
        <v>270</v>
      </c>
    </row>
    <row r="205">
      <c r="B205" s="1" t="s">
        <v>208</v>
      </c>
      <c r="C205" s="20" t="s">
        <v>223</v>
      </c>
      <c r="D205" s="16" t="s">
        <v>300</v>
      </c>
      <c r="E205" s="17">
        <v>1.0</v>
      </c>
      <c r="F205" s="2">
        <f>VLOOKUP(C205, Material!$E$2:$F$94, 2, FALSE)</f>
        <v>1500</v>
      </c>
      <c r="G205" s="14">
        <f>VLOOKUP(C205, Material!$E$2:$G$94, 3, FALSE)</f>
        <v>750</v>
      </c>
    </row>
    <row r="206">
      <c r="B206" s="1" t="s">
        <v>208</v>
      </c>
      <c r="C206" s="21" t="s">
        <v>224</v>
      </c>
      <c r="D206" s="22" t="s">
        <v>301</v>
      </c>
      <c r="E206" s="17">
        <v>4.0</v>
      </c>
      <c r="F206" s="2">
        <f>VLOOKUP(C206, Material!$E$2:$F$94, 2, FALSE)</f>
        <v>1000</v>
      </c>
      <c r="G206" s="14">
        <f>VLOOKUP(C206, Material!$E$2:$G$94, 3, FALSE)</f>
        <v>675</v>
      </c>
    </row>
    <row r="207">
      <c r="B207" s="1" t="s">
        <v>208</v>
      </c>
      <c r="C207" s="23" t="s">
        <v>225</v>
      </c>
      <c r="D207" s="22" t="s">
        <v>302</v>
      </c>
      <c r="E207" s="17">
        <v>2.0</v>
      </c>
      <c r="F207" s="2">
        <f>VLOOKUP(C207, Material!$E$2:$F$94, 2, FALSE)</f>
        <v>2500</v>
      </c>
      <c r="G207" s="14">
        <f>VLOOKUP(C207, Material!$E$2:$G$94, 3, FALSE)</f>
        <v>2050</v>
      </c>
    </row>
    <row r="208">
      <c r="B208" s="1" t="s">
        <v>208</v>
      </c>
      <c r="C208" s="27" t="s">
        <v>39</v>
      </c>
      <c r="D208" s="22" t="s">
        <v>308</v>
      </c>
      <c r="E208" s="17">
        <v>1.0</v>
      </c>
      <c r="F208" s="2">
        <f>VLOOKUP(C208, Material!$E$2:$F$94, 2, FALSE)</f>
        <v>1000</v>
      </c>
      <c r="G208" s="2">
        <f>VLOOKUP(C208, Material!$E$2:$G$94, 3, FALSE)</f>
        <v>250</v>
      </c>
    </row>
    <row r="209">
      <c r="B209" s="1" t="s">
        <v>208</v>
      </c>
      <c r="C209" s="27" t="s">
        <v>38</v>
      </c>
      <c r="D209" s="16" t="s">
        <v>305</v>
      </c>
      <c r="E209" s="17">
        <v>2.0</v>
      </c>
      <c r="F209" s="2">
        <f>VLOOKUP(C209, Material!$E$2:$F$94, 2, FALSE)</f>
        <v>1000</v>
      </c>
      <c r="G209" s="2">
        <f>VLOOKUP(C209, Material!$E$2:$G$94, 3, FALSE)</f>
        <v>250</v>
      </c>
    </row>
    <row r="210">
      <c r="B210" s="1" t="s">
        <v>208</v>
      </c>
      <c r="C210" s="24" t="s">
        <v>237</v>
      </c>
      <c r="D210" s="22" t="s">
        <v>319</v>
      </c>
      <c r="E210" s="17">
        <v>5.0</v>
      </c>
      <c r="F210" s="2">
        <f>VLOOKUP(C210, Material!$E$2:$F$94, 2, FALSE)</f>
        <v>600</v>
      </c>
      <c r="G210" s="2">
        <f>VLOOKUP(C210, Material!$E$2:$G$94, 3, FALSE)</f>
        <v>500</v>
      </c>
    </row>
    <row r="211">
      <c r="B211" s="1" t="s">
        <v>208</v>
      </c>
      <c r="C211" s="24" t="s">
        <v>34</v>
      </c>
      <c r="D211" s="16" t="s">
        <v>315</v>
      </c>
      <c r="E211" s="17">
        <v>2.0</v>
      </c>
      <c r="F211" s="2">
        <f>VLOOKUP(C211, Material!$E$2:$F$94, 2, FALSE)</f>
        <v>500</v>
      </c>
      <c r="G211" s="2">
        <f>VLOOKUP(C211, Material!$E$2:$G$94, 3, FALSE)</f>
        <v>250</v>
      </c>
    </row>
    <row r="212">
      <c r="B212" s="30" t="s">
        <v>171</v>
      </c>
      <c r="C212" s="9" t="s">
        <v>126</v>
      </c>
      <c r="D212" s="16" t="s">
        <v>11</v>
      </c>
      <c r="E212" s="17">
        <v>2.0</v>
      </c>
      <c r="F212" s="2">
        <f>VLOOKUP(C212, Material!$E$2:$F$94, 2, FALSE)</f>
        <v>1000</v>
      </c>
      <c r="G212" s="2">
        <f>VLOOKUP(C212, Material!$E$2:$G$94, 3, FALSE)</f>
        <v>250</v>
      </c>
    </row>
    <row r="213">
      <c r="B213" s="30" t="s">
        <v>171</v>
      </c>
      <c r="C213" s="1" t="s">
        <v>172</v>
      </c>
      <c r="D213" s="16" t="s">
        <v>320</v>
      </c>
      <c r="E213" s="17">
        <v>4.0</v>
      </c>
      <c r="F213" s="2">
        <f>VLOOKUP(C213, Material!$E$2:$F$94, 2, FALSE)</f>
        <v>500</v>
      </c>
      <c r="G213" s="2">
        <f>VLOOKUP(C213, Material!$E$2:$G$94, 3, FALSE)</f>
        <v>200</v>
      </c>
    </row>
    <row r="214">
      <c r="B214" s="30" t="s">
        <v>174</v>
      </c>
      <c r="C214" s="18" t="s">
        <v>217</v>
      </c>
      <c r="D214" s="16">
        <v>6167.0</v>
      </c>
      <c r="E214" s="17">
        <v>6.0</v>
      </c>
      <c r="F214" s="2">
        <f>VLOOKUP(C214, Material!$E$2:$F$94, 2, FALSE)</f>
        <v>2500</v>
      </c>
      <c r="G214" s="14">
        <f>VLOOKUP(C214, Material!$E$2:$G$94, 3, FALSE)</f>
        <v>1084.067797</v>
      </c>
    </row>
    <row r="215">
      <c r="B215" s="30" t="s">
        <v>174</v>
      </c>
      <c r="C215" s="18" t="s">
        <v>240</v>
      </c>
      <c r="D215" s="1">
        <v>2307.0</v>
      </c>
      <c r="E215" s="17">
        <v>5.0</v>
      </c>
      <c r="F215" s="2">
        <f>VLOOKUP(C215, Material!$E$2:$F$94, 2, FALSE)</f>
        <v>7500</v>
      </c>
      <c r="G215" s="14">
        <f>VLOOKUP(C215, Material!$E$2:$G$94, 3, FALSE)</f>
        <v>4148.387119</v>
      </c>
    </row>
    <row r="216">
      <c r="B216" s="30" t="s">
        <v>174</v>
      </c>
      <c r="C216" s="20" t="s">
        <v>221</v>
      </c>
      <c r="D216" s="16" t="s">
        <v>298</v>
      </c>
      <c r="E216" s="17">
        <v>1.0</v>
      </c>
      <c r="F216" s="2">
        <f>VLOOKUP(C216, Material!$E$2:$F$94, 2, FALSE)</f>
        <v>1500</v>
      </c>
      <c r="G216" s="14">
        <f>VLOOKUP(C216, Material!$E$2:$G$94, 3, FALSE)</f>
        <v>750</v>
      </c>
    </row>
    <row r="217">
      <c r="B217" s="30" t="s">
        <v>174</v>
      </c>
      <c r="C217" s="18" t="s">
        <v>222</v>
      </c>
      <c r="D217" s="16" t="s">
        <v>299</v>
      </c>
      <c r="E217" s="17">
        <v>1.0</v>
      </c>
      <c r="F217" s="2">
        <f>VLOOKUP(C217, Material!$E$2:$F$94, 2, FALSE)</f>
        <v>500</v>
      </c>
      <c r="G217" s="14">
        <f>VLOOKUP(C217, Material!$E$2:$G$94, 3, FALSE)</f>
        <v>270</v>
      </c>
    </row>
    <row r="218">
      <c r="B218" s="30" t="s">
        <v>174</v>
      </c>
      <c r="C218" s="20" t="s">
        <v>223</v>
      </c>
      <c r="D218" s="16" t="s">
        <v>300</v>
      </c>
      <c r="E218" s="17">
        <v>1.0</v>
      </c>
      <c r="F218" s="2">
        <f>VLOOKUP(C218, Material!$E$2:$F$94, 2, FALSE)</f>
        <v>1500</v>
      </c>
      <c r="G218" s="14">
        <f>VLOOKUP(C218, Material!$E$2:$G$94, 3, FALSE)</f>
        <v>750</v>
      </c>
    </row>
    <row r="219">
      <c r="B219" s="30" t="s">
        <v>174</v>
      </c>
      <c r="C219" s="21" t="s">
        <v>224</v>
      </c>
      <c r="D219" s="22" t="s">
        <v>301</v>
      </c>
      <c r="E219" s="17">
        <v>2.0</v>
      </c>
      <c r="F219" s="2">
        <f>VLOOKUP(C219, Material!$E$2:$F$94, 2, FALSE)</f>
        <v>1000</v>
      </c>
      <c r="G219" s="14">
        <f>VLOOKUP(C219, Material!$E$2:$G$94, 3, FALSE)</f>
        <v>675</v>
      </c>
    </row>
    <row r="220">
      <c r="B220" s="3" t="s">
        <v>174</v>
      </c>
      <c r="C220" s="23" t="s">
        <v>225</v>
      </c>
      <c r="D220" s="22" t="s">
        <v>302</v>
      </c>
      <c r="E220" s="17">
        <v>3.0</v>
      </c>
      <c r="F220" s="2">
        <f>VLOOKUP(C220, Material!$E$2:$F$94, 2, FALSE)</f>
        <v>2500</v>
      </c>
      <c r="G220" s="14">
        <f>VLOOKUP(C220, Material!$E$2:$G$94, 3, FALSE)</f>
        <v>2050</v>
      </c>
    </row>
    <row r="221">
      <c r="B221" s="30" t="s">
        <v>174</v>
      </c>
      <c r="C221" s="9" t="s">
        <v>176</v>
      </c>
      <c r="D221" s="22" t="s">
        <v>11</v>
      </c>
      <c r="E221" s="17">
        <v>2.0</v>
      </c>
      <c r="F221" s="2">
        <f>VLOOKUP(C221, Material!$E$2:$F$94, 2, FALSE)</f>
        <v>1000</v>
      </c>
      <c r="G221" s="2">
        <f>VLOOKUP(C221, Material!$E$2:$G$94, 3, FALSE)</f>
        <v>250</v>
      </c>
    </row>
    <row r="222">
      <c r="B222" s="30" t="s">
        <v>174</v>
      </c>
      <c r="C222" s="1" t="s">
        <v>47</v>
      </c>
      <c r="D222" s="22" t="s">
        <v>307</v>
      </c>
      <c r="E222" s="17">
        <v>2.0</v>
      </c>
      <c r="F222" s="2">
        <f>VLOOKUP(C222, Material!$E$2:$F$94, 2, FALSE)</f>
        <v>500</v>
      </c>
      <c r="G222" s="2">
        <f>VLOOKUP(C222, Material!$E$2:$G$94, 3, FALSE)</f>
        <v>250</v>
      </c>
    </row>
    <row r="223">
      <c r="B223" s="30" t="s">
        <v>177</v>
      </c>
      <c r="C223" s="23" t="s">
        <v>243</v>
      </c>
      <c r="D223" s="16">
        <v>2324.0</v>
      </c>
      <c r="E223" s="17">
        <v>2.0</v>
      </c>
      <c r="F223" s="2">
        <f>VLOOKUP(C223, Material!$E$2:$F$94, 2, FALSE)</f>
        <v>7500</v>
      </c>
      <c r="G223" s="14">
        <f>VLOOKUP(C223, Material!$E$2:$G$94, 3, FALSE)</f>
        <v>4148.387119</v>
      </c>
    </row>
    <row r="224">
      <c r="B224" s="30" t="s">
        <v>177</v>
      </c>
      <c r="C224" s="23" t="s">
        <v>265</v>
      </c>
      <c r="D224" s="26">
        <v>5484.0</v>
      </c>
      <c r="E224" s="17">
        <v>12.0</v>
      </c>
      <c r="F224" s="2">
        <f>VLOOKUP(C224, Material!$E$2:$F$94, 2, FALSE)</f>
        <v>1500</v>
      </c>
      <c r="G224" s="14">
        <f>VLOOKUP(C224, Material!$E$2:$G$94, 3, FALSE)</f>
        <v>595.8644068</v>
      </c>
    </row>
    <row r="225">
      <c r="B225" s="30" t="s">
        <v>177</v>
      </c>
      <c r="C225" s="20" t="s">
        <v>221</v>
      </c>
      <c r="D225" s="16" t="s">
        <v>298</v>
      </c>
      <c r="E225" s="17">
        <v>2.0</v>
      </c>
      <c r="F225" s="2">
        <f>VLOOKUP(C225, Material!$E$2:$F$94, 2, FALSE)</f>
        <v>1500</v>
      </c>
      <c r="G225" s="14">
        <f>VLOOKUP(C225, Material!$E$2:$G$94, 3, FALSE)</f>
        <v>750</v>
      </c>
    </row>
    <row r="226">
      <c r="B226" s="30" t="s">
        <v>177</v>
      </c>
      <c r="C226" s="18" t="s">
        <v>222</v>
      </c>
      <c r="D226" s="16" t="s">
        <v>299</v>
      </c>
      <c r="E226" s="17">
        <v>2.0</v>
      </c>
      <c r="F226" s="2">
        <f>VLOOKUP(C226, Material!$E$2:$F$94, 2, FALSE)</f>
        <v>500</v>
      </c>
      <c r="G226" s="14">
        <f>VLOOKUP(C226, Material!$E$2:$G$94, 3, FALSE)</f>
        <v>270</v>
      </c>
    </row>
    <row r="227">
      <c r="B227" s="30" t="s">
        <v>177</v>
      </c>
      <c r="C227" s="20" t="s">
        <v>223</v>
      </c>
      <c r="D227" s="16" t="s">
        <v>300</v>
      </c>
      <c r="E227" s="17">
        <v>1.0</v>
      </c>
      <c r="F227" s="2">
        <f>VLOOKUP(C227, Material!$E$2:$F$94, 2, FALSE)</f>
        <v>1500</v>
      </c>
      <c r="G227" s="14">
        <f>VLOOKUP(C227, Material!$E$2:$G$94, 3, FALSE)</f>
        <v>750</v>
      </c>
    </row>
    <row r="228">
      <c r="B228" s="30" t="s">
        <v>177</v>
      </c>
      <c r="C228" s="21" t="s">
        <v>224</v>
      </c>
      <c r="D228" s="22" t="s">
        <v>301</v>
      </c>
      <c r="E228" s="17">
        <v>4.0</v>
      </c>
      <c r="F228" s="2">
        <f>VLOOKUP(C228, Material!$E$2:$F$94, 2, FALSE)</f>
        <v>1000</v>
      </c>
      <c r="G228" s="14">
        <f>VLOOKUP(C228, Material!$E$2:$G$94, 3, FALSE)</f>
        <v>675</v>
      </c>
    </row>
    <row r="229">
      <c r="B229" s="30" t="s">
        <v>177</v>
      </c>
      <c r="C229" s="23" t="s">
        <v>225</v>
      </c>
      <c r="D229" s="22" t="s">
        <v>302</v>
      </c>
      <c r="E229" s="17">
        <v>2.0</v>
      </c>
      <c r="F229" s="2">
        <f>VLOOKUP(C229, Material!$E$2:$F$94, 2, FALSE)</f>
        <v>2500</v>
      </c>
      <c r="G229" s="14">
        <f>VLOOKUP(C229, Material!$E$2:$G$94, 3, FALSE)</f>
        <v>2050</v>
      </c>
    </row>
    <row r="230">
      <c r="B230" s="30" t="s">
        <v>177</v>
      </c>
      <c r="C230" s="29" t="s">
        <v>126</v>
      </c>
      <c r="D230" s="16" t="s">
        <v>11</v>
      </c>
      <c r="E230" s="17">
        <v>2.0</v>
      </c>
      <c r="F230" s="2">
        <f>VLOOKUP(C230, Material!$E$2:$F$94, 2, FALSE)</f>
        <v>1000</v>
      </c>
      <c r="G230" s="2">
        <f>VLOOKUP(C230, Material!$E$2:$G$94, 3, FALSE)</f>
        <v>250</v>
      </c>
    </row>
    <row r="231">
      <c r="B231" s="30" t="s">
        <v>177</v>
      </c>
      <c r="C231" s="27" t="s">
        <v>266</v>
      </c>
      <c r="D231" s="16" t="s">
        <v>308</v>
      </c>
      <c r="E231" s="17">
        <v>1.0</v>
      </c>
      <c r="F231" s="2">
        <f>VLOOKUP(C231, Material!$E$2:$F$94, 2, FALSE)</f>
        <v>1000</v>
      </c>
      <c r="G231" s="2">
        <f>VLOOKUP(C231, Material!$E$2:$G$94, 3, FALSE)</f>
        <v>250</v>
      </c>
    </row>
    <row r="232">
      <c r="B232" s="30" t="s">
        <v>179</v>
      </c>
      <c r="C232" s="18" t="s">
        <v>258</v>
      </c>
      <c r="D232" s="17" t="s">
        <v>313</v>
      </c>
      <c r="E232" s="17">
        <v>12.0</v>
      </c>
      <c r="F232" s="2">
        <f>VLOOKUP(C232, Material!$E$2:$F$94, 2, FALSE)</f>
        <v>2500</v>
      </c>
      <c r="G232" s="14">
        <f>VLOOKUP(C232, Material!$E$2:$G$94, 3, FALSE)</f>
        <v>1014.550508</v>
      </c>
    </row>
    <row r="233">
      <c r="B233" s="30" t="s">
        <v>179</v>
      </c>
      <c r="C233" s="18" t="s">
        <v>248</v>
      </c>
      <c r="D233" s="17">
        <v>2325.0</v>
      </c>
      <c r="E233" s="17">
        <v>2.0</v>
      </c>
      <c r="F233" s="2">
        <f>VLOOKUP(C233, Material!$E$2:$F$94, 2, FALSE)</f>
        <v>7500</v>
      </c>
      <c r="G233" s="14">
        <f>VLOOKUP(C233, Material!$E$2:$G$94, 3, FALSE)</f>
        <v>4148.387119</v>
      </c>
    </row>
    <row r="234">
      <c r="B234" s="30" t="s">
        <v>179</v>
      </c>
      <c r="C234" s="5" t="s">
        <v>56</v>
      </c>
      <c r="D234" s="17" t="s">
        <v>305</v>
      </c>
      <c r="E234" s="17">
        <v>2.0</v>
      </c>
      <c r="F234" s="2">
        <f>VLOOKUP(C234, Material!$E$2:$F$94, 2, FALSE)</f>
        <v>1000</v>
      </c>
      <c r="G234" s="2">
        <f>VLOOKUP(C234, Material!$E$2:$G$94, 3, FALSE)</f>
        <v>250</v>
      </c>
    </row>
    <row r="235">
      <c r="B235" s="30" t="s">
        <v>179</v>
      </c>
      <c r="C235" s="9" t="s">
        <v>126</v>
      </c>
      <c r="D235" s="17" t="s">
        <v>11</v>
      </c>
      <c r="E235" s="17">
        <v>1.0</v>
      </c>
      <c r="F235" s="2">
        <f>VLOOKUP(C235, Material!$E$2:$F$94, 2, FALSE)</f>
        <v>1000</v>
      </c>
      <c r="G235" s="2">
        <f>VLOOKUP(C235, Material!$E$2:$G$94, 3, FALSE)</f>
        <v>250</v>
      </c>
    </row>
    <row r="236">
      <c r="B236" s="3" t="s">
        <v>179</v>
      </c>
      <c r="C236" s="1" t="s">
        <v>172</v>
      </c>
      <c r="D236" s="17" t="s">
        <v>320</v>
      </c>
      <c r="E236" s="17">
        <v>2.0</v>
      </c>
      <c r="F236" s="2">
        <f>VLOOKUP(C236, Material!$E$2:$F$94, 2, FALSE)</f>
        <v>500</v>
      </c>
      <c r="G236" s="2">
        <f>VLOOKUP(C236, Material!$E$2:$G$94, 3, FALSE)</f>
        <v>200</v>
      </c>
    </row>
    <row r="237">
      <c r="B237" s="30" t="s">
        <v>180</v>
      </c>
      <c r="C237" s="23" t="s">
        <v>251</v>
      </c>
      <c r="D237" s="26">
        <v>2312.0</v>
      </c>
      <c r="E237" s="17">
        <v>3.0</v>
      </c>
      <c r="F237" s="2">
        <f>VLOOKUP(C237, Material!$E$2:$F$94, 2, FALSE)</f>
        <v>7500</v>
      </c>
      <c r="G237" s="14">
        <f>VLOOKUP(C237, Material!$E$2:$G$94, 3, FALSE)</f>
        <v>4148.387119</v>
      </c>
    </row>
    <row r="238">
      <c r="B238" s="30" t="s">
        <v>180</v>
      </c>
      <c r="C238" s="23" t="s">
        <v>267</v>
      </c>
      <c r="D238" s="26">
        <v>3026.0</v>
      </c>
      <c r="E238" s="17">
        <v>8.0</v>
      </c>
      <c r="F238" s="2">
        <f>VLOOKUP(C238, Material!$E$2:$F$94, 2, FALSE)</f>
        <v>1500</v>
      </c>
      <c r="G238" s="14">
        <f>VLOOKUP(C238, Material!$E$2:$G$94, 3, FALSE)</f>
        <v>609.4915254</v>
      </c>
    </row>
    <row r="239">
      <c r="B239" s="30" t="s">
        <v>180</v>
      </c>
      <c r="C239" s="24" t="s">
        <v>268</v>
      </c>
      <c r="D239" s="16" t="s">
        <v>309</v>
      </c>
      <c r="E239" s="17">
        <v>2.0</v>
      </c>
      <c r="F239" s="2">
        <f>VLOOKUP(C239, Material!$E$2:$F$94, 2, FALSE)</f>
        <v>600</v>
      </c>
      <c r="G239" s="2">
        <f>VLOOKUP(C239, Material!$E$2:$G$94, 3, FALSE)</f>
        <v>500</v>
      </c>
    </row>
    <row r="240">
      <c r="B240" s="30" t="s">
        <v>180</v>
      </c>
      <c r="C240" s="24" t="s">
        <v>269</v>
      </c>
      <c r="D240" s="16" t="s">
        <v>315</v>
      </c>
      <c r="E240" s="17">
        <v>2.0</v>
      </c>
      <c r="F240" s="2">
        <f>VLOOKUP(C240, Material!$E$2:$F$94, 2, FALSE)</f>
        <v>500</v>
      </c>
      <c r="G240" s="2">
        <f>VLOOKUP(C240, Material!$E$2:$G$94, 3, FALSE)</f>
        <v>250</v>
      </c>
    </row>
    <row r="241">
      <c r="B241" s="30" t="s">
        <v>182</v>
      </c>
      <c r="C241" s="18" t="s">
        <v>265</v>
      </c>
      <c r="D241" s="16">
        <v>5484.0</v>
      </c>
      <c r="E241" s="17">
        <v>0.0</v>
      </c>
      <c r="F241" s="2">
        <f>VLOOKUP(C241, Material!$E$2:$F$94, 2, FALSE)</f>
        <v>1500</v>
      </c>
      <c r="G241" s="14">
        <f>VLOOKUP(C241, Material!$E$2:$G$94, 3, FALSE)</f>
        <v>595.8644068</v>
      </c>
    </row>
    <row r="242">
      <c r="B242" s="30" t="s">
        <v>182</v>
      </c>
      <c r="C242" s="21" t="s">
        <v>224</v>
      </c>
      <c r="D242" s="22" t="s">
        <v>301</v>
      </c>
      <c r="E242" s="17">
        <v>2.0</v>
      </c>
      <c r="F242" s="2">
        <f>VLOOKUP(C242, Material!$E$2:$F$94, 2, FALSE)</f>
        <v>1000</v>
      </c>
      <c r="G242" s="14">
        <f>VLOOKUP(C242, Material!$E$2:$G$94, 3, FALSE)</f>
        <v>675</v>
      </c>
    </row>
    <row r="243">
      <c r="B243" s="3" t="s">
        <v>182</v>
      </c>
      <c r="C243" s="23" t="s">
        <v>225</v>
      </c>
      <c r="D243" s="22" t="s">
        <v>302</v>
      </c>
      <c r="E243" s="17">
        <v>2.0</v>
      </c>
      <c r="F243" s="2">
        <f>VLOOKUP(C243, Material!$E$2:$F$94, 2, FALSE)</f>
        <v>2500</v>
      </c>
      <c r="G243" s="14">
        <f>VLOOKUP(C243, Material!$E$2:$G$94, 3, FALSE)</f>
        <v>2050</v>
      </c>
    </row>
    <row r="244">
      <c r="B244" s="30" t="s">
        <v>182</v>
      </c>
      <c r="C244" s="1" t="s">
        <v>270</v>
      </c>
      <c r="D244" s="22" t="s">
        <v>321</v>
      </c>
      <c r="E244" s="17">
        <v>2.0</v>
      </c>
      <c r="F244" s="2">
        <f>VLOOKUP(C244, Material!$E$2:$F$94, 2, FALSE)</f>
        <v>500</v>
      </c>
      <c r="G244" s="2">
        <f>VLOOKUP(C244, Material!$E$2:$G$94, 3, FALSE)</f>
        <v>200</v>
      </c>
    </row>
    <row r="245">
      <c r="B245" s="30" t="s">
        <v>184</v>
      </c>
      <c r="C245" s="18" t="s">
        <v>239</v>
      </c>
      <c r="D245" s="16">
        <v>2314.0</v>
      </c>
      <c r="E245" s="17">
        <v>1.0</v>
      </c>
      <c r="F245" s="2">
        <f>VLOOKUP(C245, Material!$E$2:$F$94, 2, FALSE)</f>
        <v>7500</v>
      </c>
      <c r="G245" s="14">
        <f>VLOOKUP(C245, Material!$E$2:$G$94, 3, FALSE)</f>
        <v>4148.387119</v>
      </c>
    </row>
    <row r="246">
      <c r="B246" s="30" t="s">
        <v>184</v>
      </c>
      <c r="C246" s="18" t="s">
        <v>271</v>
      </c>
      <c r="D246" s="17">
        <v>3856.0</v>
      </c>
      <c r="E246" s="17">
        <v>10.0</v>
      </c>
      <c r="F246" s="2">
        <f>VLOOKUP(C246, Material!$E$2:$F$94, 2, FALSE)</f>
        <v>1500</v>
      </c>
      <c r="G246" s="14">
        <f>VLOOKUP(C246, Material!$E$2:$G$94, 3, FALSE)</f>
        <v>745.0169492</v>
      </c>
    </row>
    <row r="247">
      <c r="B247" s="30" t="s">
        <v>184</v>
      </c>
      <c r="C247" s="1" t="s">
        <v>34</v>
      </c>
      <c r="D247" s="17" t="s">
        <v>304</v>
      </c>
      <c r="E247" s="17">
        <v>2.0</v>
      </c>
      <c r="F247" s="2">
        <f>VLOOKUP(C247, Material!$E$2:$F$94, 2, FALSE)</f>
        <v>500</v>
      </c>
      <c r="G247" s="2">
        <f>VLOOKUP(C247, Material!$E$2:$G$94, 3, FALSE)</f>
        <v>250</v>
      </c>
    </row>
    <row r="248">
      <c r="B248" s="30" t="s">
        <v>186</v>
      </c>
      <c r="C248" s="18" t="s">
        <v>251</v>
      </c>
      <c r="D248" s="17">
        <v>2312.0</v>
      </c>
      <c r="E248" s="17">
        <v>5.0</v>
      </c>
      <c r="F248" s="2">
        <f>VLOOKUP(C248, Material!$E$2:$F$94, 2, FALSE)</f>
        <v>7500</v>
      </c>
      <c r="G248" s="14">
        <f>VLOOKUP(C248, Material!$E$2:$G$94, 3, FALSE)</f>
        <v>4148.387119</v>
      </c>
    </row>
    <row r="249">
      <c r="B249" s="30" t="s">
        <v>186</v>
      </c>
      <c r="C249" s="18" t="s">
        <v>272</v>
      </c>
      <c r="D249" s="17">
        <v>4073.0</v>
      </c>
      <c r="E249" s="17">
        <v>7.0</v>
      </c>
      <c r="F249" s="2">
        <f>VLOOKUP(C249, Material!$E$2:$F$94, 2, FALSE)</f>
        <v>1500</v>
      </c>
      <c r="G249" s="14">
        <f>VLOOKUP(C249, Material!$E$2:$G$94, 3, FALSE)</f>
        <v>677.2881356</v>
      </c>
    </row>
    <row r="250">
      <c r="B250" s="30" t="s">
        <v>186</v>
      </c>
      <c r="C250" s="20" t="s">
        <v>221</v>
      </c>
      <c r="D250" s="16" t="s">
        <v>298</v>
      </c>
      <c r="E250" s="17">
        <v>1.0</v>
      </c>
      <c r="F250" s="2">
        <f>VLOOKUP(C250, Material!$E$2:$F$94, 2, FALSE)</f>
        <v>1500</v>
      </c>
      <c r="G250" s="14">
        <f>VLOOKUP(C250, Material!$E$2:$G$94, 3, FALSE)</f>
        <v>750</v>
      </c>
    </row>
    <row r="251">
      <c r="B251" s="30" t="s">
        <v>186</v>
      </c>
      <c r="C251" s="18" t="s">
        <v>222</v>
      </c>
      <c r="D251" s="16" t="s">
        <v>299</v>
      </c>
      <c r="E251" s="17">
        <v>1.0</v>
      </c>
      <c r="F251" s="2">
        <f>VLOOKUP(C251, Material!$E$2:$F$94, 2, FALSE)</f>
        <v>500</v>
      </c>
      <c r="G251" s="14">
        <f>VLOOKUP(C251, Material!$E$2:$G$94, 3, FALSE)</f>
        <v>270</v>
      </c>
    </row>
    <row r="252">
      <c r="B252" s="30" t="s">
        <v>186</v>
      </c>
      <c r="C252" s="20" t="s">
        <v>223</v>
      </c>
      <c r="D252" s="16" t="s">
        <v>300</v>
      </c>
      <c r="E252" s="17">
        <v>1.0</v>
      </c>
      <c r="F252" s="2">
        <f>VLOOKUP(C252, Material!$E$2:$F$94, 2, FALSE)</f>
        <v>1500</v>
      </c>
      <c r="G252" s="14">
        <f>VLOOKUP(C252, Material!$E$2:$G$94, 3, FALSE)</f>
        <v>750</v>
      </c>
    </row>
    <row r="253">
      <c r="B253" s="30" t="s">
        <v>186</v>
      </c>
      <c r="C253" s="21" t="s">
        <v>224</v>
      </c>
      <c r="D253" s="22" t="s">
        <v>301</v>
      </c>
      <c r="E253" s="17">
        <v>2.0</v>
      </c>
      <c r="F253" s="2">
        <f>VLOOKUP(C253, Material!$E$2:$F$94, 2, FALSE)</f>
        <v>1000</v>
      </c>
      <c r="G253" s="14">
        <f>VLOOKUP(C253, Material!$E$2:$G$94, 3, FALSE)</f>
        <v>675</v>
      </c>
    </row>
    <row r="254">
      <c r="B254" s="3" t="s">
        <v>186</v>
      </c>
      <c r="C254" s="23" t="s">
        <v>225</v>
      </c>
      <c r="D254" s="22" t="s">
        <v>302</v>
      </c>
      <c r="E254" s="17">
        <v>2.0</v>
      </c>
      <c r="F254" s="2">
        <f>VLOOKUP(C254, Material!$E$2:$F$94, 2, FALSE)</f>
        <v>2500</v>
      </c>
      <c r="G254" s="14">
        <f>VLOOKUP(C254, Material!$E$2:$G$94, 3, FALSE)</f>
        <v>2050</v>
      </c>
    </row>
    <row r="255">
      <c r="B255" s="30" t="s">
        <v>186</v>
      </c>
      <c r="C255" s="6" t="s">
        <v>39</v>
      </c>
      <c r="D255" s="22" t="s">
        <v>308</v>
      </c>
      <c r="E255" s="17">
        <v>1.0</v>
      </c>
      <c r="F255" s="2">
        <f>VLOOKUP(C255, Material!$E$2:$F$94, 2, FALSE)</f>
        <v>1000</v>
      </c>
      <c r="G255" s="2">
        <f>VLOOKUP(C255, Material!$E$2:$G$94, 3, FALSE)</f>
        <v>250</v>
      </c>
    </row>
    <row r="256">
      <c r="B256" s="30" t="s">
        <v>186</v>
      </c>
      <c r="C256" s="9" t="s">
        <v>61</v>
      </c>
      <c r="D256" s="22" t="s">
        <v>11</v>
      </c>
      <c r="E256" s="17">
        <v>2.0</v>
      </c>
      <c r="F256" s="2">
        <f>VLOOKUP(C256, Material!$E$2:$F$94, 2, FALSE)</f>
        <v>1000</v>
      </c>
      <c r="G256" s="2">
        <f>VLOOKUP(C256, Material!$E$2:$G$94, 3, FALSE)</f>
        <v>250</v>
      </c>
    </row>
    <row r="257">
      <c r="B257" s="30" t="s">
        <v>186</v>
      </c>
      <c r="C257" s="1" t="s">
        <v>119</v>
      </c>
      <c r="D257" s="22" t="s">
        <v>322</v>
      </c>
      <c r="E257" s="17">
        <v>2.0</v>
      </c>
      <c r="F257" s="2">
        <f>VLOOKUP(C257, Material!$E$2:$F$94, 2, FALSE)</f>
        <v>500</v>
      </c>
      <c r="G257" s="2">
        <f>VLOOKUP(C257, Material!$E$2:$G$94, 3, FALSE)</f>
        <v>250</v>
      </c>
    </row>
    <row r="258">
      <c r="B258" s="3" t="s">
        <v>186</v>
      </c>
      <c r="C258" s="24" t="s">
        <v>237</v>
      </c>
      <c r="D258" s="22" t="s">
        <v>309</v>
      </c>
      <c r="E258" s="17">
        <v>6.0</v>
      </c>
      <c r="F258" s="2">
        <f>VLOOKUP(C258, Material!$E$2:$F$94, 2, FALSE)</f>
        <v>600</v>
      </c>
      <c r="G258" s="2">
        <f>VLOOKUP(C258, Material!$E$2:$G$94, 3, FALSE)</f>
        <v>500</v>
      </c>
    </row>
    <row r="259">
      <c r="B259" s="30" t="s">
        <v>187</v>
      </c>
      <c r="C259" s="23" t="s">
        <v>243</v>
      </c>
      <c r="D259" s="26">
        <v>2324.0</v>
      </c>
      <c r="E259" s="17">
        <v>2.0</v>
      </c>
      <c r="F259" s="2">
        <f>VLOOKUP(C259, Material!$E$2:$F$94, 2, FALSE)</f>
        <v>7500</v>
      </c>
      <c r="G259" s="14">
        <f>VLOOKUP(C259, Material!$E$2:$G$94, 3, FALSE)</f>
        <v>4148.387119</v>
      </c>
    </row>
    <row r="260">
      <c r="B260" s="30" t="s">
        <v>187</v>
      </c>
      <c r="C260" s="24" t="s">
        <v>268</v>
      </c>
      <c r="D260" s="26" t="s">
        <v>309</v>
      </c>
      <c r="E260" s="17">
        <v>5.0</v>
      </c>
      <c r="F260" s="2">
        <f>VLOOKUP(C260, Material!$E$2:$F$94, 2, FALSE)</f>
        <v>600</v>
      </c>
      <c r="G260" s="2">
        <f>VLOOKUP(C260, Material!$E$2:$G$94, 3, FALSE)</f>
        <v>500</v>
      </c>
    </row>
    <row r="261">
      <c r="B261" s="30" t="s">
        <v>187</v>
      </c>
      <c r="C261" s="23" t="s">
        <v>238</v>
      </c>
      <c r="D261" s="26">
        <v>2327.0</v>
      </c>
      <c r="E261" s="17">
        <v>5.0</v>
      </c>
      <c r="F261" s="2">
        <f>VLOOKUP(C261, Material!$E$2:$F$94, 2, FALSE)</f>
        <v>7500</v>
      </c>
      <c r="G261" s="14">
        <f>VLOOKUP(C261, Material!$E$2:$G$94, 3, FALSE)</f>
        <v>4148.387119</v>
      </c>
    </row>
    <row r="262">
      <c r="B262" s="30" t="s">
        <v>187</v>
      </c>
      <c r="C262" s="24" t="s">
        <v>273</v>
      </c>
      <c r="D262" s="16" t="s">
        <v>315</v>
      </c>
      <c r="E262" s="17">
        <v>2.0</v>
      </c>
      <c r="F262" s="2">
        <f>VLOOKUP(C262, Material!$E$2:$F$94, 2, FALSE)</f>
        <v>500</v>
      </c>
      <c r="G262" s="2">
        <f>VLOOKUP(C262, Material!$E$2:$G$94, 3, FALSE)</f>
        <v>250</v>
      </c>
    </row>
    <row r="263">
      <c r="B263" s="30" t="s">
        <v>188</v>
      </c>
      <c r="C263" s="23" t="s">
        <v>238</v>
      </c>
      <c r="D263" s="16">
        <v>2327.0</v>
      </c>
      <c r="E263" s="17">
        <v>2.0</v>
      </c>
      <c r="F263" s="2">
        <f>VLOOKUP(C263, Material!$E$2:$F$94, 2, FALSE)</f>
        <v>7500</v>
      </c>
      <c r="G263" s="14">
        <f>VLOOKUP(C263, Material!$E$2:$G$94, 3, FALSE)</f>
        <v>4148.387119</v>
      </c>
    </row>
    <row r="264">
      <c r="B264" s="30" t="s">
        <v>188</v>
      </c>
      <c r="C264" s="23" t="s">
        <v>274</v>
      </c>
      <c r="D264" s="26">
        <v>5514.0</v>
      </c>
      <c r="E264" s="17">
        <v>12.0</v>
      </c>
      <c r="F264" s="2">
        <f>VLOOKUP(C264, Material!$E$2:$F$94, 2, FALSE)</f>
        <v>1500</v>
      </c>
      <c r="G264" s="14">
        <f>VLOOKUP(C264, Material!$E$2:$G$94, 3, FALSE)</f>
        <v>595.8644068</v>
      </c>
    </row>
    <row r="265">
      <c r="B265" s="30" t="s">
        <v>188</v>
      </c>
      <c r="C265" s="20" t="s">
        <v>221</v>
      </c>
      <c r="D265" s="16" t="s">
        <v>298</v>
      </c>
      <c r="E265" s="17">
        <v>1.0</v>
      </c>
      <c r="F265" s="2">
        <f>VLOOKUP(C265, Material!$E$2:$F$94, 2, FALSE)</f>
        <v>1500</v>
      </c>
      <c r="G265" s="14">
        <f>VLOOKUP(C265, Material!$E$2:$G$94, 3, FALSE)</f>
        <v>750</v>
      </c>
    </row>
    <row r="266">
      <c r="B266" s="30" t="s">
        <v>188</v>
      </c>
      <c r="C266" s="18" t="s">
        <v>222</v>
      </c>
      <c r="D266" s="16" t="s">
        <v>299</v>
      </c>
      <c r="E266" s="17">
        <v>1.0</v>
      </c>
      <c r="F266" s="2">
        <f>VLOOKUP(C266, Material!$E$2:$F$94, 2, FALSE)</f>
        <v>500</v>
      </c>
      <c r="G266" s="14">
        <f>VLOOKUP(C266, Material!$E$2:$G$94, 3, FALSE)</f>
        <v>270</v>
      </c>
    </row>
    <row r="267">
      <c r="B267" s="30" t="s">
        <v>188</v>
      </c>
      <c r="C267" s="20" t="s">
        <v>223</v>
      </c>
      <c r="D267" s="16" t="s">
        <v>300</v>
      </c>
      <c r="E267" s="17">
        <v>1.0</v>
      </c>
      <c r="F267" s="2">
        <f>VLOOKUP(C267, Material!$E$2:$F$94, 2, FALSE)</f>
        <v>1500</v>
      </c>
      <c r="G267" s="14">
        <f>VLOOKUP(C267, Material!$E$2:$G$94, 3, FALSE)</f>
        <v>750</v>
      </c>
    </row>
    <row r="268">
      <c r="B268" s="30" t="s">
        <v>188</v>
      </c>
      <c r="C268" s="21" t="s">
        <v>224</v>
      </c>
      <c r="D268" s="22" t="s">
        <v>301</v>
      </c>
      <c r="E268" s="17">
        <v>3.0</v>
      </c>
      <c r="F268" s="2">
        <f>VLOOKUP(C268, Material!$E$2:$F$94, 2, FALSE)</f>
        <v>1000</v>
      </c>
      <c r="G268" s="14">
        <f>VLOOKUP(C268, Material!$E$2:$G$94, 3, FALSE)</f>
        <v>675</v>
      </c>
    </row>
    <row r="269">
      <c r="B269" s="30" t="s">
        <v>188</v>
      </c>
      <c r="C269" s="23" t="s">
        <v>225</v>
      </c>
      <c r="D269" s="22" t="s">
        <v>302</v>
      </c>
      <c r="E269" s="17">
        <v>2.0</v>
      </c>
      <c r="F269" s="2">
        <f>VLOOKUP(C269, Material!$E$2:$F$94, 2, FALSE)</f>
        <v>2500</v>
      </c>
      <c r="G269" s="14">
        <f>VLOOKUP(C269, Material!$E$2:$G$94, 3, FALSE)</f>
        <v>2050</v>
      </c>
    </row>
    <row r="270">
      <c r="B270" s="30" t="s">
        <v>189</v>
      </c>
      <c r="C270" s="23" t="s">
        <v>249</v>
      </c>
      <c r="D270" s="25">
        <v>2304.0</v>
      </c>
      <c r="E270" s="17">
        <v>3.0</v>
      </c>
      <c r="F270" s="2">
        <f>VLOOKUP(C270, Material!$E$2:$F$94, 2, FALSE)</f>
        <v>7500</v>
      </c>
      <c r="G270" s="14">
        <f>VLOOKUP(C270, Material!$E$2:$G$94, 3, FALSE)</f>
        <v>4148.387119</v>
      </c>
    </row>
    <row r="271">
      <c r="B271" s="30" t="s">
        <v>189</v>
      </c>
      <c r="C271" s="23" t="s">
        <v>242</v>
      </c>
      <c r="D271" s="26">
        <v>2305.0</v>
      </c>
      <c r="E271" s="17">
        <v>2.0</v>
      </c>
      <c r="F271" s="2">
        <f>VLOOKUP(C271, Material!$E$2:$F$94, 2, FALSE)</f>
        <v>7500</v>
      </c>
      <c r="G271" s="14">
        <f>VLOOKUP(C271, Material!$E$2:$G$94, 3, FALSE)</f>
        <v>4148.387119</v>
      </c>
    </row>
    <row r="272">
      <c r="B272" s="30" t="s">
        <v>189</v>
      </c>
      <c r="C272" s="20" t="s">
        <v>221</v>
      </c>
      <c r="D272" s="16" t="s">
        <v>298</v>
      </c>
      <c r="E272" s="17">
        <v>3.0</v>
      </c>
      <c r="F272" s="2">
        <f>VLOOKUP(C272, Material!$E$2:$F$94, 2, FALSE)</f>
        <v>1500</v>
      </c>
      <c r="G272" s="14">
        <f>VLOOKUP(C272, Material!$E$2:$G$94, 3, FALSE)</f>
        <v>750</v>
      </c>
    </row>
    <row r="273">
      <c r="B273" s="30" t="s">
        <v>189</v>
      </c>
      <c r="C273" s="18" t="s">
        <v>222</v>
      </c>
      <c r="D273" s="16" t="s">
        <v>299</v>
      </c>
      <c r="E273" s="17">
        <v>4.0</v>
      </c>
      <c r="F273" s="2">
        <f>VLOOKUP(C273, Material!$E$2:$F$94, 2, FALSE)</f>
        <v>500</v>
      </c>
      <c r="G273" s="14">
        <f>VLOOKUP(C273, Material!$E$2:$G$94, 3, FALSE)</f>
        <v>270</v>
      </c>
    </row>
    <row r="274">
      <c r="B274" s="30" t="s">
        <v>189</v>
      </c>
      <c r="C274" s="20" t="s">
        <v>223</v>
      </c>
      <c r="D274" s="16" t="s">
        <v>300</v>
      </c>
      <c r="E274" s="17">
        <v>2.0</v>
      </c>
      <c r="F274" s="2">
        <f>VLOOKUP(C274, Material!$E$2:$F$94, 2, FALSE)</f>
        <v>1500</v>
      </c>
      <c r="G274" s="14">
        <f>VLOOKUP(C274, Material!$E$2:$G$94, 3, FALSE)</f>
        <v>750</v>
      </c>
    </row>
    <row r="275">
      <c r="B275" s="30" t="s">
        <v>189</v>
      </c>
      <c r="C275" s="21" t="s">
        <v>224</v>
      </c>
      <c r="D275" s="22" t="s">
        <v>301</v>
      </c>
      <c r="E275" s="17">
        <v>6.0</v>
      </c>
      <c r="F275" s="2">
        <f>VLOOKUP(C275, Material!$E$2:$F$94, 2, FALSE)</f>
        <v>1000</v>
      </c>
      <c r="G275" s="14">
        <f>VLOOKUP(C275, Material!$E$2:$G$94, 3, FALSE)</f>
        <v>675</v>
      </c>
    </row>
    <row r="276">
      <c r="B276" s="30" t="s">
        <v>189</v>
      </c>
      <c r="C276" s="23" t="s">
        <v>225</v>
      </c>
      <c r="D276" s="22" t="s">
        <v>302</v>
      </c>
      <c r="E276" s="17">
        <v>4.0</v>
      </c>
      <c r="F276" s="2">
        <f>VLOOKUP(C276, Material!$E$2:$F$94, 2, FALSE)</f>
        <v>2500</v>
      </c>
      <c r="G276" s="14">
        <f>VLOOKUP(C276, Material!$E$2:$G$94, 3, FALSE)</f>
        <v>2050</v>
      </c>
    </row>
    <row r="277">
      <c r="B277" s="30" t="s">
        <v>189</v>
      </c>
      <c r="C277" s="24" t="s">
        <v>30</v>
      </c>
      <c r="D277" s="16" t="s">
        <v>315</v>
      </c>
      <c r="E277" s="17">
        <v>1.0</v>
      </c>
      <c r="F277" s="2">
        <f>VLOOKUP(C277, Material!$E$2:$F$94, 2, FALSE)</f>
        <v>500</v>
      </c>
      <c r="G277" s="2">
        <f>VLOOKUP(C277, Material!$E$2:$G$94, 3, FALSE)</f>
        <v>250</v>
      </c>
    </row>
    <row r="278">
      <c r="B278" s="30" t="s">
        <v>189</v>
      </c>
      <c r="C278" s="24" t="s">
        <v>119</v>
      </c>
      <c r="D278" s="16" t="s">
        <v>315</v>
      </c>
      <c r="E278" s="17">
        <v>1.0</v>
      </c>
      <c r="F278" s="2">
        <f>VLOOKUP(C278, Material!$E$2:$F$94, 2, FALSE)</f>
        <v>500</v>
      </c>
      <c r="G278" s="2">
        <f>VLOOKUP(C278, Material!$E$2:$G$94, 3, FALSE)</f>
        <v>250</v>
      </c>
    </row>
    <row r="279">
      <c r="B279" s="30" t="s">
        <v>190</v>
      </c>
      <c r="C279" s="18" t="s">
        <v>249</v>
      </c>
      <c r="D279" s="25">
        <v>2304.0</v>
      </c>
      <c r="E279" s="17">
        <v>0.0</v>
      </c>
      <c r="F279" s="2">
        <f>VLOOKUP(C279, Material!$E$2:$F$94, 2, FALSE)</f>
        <v>7500</v>
      </c>
      <c r="G279" s="14">
        <f>VLOOKUP(C279, Material!$E$2:$G$94, 3, FALSE)</f>
        <v>4148.387119</v>
      </c>
    </row>
    <row r="280">
      <c r="B280" s="30" t="s">
        <v>191</v>
      </c>
      <c r="C280" s="23" t="s">
        <v>248</v>
      </c>
      <c r="D280" s="26">
        <v>2325.0</v>
      </c>
      <c r="E280" s="17">
        <v>3.0</v>
      </c>
      <c r="F280" s="2">
        <f>VLOOKUP(C280, Material!$E$2:$F$94, 2, FALSE)</f>
        <v>7500</v>
      </c>
      <c r="G280" s="14">
        <f>VLOOKUP(C280, Material!$E$2:$G$94, 3, FALSE)</f>
        <v>4148.387119</v>
      </c>
    </row>
    <row r="281">
      <c r="B281" s="30" t="s">
        <v>191</v>
      </c>
      <c r="C281" s="23" t="s">
        <v>275</v>
      </c>
      <c r="D281" s="26">
        <v>5925.0</v>
      </c>
      <c r="E281" s="17">
        <v>13.0</v>
      </c>
      <c r="F281" s="2">
        <f>VLOOKUP(C281, Material!$E$2:$F$94, 2, FALSE)</f>
        <v>1500</v>
      </c>
      <c r="G281" s="14">
        <f>VLOOKUP(C281, Material!$E$2:$G$94, 3, FALSE)</f>
        <v>670.440678</v>
      </c>
    </row>
    <row r="282">
      <c r="B282" s="30" t="s">
        <v>191</v>
      </c>
      <c r="C282" s="20" t="s">
        <v>221</v>
      </c>
      <c r="D282" s="16" t="s">
        <v>298</v>
      </c>
      <c r="E282" s="17">
        <v>1.0</v>
      </c>
      <c r="F282" s="2">
        <f>VLOOKUP(C282, Material!$E$2:$F$94, 2, FALSE)</f>
        <v>1500</v>
      </c>
      <c r="G282" s="14">
        <f>VLOOKUP(C282, Material!$E$2:$G$94, 3, FALSE)</f>
        <v>750</v>
      </c>
    </row>
    <row r="283">
      <c r="B283" s="30" t="s">
        <v>191</v>
      </c>
      <c r="C283" s="18" t="s">
        <v>222</v>
      </c>
      <c r="D283" s="16" t="s">
        <v>299</v>
      </c>
      <c r="E283" s="17">
        <v>1.0</v>
      </c>
      <c r="F283" s="2">
        <f>VLOOKUP(C283, Material!$E$2:$F$94, 2, FALSE)</f>
        <v>500</v>
      </c>
      <c r="G283" s="14">
        <f>VLOOKUP(C283, Material!$E$2:$G$94, 3, FALSE)</f>
        <v>270</v>
      </c>
    </row>
    <row r="284">
      <c r="B284" s="30" t="s">
        <v>191</v>
      </c>
      <c r="C284" s="20" t="s">
        <v>223</v>
      </c>
      <c r="D284" s="16" t="s">
        <v>300</v>
      </c>
      <c r="E284" s="17">
        <v>1.0</v>
      </c>
      <c r="F284" s="2">
        <f>VLOOKUP(C284, Material!$E$2:$F$94, 2, FALSE)</f>
        <v>1500</v>
      </c>
      <c r="G284" s="14">
        <f>VLOOKUP(C284, Material!$E$2:$G$94, 3, FALSE)</f>
        <v>750</v>
      </c>
    </row>
    <row r="285">
      <c r="B285" s="30" t="s">
        <v>191</v>
      </c>
      <c r="C285" s="21" t="s">
        <v>224</v>
      </c>
      <c r="D285" s="22" t="s">
        <v>301</v>
      </c>
      <c r="E285" s="17">
        <v>2.0</v>
      </c>
      <c r="F285" s="2">
        <f>VLOOKUP(C285, Material!$E$2:$F$94, 2, FALSE)</f>
        <v>1000</v>
      </c>
      <c r="G285" s="14">
        <f>VLOOKUP(C285, Material!$E$2:$G$94, 3, FALSE)</f>
        <v>675</v>
      </c>
    </row>
    <row r="286">
      <c r="B286" s="30" t="s">
        <v>191</v>
      </c>
      <c r="C286" s="23" t="s">
        <v>225</v>
      </c>
      <c r="D286" s="22" t="s">
        <v>302</v>
      </c>
      <c r="E286" s="17">
        <v>2.0</v>
      </c>
      <c r="F286" s="2">
        <f>VLOOKUP(C286, Material!$E$2:$F$94, 2, FALSE)</f>
        <v>2500</v>
      </c>
      <c r="G286" s="14">
        <f>VLOOKUP(C286, Material!$E$2:$G$94, 3, FALSE)</f>
        <v>2050</v>
      </c>
    </row>
    <row r="287">
      <c r="B287" s="30" t="s">
        <v>192</v>
      </c>
      <c r="C287" s="23" t="s">
        <v>245</v>
      </c>
      <c r="D287" s="26">
        <v>2322.0</v>
      </c>
      <c r="E287" s="17">
        <v>3.0</v>
      </c>
      <c r="F287" s="2">
        <f>VLOOKUP(C287, Material!$E$2:$F$94, 2, FALSE)</f>
        <v>7500</v>
      </c>
      <c r="G287" s="14">
        <f>VLOOKUP(C287, Material!$E$2:$G$94, 3, FALSE)</f>
        <v>4741.014915</v>
      </c>
    </row>
    <row r="288">
      <c r="B288" s="30" t="s">
        <v>192</v>
      </c>
      <c r="C288" s="23" t="s">
        <v>276</v>
      </c>
      <c r="D288" s="26" t="s">
        <v>323</v>
      </c>
      <c r="E288" s="17">
        <v>12.0</v>
      </c>
      <c r="F288" s="2">
        <f>VLOOKUP(C288, Material!$E$2:$F$94, 2, FALSE)</f>
        <v>2500</v>
      </c>
      <c r="G288" s="14">
        <f>VLOOKUP(C288, Material!$E$2:$G$94, 3, FALSE)</f>
        <v>1014.550508</v>
      </c>
    </row>
    <row r="289">
      <c r="B289" s="30" t="s">
        <v>192</v>
      </c>
      <c r="C289" s="24" t="s">
        <v>237</v>
      </c>
      <c r="D289" s="26" t="s">
        <v>319</v>
      </c>
      <c r="E289" s="17">
        <v>4.0</v>
      </c>
      <c r="F289" s="2">
        <f>VLOOKUP(C289, Material!$E$2:$F$94, 2, FALSE)</f>
        <v>600</v>
      </c>
      <c r="G289" s="2">
        <f>VLOOKUP(C289, Material!$E$2:$G$94, 3, FALSE)</f>
        <v>500</v>
      </c>
    </row>
    <row r="290">
      <c r="B290" s="30" t="s">
        <v>193</v>
      </c>
      <c r="C290" s="23" t="s">
        <v>249</v>
      </c>
      <c r="D290" s="25">
        <v>2304.0</v>
      </c>
      <c r="E290" s="17">
        <v>4.0</v>
      </c>
      <c r="F290" s="2">
        <f>VLOOKUP(C290, Material!$E$2:$F$94, 2, FALSE)</f>
        <v>7500</v>
      </c>
      <c r="G290" s="14">
        <f>VLOOKUP(C290, Material!$E$2:$G$94, 3, FALSE)</f>
        <v>4148.387119</v>
      </c>
    </row>
    <row r="291">
      <c r="B291" s="30" t="s">
        <v>193</v>
      </c>
      <c r="C291" s="23" t="s">
        <v>277</v>
      </c>
      <c r="D291" s="16" t="s">
        <v>324</v>
      </c>
      <c r="E291" s="17">
        <v>4.0</v>
      </c>
      <c r="F291" s="2">
        <f>VLOOKUP(C291, Material!$E$2:$F$94, 2, FALSE)</f>
        <v>2500</v>
      </c>
      <c r="G291" s="14">
        <f>VLOOKUP(C291, Material!$E$2:$G$94, 3, FALSE)</f>
        <v>1014.550508</v>
      </c>
    </row>
    <row r="292">
      <c r="B292" s="30" t="s">
        <v>193</v>
      </c>
      <c r="C292" s="24" t="s">
        <v>237</v>
      </c>
      <c r="D292" s="16" t="s">
        <v>319</v>
      </c>
      <c r="E292" s="17">
        <v>4.0</v>
      </c>
      <c r="F292" s="2">
        <f>VLOOKUP(C292, Material!$E$2:$F$94, 2, FALSE)</f>
        <v>600</v>
      </c>
      <c r="G292" s="2">
        <f>VLOOKUP(C292, Material!$E$2:$G$94, 3, FALSE)</f>
        <v>500</v>
      </c>
    </row>
    <row r="293">
      <c r="B293" s="30" t="s">
        <v>193</v>
      </c>
      <c r="C293" s="24" t="s">
        <v>269</v>
      </c>
      <c r="D293" s="16" t="s">
        <v>315</v>
      </c>
      <c r="E293" s="17">
        <v>2.0</v>
      </c>
      <c r="F293" s="2">
        <f>VLOOKUP(C293, Material!$E$2:$F$94, 2, FALSE)</f>
        <v>500</v>
      </c>
      <c r="G293" s="2">
        <f>VLOOKUP(C293, Material!$E$2:$G$94, 3, FALSE)</f>
        <v>250</v>
      </c>
    </row>
    <row r="294">
      <c r="B294" s="30" t="s">
        <v>194</v>
      </c>
      <c r="C294" s="23" t="s">
        <v>260</v>
      </c>
      <c r="D294" s="26">
        <v>2326.0</v>
      </c>
      <c r="E294" s="17">
        <v>3.0</v>
      </c>
      <c r="F294" s="2">
        <f>VLOOKUP(C294, Material!$E$2:$F$94, 2, FALSE)</f>
        <v>7500</v>
      </c>
      <c r="G294" s="14">
        <f>VLOOKUP(C294, Material!$E$2:$G$94, 3, FALSE)</f>
        <v>4148.387119</v>
      </c>
    </row>
    <row r="295">
      <c r="B295" s="30" t="s">
        <v>194</v>
      </c>
      <c r="C295" s="23" t="s">
        <v>240</v>
      </c>
      <c r="D295" s="26">
        <v>2307.0</v>
      </c>
      <c r="E295" s="17">
        <v>3.0</v>
      </c>
      <c r="F295" s="2">
        <f>VLOOKUP(C295, Material!$E$2:$F$94, 2, FALSE)</f>
        <v>7500</v>
      </c>
      <c r="G295" s="14">
        <f>VLOOKUP(C295, Material!$E$2:$G$94, 3, FALSE)</f>
        <v>4148.387119</v>
      </c>
    </row>
    <row r="296">
      <c r="B296" s="30" t="s">
        <v>194</v>
      </c>
      <c r="C296" s="20" t="s">
        <v>221</v>
      </c>
      <c r="D296" s="16" t="s">
        <v>298</v>
      </c>
      <c r="E296" s="17">
        <v>2.0</v>
      </c>
      <c r="F296" s="2">
        <f>VLOOKUP(C296, Material!$E$2:$F$94, 2, FALSE)</f>
        <v>1500</v>
      </c>
      <c r="G296" s="14">
        <f>VLOOKUP(C296, Material!$E$2:$G$94, 3, FALSE)</f>
        <v>750</v>
      </c>
    </row>
    <row r="297">
      <c r="B297" s="30" t="s">
        <v>194</v>
      </c>
      <c r="C297" s="18" t="s">
        <v>222</v>
      </c>
      <c r="D297" s="16" t="s">
        <v>299</v>
      </c>
      <c r="E297" s="17">
        <v>2.0</v>
      </c>
      <c r="F297" s="2">
        <f>VLOOKUP(C297, Material!$E$2:$F$94, 2, FALSE)</f>
        <v>500</v>
      </c>
      <c r="G297" s="14">
        <f>VLOOKUP(C297, Material!$E$2:$G$94, 3, FALSE)</f>
        <v>270</v>
      </c>
    </row>
    <row r="298">
      <c r="B298" s="30" t="s">
        <v>194</v>
      </c>
      <c r="C298" s="20" t="s">
        <v>223</v>
      </c>
      <c r="D298" s="16" t="s">
        <v>300</v>
      </c>
      <c r="E298" s="17">
        <v>1.0</v>
      </c>
      <c r="F298" s="2">
        <f>VLOOKUP(C298, Material!$E$2:$F$94, 2, FALSE)</f>
        <v>1500</v>
      </c>
      <c r="G298" s="14">
        <f>VLOOKUP(C298, Material!$E$2:$G$94, 3, FALSE)</f>
        <v>750</v>
      </c>
    </row>
    <row r="299">
      <c r="B299" s="30" t="s">
        <v>194</v>
      </c>
      <c r="C299" s="21" t="s">
        <v>224</v>
      </c>
      <c r="D299" s="22" t="s">
        <v>301</v>
      </c>
      <c r="E299" s="17">
        <v>4.0</v>
      </c>
      <c r="F299" s="2">
        <f>VLOOKUP(C299, Material!$E$2:$F$94, 2, FALSE)</f>
        <v>1000</v>
      </c>
      <c r="G299" s="14">
        <f>VLOOKUP(C299, Material!$E$2:$G$94, 3, FALSE)</f>
        <v>675</v>
      </c>
    </row>
    <row r="300">
      <c r="B300" s="30" t="s">
        <v>194</v>
      </c>
      <c r="C300" s="23" t="s">
        <v>225</v>
      </c>
      <c r="D300" s="22" t="s">
        <v>302</v>
      </c>
      <c r="E300" s="17">
        <v>2.0</v>
      </c>
      <c r="F300" s="2">
        <f>VLOOKUP(C300, Material!$E$2:$F$94, 2, FALSE)</f>
        <v>2500</v>
      </c>
      <c r="G300" s="14">
        <f>VLOOKUP(C300, Material!$E$2:$G$94, 3, FALSE)</f>
        <v>2050</v>
      </c>
    </row>
    <row r="301">
      <c r="B301" s="30" t="s">
        <v>194</v>
      </c>
      <c r="C301" s="24" t="s">
        <v>237</v>
      </c>
      <c r="D301" s="26" t="s">
        <v>319</v>
      </c>
      <c r="E301" s="17">
        <v>2.0</v>
      </c>
      <c r="F301" s="2">
        <f>VLOOKUP(C301, Material!$E$2:$F$94, 2, FALSE)</f>
        <v>600</v>
      </c>
      <c r="G301" s="2">
        <f>VLOOKUP(C301, Material!$E$2:$G$94, 3, FALSE)</f>
        <v>500</v>
      </c>
    </row>
    <row r="302">
      <c r="B302" s="3" t="s">
        <v>194</v>
      </c>
      <c r="C302" s="24" t="s">
        <v>47</v>
      </c>
      <c r="D302" s="26" t="s">
        <v>315</v>
      </c>
      <c r="E302" s="17">
        <v>2.0</v>
      </c>
      <c r="F302" s="2">
        <f>VLOOKUP(C302, Material!$E$2:$F$94, 2, FALSE)</f>
        <v>500</v>
      </c>
      <c r="G302" s="2">
        <f>VLOOKUP(C302, Material!$E$2:$G$94, 3, FALSE)</f>
        <v>250</v>
      </c>
    </row>
    <row r="303">
      <c r="B303" s="30" t="s">
        <v>195</v>
      </c>
      <c r="C303" s="18" t="s">
        <v>278</v>
      </c>
      <c r="D303" s="25" t="s">
        <v>325</v>
      </c>
      <c r="E303" s="17">
        <v>0.0</v>
      </c>
      <c r="F303" s="2">
        <f>VLOOKUP(C303, Material!$E$2:$F$94, 2, FALSE)</f>
        <v>2500</v>
      </c>
      <c r="G303" s="14">
        <f>VLOOKUP(C303, Material!$E$2:$G$94, 3, FALSE)</f>
        <v>1014.550508</v>
      </c>
    </row>
    <row r="304">
      <c r="B304" s="30" t="s">
        <v>196</v>
      </c>
      <c r="C304" s="23" t="s">
        <v>279</v>
      </c>
      <c r="D304" s="31" t="s">
        <v>326</v>
      </c>
      <c r="E304" s="17">
        <v>16.0</v>
      </c>
      <c r="F304" s="2">
        <f>VLOOKUP(C304, Material!$E$2:$F$94, 2, FALSE)</f>
        <v>2500</v>
      </c>
      <c r="G304" s="14">
        <f>VLOOKUP(C304, Material!$E$2:$G$94, 3, FALSE)</f>
        <v>1014.550508</v>
      </c>
    </row>
    <row r="305">
      <c r="B305" s="30" t="s">
        <v>196</v>
      </c>
      <c r="C305" s="23" t="s">
        <v>243</v>
      </c>
      <c r="D305" s="26">
        <v>2324.0</v>
      </c>
      <c r="E305" s="17">
        <v>1.0</v>
      </c>
      <c r="F305" s="2">
        <f>VLOOKUP(C305, Material!$E$2:$F$94, 2, FALSE)</f>
        <v>7500</v>
      </c>
      <c r="G305" s="14">
        <f>VLOOKUP(C305, Material!$E$2:$G$94, 3, FALSE)</f>
        <v>4148.387119</v>
      </c>
    </row>
    <row r="306">
      <c r="B306" s="30" t="s">
        <v>196</v>
      </c>
      <c r="C306" s="24" t="s">
        <v>273</v>
      </c>
      <c r="D306" s="16" t="s">
        <v>315</v>
      </c>
      <c r="E306" s="17">
        <v>2.0</v>
      </c>
      <c r="F306" s="2">
        <f>VLOOKUP(C306, Material!$E$2:$F$94, 2, FALSE)</f>
        <v>500</v>
      </c>
      <c r="G306" s="2">
        <f>VLOOKUP(C306, Material!$E$2:$G$94, 3, FALSE)</f>
        <v>250</v>
      </c>
    </row>
    <row r="307">
      <c r="B307" s="30" t="s">
        <v>196</v>
      </c>
      <c r="C307" s="23" t="s">
        <v>279</v>
      </c>
      <c r="D307" s="31" t="s">
        <v>326</v>
      </c>
      <c r="E307" s="17">
        <v>16.0</v>
      </c>
      <c r="F307" s="2">
        <f>VLOOKUP(C307, Material!$E$2:$F$94, 2, FALSE)</f>
        <v>2500</v>
      </c>
      <c r="G307" s="14">
        <f>VLOOKUP(C307, Material!$E$2:$G$94, 3, FALSE)</f>
        <v>1014.550508</v>
      </c>
    </row>
    <row r="308">
      <c r="B308" s="30" t="s">
        <v>197</v>
      </c>
      <c r="C308" s="23" t="s">
        <v>241</v>
      </c>
      <c r="D308" s="26">
        <v>2313.0</v>
      </c>
      <c r="E308" s="17">
        <v>3.0</v>
      </c>
      <c r="F308" s="2">
        <f>VLOOKUP(C308, Material!$E$2:$F$94, 2, FALSE)</f>
        <v>7500</v>
      </c>
      <c r="G308" s="14">
        <f>VLOOKUP(C308, Material!$E$2:$G$94, 3, FALSE)</f>
        <v>4148.387119</v>
      </c>
    </row>
    <row r="309">
      <c r="B309" s="30" t="s">
        <v>197</v>
      </c>
      <c r="C309" s="23" t="s">
        <v>280</v>
      </c>
      <c r="D309" s="26">
        <v>3865.0</v>
      </c>
      <c r="E309" s="17">
        <v>8.0</v>
      </c>
      <c r="F309" s="2">
        <f>VLOOKUP(C309, Material!$E$2:$F$94, 2, FALSE)</f>
        <v>2000</v>
      </c>
      <c r="G309" s="14">
        <f>VLOOKUP(C309, Material!$E$2:$G$94, 3, FALSE)</f>
        <v>819.5932203</v>
      </c>
    </row>
    <row r="310">
      <c r="B310" s="30" t="s">
        <v>197</v>
      </c>
      <c r="C310" s="24" t="s">
        <v>237</v>
      </c>
      <c r="D310" s="26" t="s">
        <v>319</v>
      </c>
      <c r="E310" s="17">
        <v>3.0</v>
      </c>
      <c r="F310" s="2">
        <f>VLOOKUP(C310, Material!$E$2:$F$94, 2, FALSE)</f>
        <v>600</v>
      </c>
      <c r="G310" s="2">
        <f>VLOOKUP(C310, Material!$E$2:$G$94, 3, FALSE)</f>
        <v>500</v>
      </c>
    </row>
    <row r="311">
      <c r="B311" s="30" t="s">
        <v>197</v>
      </c>
      <c r="C311" s="24" t="s">
        <v>268</v>
      </c>
      <c r="D311" s="26" t="s">
        <v>309</v>
      </c>
      <c r="E311" s="17">
        <v>2.0</v>
      </c>
      <c r="F311" s="2">
        <f>VLOOKUP(C311, Material!$E$2:$F$94, 2, FALSE)</f>
        <v>600</v>
      </c>
      <c r="G311" s="2">
        <f>VLOOKUP(C311, Material!$E$2:$G$94, 3, FALSE)</f>
        <v>500</v>
      </c>
    </row>
    <row r="312">
      <c r="B312" s="30" t="s">
        <v>197</v>
      </c>
      <c r="C312" s="24" t="s">
        <v>172</v>
      </c>
      <c r="D312" s="26" t="s">
        <v>315</v>
      </c>
      <c r="E312" s="17">
        <v>2.0</v>
      </c>
      <c r="F312" s="2">
        <f>VLOOKUP(C312, Material!$E$2:$F$94, 2, FALSE)</f>
        <v>500</v>
      </c>
      <c r="G312" s="2">
        <f>VLOOKUP(C312, Material!$E$2:$G$94, 3, FALSE)</f>
        <v>200</v>
      </c>
    </row>
    <row r="313">
      <c r="B313" s="30" t="s">
        <v>198</v>
      </c>
      <c r="C313" s="23" t="s">
        <v>258</v>
      </c>
      <c r="D313" s="26" t="s">
        <v>327</v>
      </c>
      <c r="E313" s="17">
        <v>6.0</v>
      </c>
      <c r="F313" s="2">
        <f>VLOOKUP(C313, Material!$E$2:$F$94, 2, FALSE)</f>
        <v>2500</v>
      </c>
      <c r="G313" s="14">
        <f>VLOOKUP(C313, Material!$E$2:$G$94, 3, FALSE)</f>
        <v>1014.550508</v>
      </c>
    </row>
    <row r="314">
      <c r="B314" s="30" t="s">
        <v>198</v>
      </c>
      <c r="C314" s="23" t="s">
        <v>241</v>
      </c>
      <c r="D314" s="26">
        <v>2313.0</v>
      </c>
      <c r="E314" s="17">
        <v>4.0</v>
      </c>
      <c r="F314" s="2">
        <f>VLOOKUP(C314, Material!$E$2:$F$94, 2, FALSE)</f>
        <v>7500</v>
      </c>
      <c r="G314" s="14">
        <f>VLOOKUP(C314, Material!$E$2:$G$94, 3, FALSE)</f>
        <v>4148.387119</v>
      </c>
    </row>
    <row r="315">
      <c r="B315" s="30" t="s">
        <v>198</v>
      </c>
      <c r="C315" s="23" t="s">
        <v>248</v>
      </c>
      <c r="D315" s="26">
        <v>2325.0</v>
      </c>
      <c r="E315" s="17">
        <v>2.0</v>
      </c>
      <c r="F315" s="2">
        <f>VLOOKUP(C315, Material!$E$2:$F$94, 2, FALSE)</f>
        <v>7500</v>
      </c>
      <c r="G315" s="14">
        <f>VLOOKUP(C315, Material!$E$2:$G$94, 3, FALSE)</f>
        <v>4148.387119</v>
      </c>
    </row>
    <row r="316">
      <c r="B316" s="30" t="s">
        <v>198</v>
      </c>
      <c r="C316" s="24" t="s">
        <v>268</v>
      </c>
      <c r="D316" s="26" t="s">
        <v>309</v>
      </c>
      <c r="E316" s="17">
        <v>2.0</v>
      </c>
      <c r="F316" s="2">
        <f>VLOOKUP(C316, Material!$E$2:$F$94, 2, FALSE)</f>
        <v>600</v>
      </c>
      <c r="G316" s="2">
        <f>VLOOKUP(C316, Material!$E$2:$G$94, 3, FALSE)</f>
        <v>500</v>
      </c>
    </row>
    <row r="317">
      <c r="B317" s="30" t="s">
        <v>198</v>
      </c>
      <c r="C317" s="24" t="s">
        <v>34</v>
      </c>
      <c r="D317" s="26" t="s">
        <v>315</v>
      </c>
      <c r="E317" s="17">
        <v>2.0</v>
      </c>
      <c r="F317" s="2">
        <f>VLOOKUP(C317, Material!$E$2:$F$94, 2, FALSE)</f>
        <v>500</v>
      </c>
      <c r="G317" s="2">
        <f>VLOOKUP(C317, Material!$E$2:$G$94, 3, FALSE)</f>
        <v>250</v>
      </c>
    </row>
    <row r="318">
      <c r="B318" s="2" t="s">
        <v>105</v>
      </c>
      <c r="C318" s="18" t="s">
        <v>234</v>
      </c>
      <c r="D318" s="26">
        <v>155.0</v>
      </c>
      <c r="E318" s="17">
        <v>12.0</v>
      </c>
      <c r="F318" s="2">
        <f>VLOOKUP(C318, Material!$E$2:$F$94, 2, FALSE)</f>
        <v>1500</v>
      </c>
      <c r="G318" s="14">
        <f>VLOOKUP(C318, Material!$E$2:$G$94, 3, FALSE)</f>
        <v>670.440678</v>
      </c>
    </row>
    <row r="319">
      <c r="B319" s="2" t="s">
        <v>105</v>
      </c>
      <c r="C319" s="20" t="s">
        <v>221</v>
      </c>
      <c r="D319" s="16" t="s">
        <v>298</v>
      </c>
      <c r="E319" s="17">
        <v>2.0</v>
      </c>
      <c r="F319" s="2">
        <f>VLOOKUP(C319, Material!$E$2:$F$94, 2, FALSE)</f>
        <v>1500</v>
      </c>
      <c r="G319" s="14">
        <f>VLOOKUP(C319, Material!$E$2:$G$94, 3, FALSE)</f>
        <v>750</v>
      </c>
    </row>
    <row r="320">
      <c r="B320" s="2" t="s">
        <v>105</v>
      </c>
      <c r="C320" s="18" t="s">
        <v>222</v>
      </c>
      <c r="D320" s="16" t="s">
        <v>299</v>
      </c>
      <c r="E320" s="17">
        <v>2.0</v>
      </c>
      <c r="F320" s="2">
        <f>VLOOKUP(C320, Material!$E$2:$F$94, 2, FALSE)</f>
        <v>500</v>
      </c>
      <c r="G320" s="14">
        <f>VLOOKUP(C320, Material!$E$2:$G$94, 3, FALSE)</f>
        <v>270</v>
      </c>
    </row>
    <row r="321">
      <c r="B321" s="2" t="s">
        <v>105</v>
      </c>
      <c r="C321" s="20" t="s">
        <v>223</v>
      </c>
      <c r="D321" s="16" t="s">
        <v>300</v>
      </c>
      <c r="E321" s="17">
        <v>2.0</v>
      </c>
      <c r="F321" s="2">
        <f>VLOOKUP(C321, Material!$E$2:$F$94, 2, FALSE)</f>
        <v>1500</v>
      </c>
      <c r="G321" s="14">
        <f>VLOOKUP(C321, Material!$E$2:$G$94, 3, FALSE)</f>
        <v>750</v>
      </c>
    </row>
    <row r="322">
      <c r="B322" s="2" t="s">
        <v>105</v>
      </c>
      <c r="C322" s="21" t="s">
        <v>224</v>
      </c>
      <c r="D322" s="22" t="s">
        <v>301</v>
      </c>
      <c r="E322" s="17">
        <v>2.0</v>
      </c>
      <c r="F322" s="2">
        <f>VLOOKUP(C322, Material!$E$2:$F$94, 2, FALSE)</f>
        <v>1000</v>
      </c>
      <c r="G322" s="14">
        <f>VLOOKUP(C322, Material!$E$2:$G$94, 3, FALSE)</f>
        <v>675</v>
      </c>
    </row>
    <row r="323">
      <c r="B323" s="1" t="s">
        <v>105</v>
      </c>
      <c r="C323" s="23" t="s">
        <v>225</v>
      </c>
      <c r="D323" s="22" t="s">
        <v>302</v>
      </c>
      <c r="E323" s="17">
        <v>2.0</v>
      </c>
      <c r="F323" s="2">
        <f>VLOOKUP(C323, Material!$E$2:$F$94, 2, FALSE)</f>
        <v>2500</v>
      </c>
      <c r="G323" s="14">
        <f>VLOOKUP(C323, Material!$E$2:$G$94, 3, FALSE)</f>
        <v>2050</v>
      </c>
    </row>
    <row r="324">
      <c r="B324" s="2" t="s">
        <v>105</v>
      </c>
      <c r="C324" s="6" t="s">
        <v>106</v>
      </c>
      <c r="D324" s="22" t="s">
        <v>308</v>
      </c>
      <c r="E324" s="17">
        <v>2.0</v>
      </c>
      <c r="F324" s="2">
        <f>VLOOKUP(C324, Material!$E$2:$F$94, 2, FALSE)</f>
        <v>1000</v>
      </c>
      <c r="G324" s="2">
        <f>VLOOKUP(C324, Material!$E$2:$G$94, 3, FALSE)</f>
        <v>250</v>
      </c>
    </row>
    <row r="325">
      <c r="B325" s="2" t="s">
        <v>105</v>
      </c>
      <c r="C325" s="1" t="s">
        <v>47</v>
      </c>
      <c r="D325" s="22" t="s">
        <v>307</v>
      </c>
      <c r="E325" s="17">
        <v>2.0</v>
      </c>
      <c r="F325" s="2">
        <f>VLOOKUP(C325, Material!$E$2:$F$94, 2, FALSE)</f>
        <v>500</v>
      </c>
      <c r="G325" s="2">
        <f>VLOOKUP(C325, Material!$E$2:$G$94, 3, FALSE)</f>
        <v>250</v>
      </c>
    </row>
    <row r="326">
      <c r="B326" s="2" t="s">
        <v>108</v>
      </c>
      <c r="C326" s="18" t="s">
        <v>281</v>
      </c>
      <c r="D326" s="32">
        <v>3214.0</v>
      </c>
      <c r="E326" s="17">
        <v>12.0</v>
      </c>
      <c r="F326" s="2">
        <f>VLOOKUP(C326, Material!$E$2:$F$94, 2, FALSE)</f>
        <v>1500</v>
      </c>
      <c r="G326" s="14">
        <f>VLOOKUP(C326, Material!$E$2:$G$94, 3, FALSE)</f>
        <v>595.8644068</v>
      </c>
    </row>
    <row r="327">
      <c r="B327" s="2" t="s">
        <v>108</v>
      </c>
      <c r="C327" s="20" t="s">
        <v>221</v>
      </c>
      <c r="D327" s="16" t="s">
        <v>298</v>
      </c>
      <c r="E327" s="17">
        <v>2.0</v>
      </c>
      <c r="F327" s="2">
        <f>VLOOKUP(C327, Material!$E$2:$F$94, 2, FALSE)</f>
        <v>1500</v>
      </c>
      <c r="G327" s="14">
        <f>VLOOKUP(C327, Material!$E$2:$G$94, 3, FALSE)</f>
        <v>750</v>
      </c>
    </row>
    <row r="328">
      <c r="B328" s="2" t="s">
        <v>108</v>
      </c>
      <c r="C328" s="18" t="s">
        <v>222</v>
      </c>
      <c r="D328" s="16" t="s">
        <v>299</v>
      </c>
      <c r="E328" s="17">
        <v>2.0</v>
      </c>
      <c r="F328" s="2">
        <f>VLOOKUP(C328, Material!$E$2:$F$94, 2, FALSE)</f>
        <v>500</v>
      </c>
      <c r="G328" s="14">
        <f>VLOOKUP(C328, Material!$E$2:$G$94, 3, FALSE)</f>
        <v>270</v>
      </c>
    </row>
    <row r="329">
      <c r="B329" s="2" t="s">
        <v>108</v>
      </c>
      <c r="C329" s="20" t="s">
        <v>223</v>
      </c>
      <c r="D329" s="16" t="s">
        <v>300</v>
      </c>
      <c r="E329" s="17">
        <v>2.0</v>
      </c>
      <c r="F329" s="2">
        <f>VLOOKUP(C329, Material!$E$2:$F$94, 2, FALSE)</f>
        <v>1500</v>
      </c>
      <c r="G329" s="14">
        <f>VLOOKUP(C329, Material!$E$2:$G$94, 3, FALSE)</f>
        <v>750</v>
      </c>
    </row>
    <row r="330">
      <c r="B330" s="2" t="s">
        <v>108</v>
      </c>
      <c r="C330" s="21" t="s">
        <v>224</v>
      </c>
      <c r="D330" s="22" t="s">
        <v>301</v>
      </c>
      <c r="E330" s="17">
        <v>2.0</v>
      </c>
      <c r="F330" s="2">
        <f>VLOOKUP(C330, Material!$E$2:$F$94, 2, FALSE)</f>
        <v>1000</v>
      </c>
      <c r="G330" s="14">
        <f>VLOOKUP(C330, Material!$E$2:$G$94, 3, FALSE)</f>
        <v>675</v>
      </c>
    </row>
    <row r="331">
      <c r="B331" s="1" t="s">
        <v>108</v>
      </c>
      <c r="C331" s="23" t="s">
        <v>225</v>
      </c>
      <c r="D331" s="22" t="s">
        <v>302</v>
      </c>
      <c r="E331" s="17">
        <v>2.0</v>
      </c>
      <c r="F331" s="2">
        <f>VLOOKUP(C331, Material!$E$2:$F$94, 2, FALSE)</f>
        <v>2500</v>
      </c>
      <c r="G331" s="14">
        <f>VLOOKUP(C331, Material!$E$2:$G$94, 3, FALSE)</f>
        <v>2050</v>
      </c>
    </row>
    <row r="332">
      <c r="B332" s="2" t="s">
        <v>108</v>
      </c>
      <c r="C332" s="6" t="s">
        <v>110</v>
      </c>
      <c r="D332" s="22" t="s">
        <v>308</v>
      </c>
      <c r="E332" s="17">
        <v>2.0</v>
      </c>
      <c r="F332" s="2">
        <f>VLOOKUP(C332, Material!$E$2:$F$94, 2, FALSE)</f>
        <v>1000</v>
      </c>
      <c r="G332" s="2">
        <f>VLOOKUP(C332, Material!$E$2:$G$94, 3, FALSE)</f>
        <v>250</v>
      </c>
    </row>
    <row r="333">
      <c r="B333" s="2" t="s">
        <v>108</v>
      </c>
      <c r="C333" s="1" t="s">
        <v>47</v>
      </c>
      <c r="D333" s="22" t="s">
        <v>307</v>
      </c>
      <c r="E333" s="17">
        <v>2.0</v>
      </c>
      <c r="F333" s="2">
        <f>VLOOKUP(C333, Material!$E$2:$F$94, 2, FALSE)</f>
        <v>500</v>
      </c>
      <c r="G333" s="2">
        <f>VLOOKUP(C333, Material!$E$2:$G$94, 3, FALSE)</f>
        <v>250</v>
      </c>
    </row>
    <row r="334">
      <c r="B334" s="2" t="s">
        <v>112</v>
      </c>
      <c r="C334" s="18" t="s">
        <v>282</v>
      </c>
      <c r="D334" s="17">
        <v>4598.0</v>
      </c>
      <c r="E334" s="17">
        <v>10.0</v>
      </c>
      <c r="F334" s="2">
        <f>VLOOKUP(C334, Material!$E$2:$F$94, 2, FALSE)</f>
        <v>2000</v>
      </c>
      <c r="G334" s="14">
        <f>VLOOKUP(C334, Material!$E$2:$G$94, 3, FALSE)</f>
        <v>948.4745763</v>
      </c>
    </row>
    <row r="335">
      <c r="B335" s="2" t="s">
        <v>112</v>
      </c>
      <c r="C335" s="20" t="s">
        <v>221</v>
      </c>
      <c r="D335" s="16" t="s">
        <v>298</v>
      </c>
      <c r="E335" s="17">
        <v>2.0</v>
      </c>
      <c r="F335" s="2">
        <f>VLOOKUP(C335, Material!$E$2:$F$94, 2, FALSE)</f>
        <v>1500</v>
      </c>
      <c r="G335" s="14">
        <f>VLOOKUP(C335, Material!$E$2:$G$94, 3, FALSE)</f>
        <v>750</v>
      </c>
    </row>
    <row r="336">
      <c r="B336" s="2" t="s">
        <v>112</v>
      </c>
      <c r="C336" s="18" t="s">
        <v>222</v>
      </c>
      <c r="D336" s="16" t="s">
        <v>299</v>
      </c>
      <c r="E336" s="17">
        <v>2.0</v>
      </c>
      <c r="F336" s="2">
        <f>VLOOKUP(C336, Material!$E$2:$F$94, 2, FALSE)</f>
        <v>500</v>
      </c>
      <c r="G336" s="14">
        <f>VLOOKUP(C336, Material!$E$2:$G$94, 3, FALSE)</f>
        <v>270</v>
      </c>
    </row>
    <row r="337">
      <c r="B337" s="2" t="s">
        <v>112</v>
      </c>
      <c r="C337" s="20" t="s">
        <v>223</v>
      </c>
      <c r="D337" s="16" t="s">
        <v>300</v>
      </c>
      <c r="E337" s="17">
        <v>2.0</v>
      </c>
      <c r="F337" s="2">
        <f>VLOOKUP(C337, Material!$E$2:$F$94, 2, FALSE)</f>
        <v>1500</v>
      </c>
      <c r="G337" s="14">
        <f>VLOOKUP(C337, Material!$E$2:$G$94, 3, FALSE)</f>
        <v>750</v>
      </c>
    </row>
    <row r="338">
      <c r="B338" s="2" t="s">
        <v>112</v>
      </c>
      <c r="C338" s="21" t="s">
        <v>224</v>
      </c>
      <c r="D338" s="22" t="s">
        <v>301</v>
      </c>
      <c r="E338" s="17">
        <v>2.0</v>
      </c>
      <c r="F338" s="2">
        <f>VLOOKUP(C338, Material!$E$2:$F$94, 2, FALSE)</f>
        <v>1000</v>
      </c>
      <c r="G338" s="14">
        <f>VLOOKUP(C338, Material!$E$2:$G$94, 3, FALSE)</f>
        <v>675</v>
      </c>
    </row>
    <row r="339">
      <c r="B339" s="1" t="s">
        <v>112</v>
      </c>
      <c r="C339" s="23" t="s">
        <v>225</v>
      </c>
      <c r="D339" s="22" t="s">
        <v>302</v>
      </c>
      <c r="E339" s="17">
        <v>2.0</v>
      </c>
      <c r="F339" s="2">
        <f>VLOOKUP(C339, Material!$E$2:$F$94, 2, FALSE)</f>
        <v>2500</v>
      </c>
      <c r="G339" s="14">
        <f>VLOOKUP(C339, Material!$E$2:$G$94, 3, FALSE)</f>
        <v>2050</v>
      </c>
    </row>
    <row r="340">
      <c r="B340" s="2" t="s">
        <v>112</v>
      </c>
      <c r="C340" s="5" t="s">
        <v>38</v>
      </c>
      <c r="D340" s="22" t="s">
        <v>305</v>
      </c>
      <c r="E340" s="17">
        <v>2.0</v>
      </c>
      <c r="F340" s="2">
        <f>VLOOKUP(C340, Material!$E$2:$F$94, 2, FALSE)</f>
        <v>1000</v>
      </c>
      <c r="G340" s="2">
        <f>VLOOKUP(C340, Material!$E$2:$G$94, 3, FALSE)</f>
        <v>250</v>
      </c>
    </row>
    <row r="341">
      <c r="B341" s="2" t="s">
        <v>112</v>
      </c>
      <c r="C341" s="1" t="s">
        <v>34</v>
      </c>
      <c r="D341" s="22" t="s">
        <v>304</v>
      </c>
      <c r="E341" s="17">
        <v>2.0</v>
      </c>
      <c r="F341" s="2">
        <f>VLOOKUP(C341, Material!$E$2:$F$94, 2, FALSE)</f>
        <v>500</v>
      </c>
      <c r="G341" s="2">
        <f>VLOOKUP(C341, Material!$E$2:$G$94, 3, FALSE)</f>
        <v>250</v>
      </c>
    </row>
    <row r="342">
      <c r="B342" s="1" t="s">
        <v>114</v>
      </c>
      <c r="C342" s="18" t="s">
        <v>280</v>
      </c>
      <c r="D342" s="17">
        <v>3865.0</v>
      </c>
      <c r="E342" s="17">
        <v>10.0</v>
      </c>
      <c r="F342" s="2">
        <f>VLOOKUP(C342, Material!$E$2:$F$94, 2, FALSE)</f>
        <v>2000</v>
      </c>
      <c r="G342" s="14">
        <f>VLOOKUP(C342, Material!$E$2:$G$94, 3, FALSE)</f>
        <v>819.5932203</v>
      </c>
    </row>
    <row r="343">
      <c r="B343" s="1" t="s">
        <v>114</v>
      </c>
      <c r="C343" s="20" t="s">
        <v>221</v>
      </c>
      <c r="D343" s="16" t="s">
        <v>298</v>
      </c>
      <c r="E343" s="17">
        <v>2.0</v>
      </c>
      <c r="F343" s="2">
        <f>VLOOKUP(C343, Material!$E$2:$F$94, 2, FALSE)</f>
        <v>1500</v>
      </c>
      <c r="G343" s="14">
        <f>VLOOKUP(C343, Material!$E$2:$G$94, 3, FALSE)</f>
        <v>750</v>
      </c>
    </row>
    <row r="344">
      <c r="B344" s="1" t="s">
        <v>114</v>
      </c>
      <c r="C344" s="18" t="s">
        <v>222</v>
      </c>
      <c r="D344" s="16" t="s">
        <v>299</v>
      </c>
      <c r="E344" s="17">
        <v>2.0</v>
      </c>
      <c r="F344" s="2">
        <f>VLOOKUP(C344, Material!$E$2:$F$94, 2, FALSE)</f>
        <v>500</v>
      </c>
      <c r="G344" s="14">
        <f>VLOOKUP(C344, Material!$E$2:$G$94, 3, FALSE)</f>
        <v>270</v>
      </c>
    </row>
    <row r="345">
      <c r="B345" s="1" t="s">
        <v>114</v>
      </c>
      <c r="C345" s="20" t="s">
        <v>223</v>
      </c>
      <c r="D345" s="16" t="s">
        <v>300</v>
      </c>
      <c r="E345" s="17">
        <v>2.0</v>
      </c>
      <c r="F345" s="2">
        <f>VLOOKUP(C345, Material!$E$2:$F$94, 2, FALSE)</f>
        <v>1500</v>
      </c>
      <c r="G345" s="14">
        <f>VLOOKUP(C345, Material!$E$2:$G$94, 3, FALSE)</f>
        <v>750</v>
      </c>
    </row>
    <row r="346">
      <c r="B346" s="1" t="s">
        <v>114</v>
      </c>
      <c r="C346" s="21" t="s">
        <v>224</v>
      </c>
      <c r="D346" s="22" t="s">
        <v>301</v>
      </c>
      <c r="E346" s="17">
        <v>2.0</v>
      </c>
      <c r="F346" s="2">
        <f>VLOOKUP(C346, Material!$E$2:$F$94, 2, FALSE)</f>
        <v>1000</v>
      </c>
      <c r="G346" s="14">
        <f>VLOOKUP(C346, Material!$E$2:$G$94, 3, FALSE)</f>
        <v>675</v>
      </c>
    </row>
    <row r="347">
      <c r="B347" s="1" t="s">
        <v>114</v>
      </c>
      <c r="C347" s="23" t="s">
        <v>225</v>
      </c>
      <c r="D347" s="22" t="s">
        <v>302</v>
      </c>
      <c r="E347" s="17">
        <v>2.0</v>
      </c>
      <c r="F347" s="2">
        <f>VLOOKUP(C347, Material!$E$2:$F$94, 2, FALSE)</f>
        <v>2500</v>
      </c>
      <c r="G347" s="14">
        <f>VLOOKUP(C347, Material!$E$2:$G$94, 3, FALSE)</f>
        <v>2050</v>
      </c>
    </row>
    <row r="348">
      <c r="B348" s="1" t="s">
        <v>114</v>
      </c>
      <c r="C348" s="5" t="s">
        <v>115</v>
      </c>
      <c r="D348" s="22" t="s">
        <v>305</v>
      </c>
      <c r="E348" s="17">
        <v>2.0</v>
      </c>
      <c r="F348" s="2">
        <f>VLOOKUP(C348, Material!$E$2:$F$94, 2, FALSE)</f>
        <v>1000</v>
      </c>
      <c r="G348" s="2">
        <f>VLOOKUP(C348, Material!$E$2:$G$94, 3, FALSE)</f>
        <v>250</v>
      </c>
    </row>
    <row r="349">
      <c r="B349" s="1" t="s">
        <v>114</v>
      </c>
      <c r="C349" s="1" t="s">
        <v>34</v>
      </c>
      <c r="D349" s="22" t="s">
        <v>304</v>
      </c>
      <c r="E349" s="17">
        <v>2.0</v>
      </c>
      <c r="F349" s="2">
        <f>VLOOKUP(C349, Material!$E$2:$F$94, 2, FALSE)</f>
        <v>500</v>
      </c>
      <c r="G349" s="2">
        <f>VLOOKUP(C349, Material!$E$2:$G$94, 3, FALSE)</f>
        <v>250</v>
      </c>
    </row>
    <row r="350">
      <c r="B350" s="2" t="s">
        <v>118</v>
      </c>
      <c r="C350" s="18" t="s">
        <v>240</v>
      </c>
      <c r="D350" s="17">
        <v>2307.0</v>
      </c>
      <c r="E350" s="17">
        <v>3.0</v>
      </c>
      <c r="F350" s="2">
        <f>VLOOKUP(C350, Material!$E$2:$F$94, 2, FALSE)</f>
        <v>7500</v>
      </c>
      <c r="G350" s="14">
        <f>VLOOKUP(C350, Material!$E$2:$G$94, 3, FALSE)</f>
        <v>4148.387119</v>
      </c>
    </row>
    <row r="351">
      <c r="B351" s="2" t="s">
        <v>118</v>
      </c>
      <c r="C351" s="1" t="s">
        <v>119</v>
      </c>
      <c r="D351" s="17" t="s">
        <v>322</v>
      </c>
      <c r="E351" s="17">
        <v>2.0</v>
      </c>
      <c r="F351" s="2">
        <f>VLOOKUP(C351, Material!$E$2:$F$94, 2, FALSE)</f>
        <v>500</v>
      </c>
      <c r="G351" s="2">
        <f>VLOOKUP(C351, Material!$E$2:$G$94, 3, FALSE)</f>
        <v>250</v>
      </c>
    </row>
    <row r="352">
      <c r="B352" s="2" t="s">
        <v>118</v>
      </c>
      <c r="C352" s="24" t="s">
        <v>268</v>
      </c>
      <c r="D352" s="17" t="s">
        <v>318</v>
      </c>
      <c r="E352" s="17">
        <v>2.0</v>
      </c>
      <c r="F352" s="2">
        <f>VLOOKUP(C352, Material!$E$2:$F$94, 2, FALSE)</f>
        <v>600</v>
      </c>
      <c r="G352" s="2">
        <f>VLOOKUP(C352, Material!$E$2:$G$94, 3, FALSE)</f>
        <v>500</v>
      </c>
    </row>
    <row r="353">
      <c r="B353" s="2" t="s">
        <v>118</v>
      </c>
      <c r="C353" s="9" t="s">
        <v>126</v>
      </c>
      <c r="D353" s="17" t="s">
        <v>11</v>
      </c>
      <c r="E353" s="17">
        <v>3.0</v>
      </c>
      <c r="F353" s="2">
        <f>VLOOKUP(C353, Material!$E$2:$F$94, 2, FALSE)</f>
        <v>1000</v>
      </c>
      <c r="G353" s="2">
        <f>VLOOKUP(C353, Material!$E$2:$G$94, 3, FALSE)</f>
        <v>250</v>
      </c>
    </row>
    <row r="354">
      <c r="B354" s="2" t="s">
        <v>121</v>
      </c>
      <c r="C354" s="18" t="s">
        <v>241</v>
      </c>
      <c r="D354" s="17">
        <v>2313.0</v>
      </c>
      <c r="E354" s="17">
        <v>3.0</v>
      </c>
      <c r="F354" s="2">
        <f>VLOOKUP(C354, Material!$E$2:$F$94, 2, FALSE)</f>
        <v>7500</v>
      </c>
      <c r="G354" s="14">
        <f>VLOOKUP(C354, Material!$E$2:$G$94, 3, FALSE)</f>
        <v>4148.387119</v>
      </c>
    </row>
    <row r="355">
      <c r="B355" s="2" t="s">
        <v>121</v>
      </c>
      <c r="C355" s="1" t="s">
        <v>34</v>
      </c>
      <c r="D355" s="17" t="s">
        <v>304</v>
      </c>
      <c r="E355" s="17">
        <v>2.0</v>
      </c>
      <c r="F355" s="2">
        <f>VLOOKUP(C355, Material!$E$2:$F$94, 2, FALSE)</f>
        <v>500</v>
      </c>
      <c r="G355" s="2">
        <f>VLOOKUP(C355, Material!$E$2:$G$94, 3, FALSE)</f>
        <v>250</v>
      </c>
    </row>
    <row r="356">
      <c r="B356" s="2" t="s">
        <v>121</v>
      </c>
      <c r="C356" s="24" t="s">
        <v>268</v>
      </c>
      <c r="D356" s="17" t="s">
        <v>318</v>
      </c>
      <c r="E356" s="17">
        <v>2.0</v>
      </c>
      <c r="F356" s="2">
        <f>VLOOKUP(C356, Material!$E$2:$F$94, 2, FALSE)</f>
        <v>600</v>
      </c>
      <c r="G356" s="2">
        <f>VLOOKUP(C356, Material!$E$2:$G$94, 3, FALSE)</f>
        <v>500</v>
      </c>
    </row>
    <row r="357">
      <c r="B357" s="2" t="s">
        <v>121</v>
      </c>
      <c r="C357" s="9" t="s">
        <v>61</v>
      </c>
      <c r="D357" s="17" t="s">
        <v>11</v>
      </c>
      <c r="E357" s="17">
        <v>3.0</v>
      </c>
      <c r="F357" s="2">
        <f>VLOOKUP(C357, Material!$E$2:$F$94, 2, FALSE)</f>
        <v>1000</v>
      </c>
      <c r="G357" s="2">
        <f>VLOOKUP(C357, Material!$E$2:$G$94, 3, FALSE)</f>
        <v>250</v>
      </c>
    </row>
    <row r="358">
      <c r="B358" s="2" t="s">
        <v>125</v>
      </c>
      <c r="C358" s="18" t="s">
        <v>274</v>
      </c>
      <c r="D358" s="17">
        <v>5514.0</v>
      </c>
      <c r="E358" s="17">
        <v>20.0</v>
      </c>
      <c r="F358" s="2">
        <f>VLOOKUP(C358, Material!$E$2:$F$94, 2, FALSE)</f>
        <v>1500</v>
      </c>
      <c r="G358" s="14">
        <f>VLOOKUP(C358, Material!$E$2:$G$94, 3, FALSE)</f>
        <v>595.8644068</v>
      </c>
    </row>
    <row r="359">
      <c r="B359" s="2" t="s">
        <v>125</v>
      </c>
      <c r="C359" s="20" t="s">
        <v>221</v>
      </c>
      <c r="D359" s="16" t="s">
        <v>298</v>
      </c>
      <c r="E359" s="17">
        <v>1.0</v>
      </c>
      <c r="F359" s="2">
        <f>VLOOKUP(C359, Material!$E$2:$F$94, 2, FALSE)</f>
        <v>1500</v>
      </c>
      <c r="G359" s="14">
        <f>VLOOKUP(C359, Material!$E$2:$G$94, 3, FALSE)</f>
        <v>750</v>
      </c>
    </row>
    <row r="360">
      <c r="B360" s="2" t="s">
        <v>125</v>
      </c>
      <c r="C360" s="18" t="s">
        <v>222</v>
      </c>
      <c r="D360" s="16" t="s">
        <v>299</v>
      </c>
      <c r="E360" s="17">
        <v>1.0</v>
      </c>
      <c r="F360" s="2">
        <f>VLOOKUP(C360, Material!$E$2:$F$94, 2, FALSE)</f>
        <v>500</v>
      </c>
      <c r="G360" s="14">
        <f>VLOOKUP(C360, Material!$E$2:$G$94, 3, FALSE)</f>
        <v>270</v>
      </c>
    </row>
    <row r="361">
      <c r="B361" s="2" t="s">
        <v>125</v>
      </c>
      <c r="C361" s="20" t="s">
        <v>223</v>
      </c>
      <c r="D361" s="16" t="s">
        <v>300</v>
      </c>
      <c r="E361" s="17">
        <v>1.0</v>
      </c>
      <c r="F361" s="2">
        <f>VLOOKUP(C361, Material!$E$2:$F$94, 2, FALSE)</f>
        <v>1500</v>
      </c>
      <c r="G361" s="14">
        <f>VLOOKUP(C361, Material!$E$2:$G$94, 3, FALSE)</f>
        <v>750</v>
      </c>
    </row>
    <row r="362">
      <c r="B362" s="2" t="s">
        <v>125</v>
      </c>
      <c r="C362" s="21" t="s">
        <v>224</v>
      </c>
      <c r="D362" s="22" t="s">
        <v>301</v>
      </c>
      <c r="E362" s="17">
        <v>2.0</v>
      </c>
      <c r="F362" s="2">
        <f>VLOOKUP(C362, Material!$E$2:$F$94, 2, FALSE)</f>
        <v>1000</v>
      </c>
      <c r="G362" s="14">
        <f>VLOOKUP(C362, Material!$E$2:$G$94, 3, FALSE)</f>
        <v>675</v>
      </c>
    </row>
    <row r="363">
      <c r="B363" s="1" t="s">
        <v>125</v>
      </c>
      <c r="C363" s="23" t="s">
        <v>225</v>
      </c>
      <c r="D363" s="22" t="s">
        <v>302</v>
      </c>
      <c r="E363" s="17">
        <v>2.0</v>
      </c>
      <c r="F363" s="2">
        <f>VLOOKUP(C363, Material!$E$2:$F$94, 2, FALSE)</f>
        <v>2500</v>
      </c>
      <c r="G363" s="14">
        <f>VLOOKUP(C363, Material!$E$2:$G$94, 3, FALSE)</f>
        <v>2050</v>
      </c>
    </row>
    <row r="364">
      <c r="B364" s="2" t="s">
        <v>125</v>
      </c>
      <c r="C364" s="5" t="s">
        <v>56</v>
      </c>
      <c r="D364" s="22" t="s">
        <v>305</v>
      </c>
      <c r="E364" s="17">
        <v>1.0</v>
      </c>
      <c r="F364" s="2">
        <f>VLOOKUP(C364, Material!$E$2:$F$94, 2, FALSE)</f>
        <v>1000</v>
      </c>
      <c r="G364" s="2">
        <f>VLOOKUP(C364, Material!$E$2:$G$94, 3, FALSE)</f>
        <v>250</v>
      </c>
    </row>
    <row r="365">
      <c r="B365" s="2" t="s">
        <v>125</v>
      </c>
      <c r="C365" s="6" t="s">
        <v>106</v>
      </c>
      <c r="D365" s="22" t="s">
        <v>308</v>
      </c>
      <c r="E365" s="17">
        <v>1.0</v>
      </c>
      <c r="F365" s="2">
        <f>VLOOKUP(C365, Material!$E$2:$F$94, 2, FALSE)</f>
        <v>1000</v>
      </c>
      <c r="G365" s="2">
        <f>VLOOKUP(C365, Material!$E$2:$G$94, 3, FALSE)</f>
        <v>250</v>
      </c>
    </row>
    <row r="366">
      <c r="B366" s="2" t="s">
        <v>125</v>
      </c>
      <c r="C366" s="9" t="s">
        <v>126</v>
      </c>
      <c r="D366" s="22" t="s">
        <v>11</v>
      </c>
      <c r="E366" s="17">
        <v>1.0</v>
      </c>
      <c r="F366" s="2">
        <f>VLOOKUP(C366, Material!$E$2:$F$94, 2, FALSE)</f>
        <v>1000</v>
      </c>
      <c r="G366" s="2">
        <f>VLOOKUP(C366, Material!$E$2:$G$94, 3, FALSE)</f>
        <v>250</v>
      </c>
    </row>
    <row r="367">
      <c r="B367" s="2" t="s">
        <v>125</v>
      </c>
      <c r="C367" s="1" t="s">
        <v>119</v>
      </c>
      <c r="D367" s="22" t="s">
        <v>322</v>
      </c>
      <c r="E367" s="17">
        <v>2.0</v>
      </c>
      <c r="F367" s="2">
        <f>VLOOKUP(C367, Material!$E$2:$F$94, 2, FALSE)</f>
        <v>500</v>
      </c>
      <c r="G367" s="2">
        <f>VLOOKUP(C367, Material!$E$2:$G$94, 3, FALSE)</f>
        <v>250</v>
      </c>
    </row>
    <row r="368">
      <c r="B368" s="1" t="s">
        <v>128</v>
      </c>
      <c r="C368" s="5" t="s">
        <v>56</v>
      </c>
      <c r="D368" s="22" t="s">
        <v>305</v>
      </c>
      <c r="E368" s="17">
        <v>1.0</v>
      </c>
      <c r="F368" s="2">
        <f>VLOOKUP(C368, Material!$E$2:$F$94, 2, FALSE)</f>
        <v>1000</v>
      </c>
      <c r="G368" s="2">
        <f>VLOOKUP(C368, Material!$E$2:$G$94, 3, FALSE)</f>
        <v>250</v>
      </c>
    </row>
    <row r="369">
      <c r="B369" s="1" t="s">
        <v>128</v>
      </c>
      <c r="C369" s="6" t="s">
        <v>106</v>
      </c>
      <c r="D369" s="22" t="s">
        <v>308</v>
      </c>
      <c r="E369" s="17">
        <v>1.0</v>
      </c>
      <c r="F369" s="2">
        <f>VLOOKUP(C369, Material!$E$2:$F$94, 2, FALSE)</f>
        <v>1000</v>
      </c>
      <c r="G369" s="2">
        <f>VLOOKUP(C369, Material!$E$2:$G$94, 3, FALSE)</f>
        <v>250</v>
      </c>
    </row>
    <row r="370">
      <c r="B370" s="1" t="s">
        <v>128</v>
      </c>
      <c r="C370" s="9" t="s">
        <v>126</v>
      </c>
      <c r="D370" s="22" t="s">
        <v>11</v>
      </c>
      <c r="E370" s="17">
        <v>1.0</v>
      </c>
      <c r="F370" s="2">
        <f>VLOOKUP(C370, Material!$E$2:$F$94, 2, FALSE)</f>
        <v>1000</v>
      </c>
      <c r="G370" s="2">
        <f>VLOOKUP(C370, Material!$E$2:$G$94, 3, FALSE)</f>
        <v>250</v>
      </c>
    </row>
    <row r="371">
      <c r="B371" s="1" t="s">
        <v>128</v>
      </c>
      <c r="C371" s="1" t="s">
        <v>42</v>
      </c>
      <c r="D371" s="22" t="s">
        <v>306</v>
      </c>
      <c r="E371" s="17">
        <v>2.0</v>
      </c>
      <c r="F371" s="2">
        <f>VLOOKUP(C371, Material!$E$2:$F$94, 2, FALSE)</f>
        <v>500</v>
      </c>
      <c r="G371" s="2">
        <f>VLOOKUP(C371, Material!$E$2:$G$94, 3, FALSE)</f>
        <v>250</v>
      </c>
    </row>
    <row r="372">
      <c r="B372" s="1" t="s">
        <v>138</v>
      </c>
      <c r="C372" s="23" t="s">
        <v>238</v>
      </c>
      <c r="D372" s="22">
        <v>2327.0</v>
      </c>
      <c r="E372" s="17">
        <v>3.0</v>
      </c>
      <c r="F372" s="2">
        <f>VLOOKUP(C372, Material!$E$2:$F$94, 2, FALSE)</f>
        <v>7500</v>
      </c>
      <c r="G372" s="14">
        <f>VLOOKUP(C372, Material!$E$2:$G$94, 3, FALSE)</f>
        <v>4148.387119</v>
      </c>
    </row>
    <row r="373">
      <c r="B373" s="1" t="s">
        <v>138</v>
      </c>
      <c r="C373" s="23" t="s">
        <v>239</v>
      </c>
      <c r="D373" s="22">
        <v>2314.0</v>
      </c>
      <c r="E373" s="17">
        <v>2.0</v>
      </c>
      <c r="F373" s="2">
        <f>VLOOKUP(C373, Material!$E$2:$F$94, 2, FALSE)</f>
        <v>7500</v>
      </c>
      <c r="G373" s="14">
        <f>VLOOKUP(C373, Material!$E$2:$G$94, 3, FALSE)</f>
        <v>4148.387119</v>
      </c>
    </row>
    <row r="374">
      <c r="B374" s="1" t="s">
        <v>138</v>
      </c>
      <c r="C374" s="6" t="s">
        <v>106</v>
      </c>
      <c r="D374" s="22" t="s">
        <v>308</v>
      </c>
      <c r="E374" s="17">
        <v>2.0</v>
      </c>
      <c r="F374" s="2">
        <f>VLOOKUP(C374, Material!$E$2:$F$94, 2, FALSE)</f>
        <v>1000</v>
      </c>
      <c r="G374" s="2">
        <f>VLOOKUP(C374, Material!$E$2:$G$94, 3, FALSE)</f>
        <v>250</v>
      </c>
    </row>
    <row r="375">
      <c r="B375" s="1" t="s">
        <v>140</v>
      </c>
      <c r="C375" s="23" t="s">
        <v>283</v>
      </c>
      <c r="D375" s="16">
        <v>5662.0</v>
      </c>
      <c r="E375" s="17">
        <v>20.0</v>
      </c>
      <c r="F375" s="2">
        <f>VLOOKUP(C375, Material!$E$2:$F$94, 2, FALSE)</f>
        <v>1500</v>
      </c>
      <c r="G375" s="14">
        <f>VLOOKUP(C375, Material!$E$2:$G$94, 3, FALSE)</f>
        <v>609.4915254</v>
      </c>
    </row>
    <row r="376">
      <c r="B376" s="1" t="s">
        <v>140</v>
      </c>
      <c r="C376" s="23" t="s">
        <v>260</v>
      </c>
      <c r="D376" s="16">
        <v>2326.0</v>
      </c>
      <c r="E376" s="17">
        <v>5.0</v>
      </c>
      <c r="F376" s="2">
        <f>VLOOKUP(C376, Material!$E$2:$F$94, 2, FALSE)</f>
        <v>7500</v>
      </c>
      <c r="G376" s="14">
        <f>VLOOKUP(C376, Material!$E$2:$G$94, 3, FALSE)</f>
        <v>4148.387119</v>
      </c>
    </row>
    <row r="377">
      <c r="B377" s="1" t="s">
        <v>140</v>
      </c>
      <c r="C377" s="29" t="s">
        <v>126</v>
      </c>
      <c r="D377" s="16" t="s">
        <v>11</v>
      </c>
      <c r="E377" s="17">
        <v>1.0</v>
      </c>
      <c r="F377" s="2">
        <f>VLOOKUP(C377, Material!$E$2:$F$94, 2, FALSE)</f>
        <v>1000</v>
      </c>
      <c r="G377" s="2">
        <f>VLOOKUP(C377, Material!$E$2:$G$94, 3, FALSE)</f>
        <v>250</v>
      </c>
    </row>
    <row r="378">
      <c r="B378" s="1" t="s">
        <v>140</v>
      </c>
      <c r="C378" s="29" t="s">
        <v>284</v>
      </c>
      <c r="D378" s="16" t="s">
        <v>11</v>
      </c>
      <c r="E378" s="17">
        <v>1.0</v>
      </c>
      <c r="F378" s="2">
        <f>VLOOKUP(C378, Material!$E$2:$F$94, 2, FALSE)</f>
        <v>1000</v>
      </c>
      <c r="G378" s="2">
        <f>VLOOKUP(C378, Material!$E$2:$G$94, 3, FALSE)</f>
        <v>250</v>
      </c>
    </row>
    <row r="379">
      <c r="B379" s="1" t="s">
        <v>140</v>
      </c>
      <c r="C379" s="24" t="s">
        <v>237</v>
      </c>
      <c r="D379" s="16" t="s">
        <v>319</v>
      </c>
      <c r="E379" s="17">
        <v>2.0</v>
      </c>
      <c r="F379" s="2">
        <f>VLOOKUP(C379, Material!$E$2:$F$94, 2, FALSE)</f>
        <v>600</v>
      </c>
      <c r="G379" s="2">
        <f>VLOOKUP(C379, Material!$E$2:$G$94, 3, FALSE)</f>
        <v>500</v>
      </c>
    </row>
    <row r="380">
      <c r="B380" s="1" t="s">
        <v>140</v>
      </c>
      <c r="C380" s="24" t="s">
        <v>30</v>
      </c>
      <c r="D380" s="16" t="s">
        <v>303</v>
      </c>
      <c r="E380" s="17">
        <v>2.0</v>
      </c>
      <c r="F380" s="2">
        <f>VLOOKUP(C380, Material!$E$2:$F$94, 2, FALSE)</f>
        <v>500</v>
      </c>
      <c r="G380" s="2">
        <f>VLOOKUP(C380, Material!$E$2:$G$94, 3, FALSE)</f>
        <v>250</v>
      </c>
    </row>
    <row r="381">
      <c r="B381" s="1" t="s">
        <v>142</v>
      </c>
      <c r="C381" s="23" t="s">
        <v>253</v>
      </c>
      <c r="D381" s="26">
        <v>3851.0</v>
      </c>
      <c r="E381" s="17">
        <v>4.0</v>
      </c>
      <c r="F381" s="2">
        <f>VLOOKUP(C381, Material!$E$2:$F$94, 2, FALSE)</f>
        <v>1500</v>
      </c>
      <c r="G381" s="14">
        <f>VLOOKUP(C381, Material!$E$2:$G$94, 3, FALSE)</f>
        <v>648.8050847</v>
      </c>
    </row>
    <row r="382">
      <c r="B382" s="1" t="s">
        <v>142</v>
      </c>
      <c r="C382" s="23" t="s">
        <v>249</v>
      </c>
      <c r="D382" s="16">
        <v>2304.0</v>
      </c>
      <c r="E382" s="17">
        <v>3.0</v>
      </c>
      <c r="F382" s="2">
        <f>VLOOKUP(C382, Material!$E$2:$F$94, 2, FALSE)</f>
        <v>7500</v>
      </c>
      <c r="G382" s="14">
        <f>VLOOKUP(C382, Material!$E$2:$G$94, 3, FALSE)</f>
        <v>4148.387119</v>
      </c>
    </row>
    <row r="383">
      <c r="B383" s="1" t="s">
        <v>142</v>
      </c>
      <c r="C383" s="24" t="s">
        <v>268</v>
      </c>
      <c r="D383" s="16" t="s">
        <v>318</v>
      </c>
      <c r="E383" s="17">
        <v>2.0</v>
      </c>
      <c r="F383" s="2">
        <f>VLOOKUP(C383, Material!$E$2:$F$94, 2, FALSE)</f>
        <v>600</v>
      </c>
      <c r="G383" s="2">
        <f>VLOOKUP(C383, Material!$E$2:$G$94, 3, FALSE)</f>
        <v>500</v>
      </c>
    </row>
    <row r="384">
      <c r="B384" s="1" t="s">
        <v>142</v>
      </c>
      <c r="C384" s="27" t="s">
        <v>106</v>
      </c>
      <c r="D384" s="16" t="s">
        <v>308</v>
      </c>
      <c r="E384" s="17">
        <v>2.0</v>
      </c>
      <c r="F384" s="2">
        <f>VLOOKUP(C384, Material!$E$2:$F$94, 2, FALSE)</f>
        <v>1000</v>
      </c>
      <c r="G384" s="2">
        <f>VLOOKUP(C384, Material!$E$2:$G$94, 3, FALSE)</f>
        <v>250</v>
      </c>
    </row>
    <row r="385">
      <c r="B385" s="1" t="s">
        <v>145</v>
      </c>
      <c r="C385" s="23" t="s">
        <v>243</v>
      </c>
      <c r="D385" s="33" t="s">
        <v>328</v>
      </c>
      <c r="E385" s="17">
        <v>1.0</v>
      </c>
      <c r="F385" s="2">
        <f>VLOOKUP(C385, Material!$E$2:$F$94, 2, FALSE)</f>
        <v>7500</v>
      </c>
      <c r="G385" s="14">
        <f>VLOOKUP(C385, Material!$E$2:$G$94, 3, FALSE)</f>
        <v>4148.387119</v>
      </c>
    </row>
    <row r="386">
      <c r="B386" s="1" t="s">
        <v>145</v>
      </c>
      <c r="C386" s="23" t="s">
        <v>245</v>
      </c>
      <c r="D386" s="26">
        <v>2322.0</v>
      </c>
      <c r="E386" s="17">
        <v>4.0</v>
      </c>
      <c r="F386" s="2">
        <f>VLOOKUP(C386, Material!$E$2:$F$94, 2, FALSE)</f>
        <v>7500</v>
      </c>
      <c r="G386" s="14">
        <f>VLOOKUP(C386, Material!$E$2:$G$94, 3, FALSE)</f>
        <v>4741.014915</v>
      </c>
    </row>
    <row r="387">
      <c r="B387" s="1" t="s">
        <v>145</v>
      </c>
      <c r="C387" s="24" t="s">
        <v>237</v>
      </c>
      <c r="D387" s="16" t="s">
        <v>309</v>
      </c>
      <c r="E387" s="17">
        <v>2.0</v>
      </c>
      <c r="F387" s="2">
        <f>VLOOKUP(C387, Material!$E$2:$F$94, 2, FALSE)</f>
        <v>600</v>
      </c>
      <c r="G387" s="2">
        <f>VLOOKUP(C387, Material!$E$2:$G$94, 3, FALSE)</f>
        <v>500</v>
      </c>
    </row>
    <row r="388">
      <c r="B388" s="1" t="s">
        <v>145</v>
      </c>
      <c r="C388" s="27" t="s">
        <v>39</v>
      </c>
      <c r="D388" s="16" t="s">
        <v>308</v>
      </c>
      <c r="E388" s="17">
        <v>2.0</v>
      </c>
      <c r="F388" s="2">
        <f>VLOOKUP(C388, Material!$E$2:$F$94, 2, FALSE)</f>
        <v>1000</v>
      </c>
      <c r="G388" s="2">
        <f>VLOOKUP(C388, Material!$E$2:$G$94, 3, FALSE)</f>
        <v>250</v>
      </c>
    </row>
    <row r="389">
      <c r="B389" s="1" t="s">
        <v>145</v>
      </c>
      <c r="C389" s="29" t="s">
        <v>61</v>
      </c>
      <c r="D389" s="16" t="s">
        <v>11</v>
      </c>
      <c r="E389" s="17">
        <v>2.0</v>
      </c>
      <c r="F389" s="2">
        <f>VLOOKUP(C389, Material!$E$2:$F$94, 2, FALSE)</f>
        <v>1000</v>
      </c>
      <c r="G389" s="2">
        <f>VLOOKUP(C389, Material!$E$2:$G$94, 3, FALSE)</f>
        <v>250</v>
      </c>
    </row>
    <row r="390">
      <c r="B390" s="1" t="s">
        <v>150</v>
      </c>
      <c r="C390" s="23" t="s">
        <v>274</v>
      </c>
      <c r="D390" s="26">
        <v>5514.0</v>
      </c>
      <c r="E390" s="17">
        <v>8.0</v>
      </c>
      <c r="F390" s="2">
        <f>VLOOKUP(C390, Material!$E$2:$F$94, 2, FALSE)</f>
        <v>1500</v>
      </c>
      <c r="G390" s="14">
        <f>VLOOKUP(C390, Material!$E$2:$G$94, 3, FALSE)</f>
        <v>595.8644068</v>
      </c>
    </row>
    <row r="391">
      <c r="B391" s="1" t="s">
        <v>150</v>
      </c>
      <c r="C391" s="23" t="s">
        <v>241</v>
      </c>
      <c r="D391" s="26">
        <v>2313.0</v>
      </c>
      <c r="E391" s="17">
        <v>3.0</v>
      </c>
      <c r="F391" s="2">
        <f>VLOOKUP(C391, Material!$E$2:$F$94, 2, FALSE)</f>
        <v>7500</v>
      </c>
      <c r="G391" s="14">
        <f>VLOOKUP(C391, Material!$E$2:$G$94, 3, FALSE)</f>
        <v>4148.387119</v>
      </c>
    </row>
    <row r="392">
      <c r="B392" s="1" t="s">
        <v>150</v>
      </c>
      <c r="C392" s="24" t="s">
        <v>237</v>
      </c>
      <c r="D392" s="16" t="s">
        <v>319</v>
      </c>
      <c r="E392" s="17">
        <v>4.0</v>
      </c>
      <c r="F392" s="2">
        <f>VLOOKUP(C392, Material!$E$2:$F$94, 2, FALSE)</f>
        <v>600</v>
      </c>
      <c r="G392" s="2">
        <f>VLOOKUP(C392, Material!$E$2:$G$94, 3, FALSE)</f>
        <v>500</v>
      </c>
    </row>
    <row r="393">
      <c r="B393" s="1" t="s">
        <v>150</v>
      </c>
      <c r="C393" s="29" t="s">
        <v>262</v>
      </c>
      <c r="D393" s="16" t="s">
        <v>11</v>
      </c>
      <c r="E393" s="17">
        <v>2.0</v>
      </c>
      <c r="F393" s="2">
        <f>VLOOKUP(C393, Material!$E$2:$F$94, 2, FALSE)</f>
        <v>1000</v>
      </c>
      <c r="G393" s="2">
        <f>VLOOKUP(C393, Material!$E$2:$G$94, 3, FALSE)</f>
        <v>250</v>
      </c>
    </row>
    <row r="394">
      <c r="B394" s="1" t="s">
        <v>150</v>
      </c>
      <c r="C394" s="27" t="s">
        <v>39</v>
      </c>
      <c r="D394" s="16" t="s">
        <v>308</v>
      </c>
      <c r="E394" s="17">
        <v>2.0</v>
      </c>
      <c r="F394" s="2">
        <f>VLOOKUP(C394, Material!$E$2:$F$94, 2, FALSE)</f>
        <v>1000</v>
      </c>
      <c r="G394" s="2">
        <f>VLOOKUP(C394, Material!$E$2:$G$94, 3, FALSE)</f>
        <v>250</v>
      </c>
    </row>
    <row r="395">
      <c r="B395" s="1" t="s">
        <v>150</v>
      </c>
      <c r="C395" s="27" t="s">
        <v>38</v>
      </c>
      <c r="D395" s="16" t="s">
        <v>305</v>
      </c>
      <c r="E395" s="17">
        <v>2.0</v>
      </c>
      <c r="F395" s="2">
        <f>VLOOKUP(C395, Material!$E$2:$F$94, 2, FALSE)</f>
        <v>1000</v>
      </c>
      <c r="G395" s="2">
        <f>VLOOKUP(C395, Material!$E$2:$G$94, 3, FALSE)</f>
        <v>250</v>
      </c>
    </row>
    <row r="396">
      <c r="B396" s="1" t="s">
        <v>152</v>
      </c>
      <c r="C396" s="23" t="s">
        <v>241</v>
      </c>
      <c r="D396" s="26">
        <v>2313.0</v>
      </c>
      <c r="E396" s="17">
        <v>3.0</v>
      </c>
      <c r="F396" s="2">
        <f>VLOOKUP(C396, Material!$E$2:$F$94, 2, FALSE)</f>
        <v>7500</v>
      </c>
      <c r="G396" s="14">
        <f>VLOOKUP(C396, Material!$E$2:$G$94, 3, FALSE)</f>
        <v>4148.387119</v>
      </c>
    </row>
    <row r="397">
      <c r="B397" s="1" t="s">
        <v>152</v>
      </c>
      <c r="C397" s="23" t="s">
        <v>245</v>
      </c>
      <c r="D397" s="26">
        <v>2322.0</v>
      </c>
      <c r="E397" s="17">
        <v>2.0</v>
      </c>
      <c r="F397" s="2">
        <f>VLOOKUP(C397, Material!$E$2:$F$94, 2, FALSE)</f>
        <v>7500</v>
      </c>
      <c r="G397" s="14">
        <f>VLOOKUP(C397, Material!$E$2:$G$94, 3, FALSE)</f>
        <v>4741.014915</v>
      </c>
    </row>
    <row r="398">
      <c r="B398" s="1" t="s">
        <v>152</v>
      </c>
      <c r="C398" s="24" t="s">
        <v>237</v>
      </c>
      <c r="D398" s="16" t="s">
        <v>319</v>
      </c>
      <c r="E398" s="17">
        <v>3.0</v>
      </c>
      <c r="F398" s="2">
        <f>VLOOKUP(C398, Material!$E$2:$F$94, 2, FALSE)</f>
        <v>600</v>
      </c>
      <c r="G398" s="2">
        <f>VLOOKUP(C398, Material!$E$2:$G$94, 3, FALSE)</f>
        <v>500</v>
      </c>
    </row>
    <row r="399">
      <c r="B399" s="1" t="s">
        <v>152</v>
      </c>
      <c r="C399" s="29" t="s">
        <v>285</v>
      </c>
      <c r="D399" s="16" t="s">
        <v>11</v>
      </c>
      <c r="E399" s="17">
        <v>2.0</v>
      </c>
      <c r="F399" s="2">
        <f>VLOOKUP(C399, Material!$E$2:$F$94, 2, FALSE)</f>
        <v>1000</v>
      </c>
      <c r="G399" s="2">
        <f>VLOOKUP(C399, Material!$E$2:$G$94, 3, FALSE)</f>
        <v>250</v>
      </c>
    </row>
    <row r="400">
      <c r="B400" s="1" t="s">
        <v>152</v>
      </c>
      <c r="C400" s="27" t="s">
        <v>39</v>
      </c>
      <c r="D400" s="16" t="s">
        <v>308</v>
      </c>
      <c r="E400" s="17">
        <v>2.0</v>
      </c>
      <c r="F400" s="2">
        <f>VLOOKUP(C400, Material!$E$2:$F$94, 2, FALSE)</f>
        <v>1000</v>
      </c>
      <c r="G400" s="2">
        <f>VLOOKUP(C400, Material!$E$2:$G$94, 3, FALSE)</f>
        <v>250</v>
      </c>
    </row>
    <row r="401">
      <c r="B401" s="2" t="s">
        <v>155</v>
      </c>
      <c r="C401" s="23" t="s">
        <v>245</v>
      </c>
      <c r="D401" s="16">
        <v>2322.0</v>
      </c>
      <c r="E401" s="17">
        <v>3.0</v>
      </c>
      <c r="F401" s="2">
        <f>VLOOKUP(C401, Material!$E$2:$F$94, 2, FALSE)</f>
        <v>7500</v>
      </c>
      <c r="G401" s="14">
        <f>VLOOKUP(C401, Material!$E$2:$G$94, 3, FALSE)</f>
        <v>4741.014915</v>
      </c>
    </row>
    <row r="402">
      <c r="B402" s="2" t="s">
        <v>155</v>
      </c>
      <c r="C402" s="23" t="s">
        <v>286</v>
      </c>
      <c r="D402" s="26">
        <v>3914.0</v>
      </c>
      <c r="E402" s="17">
        <v>4.0</v>
      </c>
      <c r="F402" s="2">
        <f>VLOOKUP(C402, Material!$E$2:$F$94, 2, FALSE)</f>
        <v>1500</v>
      </c>
      <c r="G402" s="14">
        <f>VLOOKUP(C402, Material!$E$2:$G$94, 3, FALSE)</f>
        <v>711.1864407</v>
      </c>
    </row>
    <row r="403">
      <c r="B403" s="2" t="s">
        <v>155</v>
      </c>
      <c r="C403" s="24" t="s">
        <v>268</v>
      </c>
      <c r="D403" s="16" t="s">
        <v>309</v>
      </c>
      <c r="E403" s="17">
        <v>2.0</v>
      </c>
      <c r="F403" s="2">
        <f>VLOOKUP(C403, Material!$E$2:$F$94, 2, FALSE)</f>
        <v>600</v>
      </c>
      <c r="G403" s="2">
        <f>VLOOKUP(C403, Material!$E$2:$G$94, 3, FALSE)</f>
        <v>500</v>
      </c>
    </row>
    <row r="404">
      <c r="B404" s="2" t="s">
        <v>155</v>
      </c>
      <c r="C404" s="27" t="s">
        <v>106</v>
      </c>
      <c r="D404" s="16" t="s">
        <v>308</v>
      </c>
      <c r="E404" s="17">
        <v>2.0</v>
      </c>
      <c r="F404" s="2">
        <f>VLOOKUP(C404, Material!$E$2:$F$94, 2, FALSE)</f>
        <v>1000</v>
      </c>
      <c r="G404" s="2">
        <f>VLOOKUP(C404, Material!$E$2:$G$94, 3, FALSE)</f>
        <v>250</v>
      </c>
    </row>
    <row r="405">
      <c r="B405" s="1" t="s">
        <v>159</v>
      </c>
      <c r="C405" s="23" t="s">
        <v>238</v>
      </c>
      <c r="D405" s="26">
        <v>2327.0</v>
      </c>
      <c r="E405" s="17">
        <v>4.0</v>
      </c>
      <c r="F405" s="2">
        <f>VLOOKUP(C405, Material!$E$2:$F$94, 2, FALSE)</f>
        <v>7500</v>
      </c>
      <c r="G405" s="14">
        <f>VLOOKUP(C405, Material!$E$2:$G$94, 3, FALSE)</f>
        <v>4148.387119</v>
      </c>
    </row>
    <row r="406">
      <c r="B406" s="1" t="s">
        <v>159</v>
      </c>
      <c r="C406" s="23" t="s">
        <v>287</v>
      </c>
      <c r="D406" s="26">
        <v>3210.0</v>
      </c>
      <c r="E406" s="17">
        <v>4.0</v>
      </c>
      <c r="F406" s="2">
        <f>VLOOKUP(C406, Material!$E$2:$F$94, 2, FALSE)</f>
        <v>1500</v>
      </c>
      <c r="G406" s="14">
        <f>VLOOKUP(C406, Material!$E$2:$G$94, 3, FALSE)</f>
        <v>595.8644068</v>
      </c>
    </row>
    <row r="407">
      <c r="B407" s="1" t="s">
        <v>159</v>
      </c>
      <c r="C407" s="24" t="s">
        <v>237</v>
      </c>
      <c r="D407" s="16" t="s">
        <v>309</v>
      </c>
      <c r="E407" s="17">
        <v>3.0</v>
      </c>
      <c r="F407" s="2">
        <f>VLOOKUP(C407, Material!$E$2:$F$94, 2, FALSE)</f>
        <v>600</v>
      </c>
      <c r="G407" s="2">
        <f>VLOOKUP(C407, Material!$E$2:$G$94, 3, FALSE)</f>
        <v>500</v>
      </c>
    </row>
    <row r="408">
      <c r="B408" s="1" t="s">
        <v>159</v>
      </c>
      <c r="C408" s="27" t="s">
        <v>288</v>
      </c>
      <c r="D408" s="16" t="s">
        <v>308</v>
      </c>
      <c r="E408" s="17">
        <v>1.0</v>
      </c>
      <c r="F408" s="2">
        <f>VLOOKUP(C408, Material!$E$2:$F$94, 2, FALSE)</f>
        <v>1000</v>
      </c>
      <c r="G408" s="2">
        <f>VLOOKUP(C408, Material!$E$2:$G$94, 3, FALSE)</f>
        <v>250</v>
      </c>
    </row>
    <row r="409">
      <c r="B409" s="1" t="s">
        <v>159</v>
      </c>
      <c r="C409" s="27" t="s">
        <v>289</v>
      </c>
      <c r="D409" s="16" t="s">
        <v>305</v>
      </c>
      <c r="E409" s="17">
        <v>2.0</v>
      </c>
      <c r="F409" s="2">
        <f>VLOOKUP(C409, Material!$E$2:$F$94, 2, FALSE)</f>
        <v>1000</v>
      </c>
      <c r="G409" s="2">
        <f>VLOOKUP(C409, Material!$E$2:$G$94, 3, FALSE)</f>
        <v>250</v>
      </c>
    </row>
    <row r="410">
      <c r="B410" s="1" t="s">
        <v>163</v>
      </c>
      <c r="C410" s="23" t="s">
        <v>281</v>
      </c>
      <c r="D410" s="26">
        <v>3214.0</v>
      </c>
      <c r="E410" s="17">
        <v>8.0</v>
      </c>
      <c r="F410" s="2">
        <f>VLOOKUP(C410, Material!$E$2:$F$94, 2, FALSE)</f>
        <v>1500</v>
      </c>
      <c r="G410" s="14">
        <f>VLOOKUP(C410, Material!$E$2:$G$94, 3, FALSE)</f>
        <v>595.8644068</v>
      </c>
    </row>
    <row r="411">
      <c r="B411" s="1" t="s">
        <v>163</v>
      </c>
      <c r="C411" s="23" t="s">
        <v>290</v>
      </c>
      <c r="D411" s="26">
        <v>2750.0</v>
      </c>
      <c r="E411" s="17">
        <v>12.0</v>
      </c>
      <c r="F411" s="2">
        <f>VLOOKUP(C411, Material!$E$2:$F$94, 2, FALSE)</f>
        <v>1500</v>
      </c>
      <c r="G411" s="14">
        <f>VLOOKUP(C411, Material!$E$2:$G$94, 3, FALSE)</f>
        <v>745.0847458</v>
      </c>
    </row>
    <row r="412">
      <c r="B412" s="1" t="s">
        <v>163</v>
      </c>
      <c r="C412" s="27" t="s">
        <v>291</v>
      </c>
      <c r="D412" s="16" t="s">
        <v>308</v>
      </c>
      <c r="E412" s="17">
        <v>2.0</v>
      </c>
      <c r="F412" s="2">
        <f>VLOOKUP(C412, Material!$E$2:$F$94, 2, FALSE)</f>
        <v>1000</v>
      </c>
      <c r="G412" s="2">
        <f>VLOOKUP(C412, Material!$E$2:$G$94, 3, FALSE)</f>
        <v>250</v>
      </c>
    </row>
    <row r="413">
      <c r="B413" s="1" t="s">
        <v>165</v>
      </c>
      <c r="C413" s="23" t="s">
        <v>292</v>
      </c>
      <c r="D413" s="16" t="s">
        <v>329</v>
      </c>
      <c r="E413" s="17">
        <v>2.0</v>
      </c>
      <c r="F413" s="2">
        <f>VLOOKUP(C413, Material!$E$2:$F$94, 2, FALSE)</f>
        <v>2500</v>
      </c>
      <c r="G413" s="14">
        <f>VLOOKUP(C413, Material!$E$2:$G$94, 3, FALSE)</f>
        <v>1014.550508</v>
      </c>
    </row>
    <row r="414">
      <c r="B414" s="1" t="s">
        <v>165</v>
      </c>
      <c r="C414" s="23" t="s">
        <v>238</v>
      </c>
      <c r="D414" s="26">
        <v>2327.0</v>
      </c>
      <c r="E414" s="17">
        <v>5.0</v>
      </c>
      <c r="F414" s="2">
        <f>VLOOKUP(C414, Material!$E$2:$F$94, 2, FALSE)</f>
        <v>7500</v>
      </c>
      <c r="G414" s="14">
        <f>VLOOKUP(C414, Material!$E$2:$G$94, 3, FALSE)</f>
        <v>4148.387119</v>
      </c>
    </row>
    <row r="415">
      <c r="B415" s="1" t="s">
        <v>165</v>
      </c>
      <c r="C415" s="23" t="s">
        <v>274</v>
      </c>
      <c r="D415" s="26">
        <v>5514.0</v>
      </c>
      <c r="E415" s="17">
        <v>10.0</v>
      </c>
      <c r="F415" s="2">
        <f>VLOOKUP(C415, Material!$E$2:$F$94, 2, FALSE)</f>
        <v>1500</v>
      </c>
      <c r="G415" s="14">
        <f>VLOOKUP(C415, Material!$E$2:$G$94, 3, FALSE)</f>
        <v>595.8644068</v>
      </c>
    </row>
    <row r="416">
      <c r="B416" s="1" t="s">
        <v>165</v>
      </c>
      <c r="C416" s="27" t="s">
        <v>106</v>
      </c>
      <c r="D416" s="31" t="s">
        <v>308</v>
      </c>
      <c r="E416" s="17">
        <v>1.0</v>
      </c>
      <c r="F416" s="2">
        <f>VLOOKUP(C416, Material!$E$2:$F$94, 2, FALSE)</f>
        <v>1000</v>
      </c>
      <c r="G416" s="2">
        <f>VLOOKUP(C416, Material!$E$2:$G$94, 3, FALSE)</f>
        <v>250</v>
      </c>
    </row>
    <row r="417">
      <c r="B417" s="1" t="s">
        <v>165</v>
      </c>
      <c r="C417" s="27" t="s">
        <v>56</v>
      </c>
      <c r="D417" s="31" t="s">
        <v>305</v>
      </c>
      <c r="E417" s="17">
        <v>1.0</v>
      </c>
      <c r="F417" s="2">
        <f>VLOOKUP(C417, Material!$E$2:$F$94, 2, FALSE)</f>
        <v>1000</v>
      </c>
      <c r="G417" s="2">
        <f>VLOOKUP(C417, Material!$E$2:$G$94, 3, FALSE)</f>
        <v>250</v>
      </c>
    </row>
    <row r="418">
      <c r="B418" s="1" t="s">
        <v>165</v>
      </c>
      <c r="C418" s="29" t="s">
        <v>284</v>
      </c>
      <c r="D418" s="31" t="s">
        <v>11</v>
      </c>
      <c r="E418" s="17">
        <v>1.0</v>
      </c>
      <c r="F418" s="2">
        <f>VLOOKUP(C418, Material!$E$2:$F$94, 2, FALSE)</f>
        <v>1000</v>
      </c>
      <c r="G418" s="2">
        <f>VLOOKUP(C418, Material!$E$2:$G$94, 3, FALSE)</f>
        <v>250</v>
      </c>
    </row>
    <row r="419">
      <c r="B419" s="1" t="s">
        <v>165</v>
      </c>
      <c r="C419" s="24" t="s">
        <v>237</v>
      </c>
      <c r="D419" s="31" t="s">
        <v>319</v>
      </c>
      <c r="E419" s="17">
        <v>4.0</v>
      </c>
      <c r="F419" s="2">
        <f>VLOOKUP(C419, Material!$E$2:$F$94, 2, FALSE)</f>
        <v>600</v>
      </c>
      <c r="G419" s="2">
        <f>VLOOKUP(C419, Material!$E$2:$G$94, 3, FALSE)</f>
        <v>500</v>
      </c>
    </row>
    <row r="420">
      <c r="B420" s="1" t="s">
        <v>169</v>
      </c>
      <c r="C420" s="23" t="s">
        <v>219</v>
      </c>
      <c r="D420" s="26">
        <v>6277.0</v>
      </c>
      <c r="E420" s="17">
        <v>8.0</v>
      </c>
      <c r="F420" s="2">
        <f>VLOOKUP(C420, Material!$E$2:$F$94, 2, FALSE)</f>
        <v>1500</v>
      </c>
      <c r="G420" s="14">
        <f>VLOOKUP(C420, Material!$E$2:$G$94, 3, FALSE)</f>
        <v>609.4915254</v>
      </c>
    </row>
    <row r="421">
      <c r="B421" s="1" t="s">
        <v>169</v>
      </c>
      <c r="C421" s="23" t="s">
        <v>240</v>
      </c>
      <c r="D421" s="26">
        <v>2307.0</v>
      </c>
      <c r="E421" s="17">
        <v>2.0</v>
      </c>
      <c r="F421" s="2">
        <f>VLOOKUP(C421, Material!$E$2:$F$94, 2, FALSE)</f>
        <v>7500</v>
      </c>
      <c r="G421" s="14">
        <f>VLOOKUP(C421, Material!$E$2:$G$94, 3, FALSE)</f>
        <v>4148.387119</v>
      </c>
    </row>
    <row r="422">
      <c r="B422" s="1" t="s">
        <v>169</v>
      </c>
      <c r="C422" s="29" t="s">
        <v>293</v>
      </c>
      <c r="D422" s="31" t="s">
        <v>11</v>
      </c>
      <c r="E422" s="17">
        <v>3.0</v>
      </c>
      <c r="F422" s="2">
        <f>VLOOKUP(C422, Material!$E$2:$F$94, 2, FALSE)</f>
        <v>1000</v>
      </c>
      <c r="G422" s="2">
        <f>VLOOKUP(C422, Material!$E$2:$G$94, 3, FALSE)</f>
        <v>250</v>
      </c>
    </row>
    <row r="423">
      <c r="B423" s="1" t="s">
        <v>169</v>
      </c>
      <c r="C423" s="24" t="s">
        <v>268</v>
      </c>
      <c r="D423" s="31" t="s">
        <v>309</v>
      </c>
      <c r="E423" s="17">
        <v>2.0</v>
      </c>
      <c r="F423" s="2">
        <f>VLOOKUP(C423, Material!$E$2:$F$94, 2, FALSE)</f>
        <v>600</v>
      </c>
      <c r="G423" s="2">
        <f>VLOOKUP(C423, Material!$E$2:$G$94, 3, FALSE)</f>
        <v>500</v>
      </c>
    </row>
    <row r="424">
      <c r="B424" s="2" t="s">
        <v>21</v>
      </c>
      <c r="C424" s="18" t="s">
        <v>294</v>
      </c>
      <c r="D424" s="16" t="s">
        <v>330</v>
      </c>
      <c r="E424" s="17">
        <v>10.0</v>
      </c>
      <c r="F424" s="2">
        <f>VLOOKUP(C424, Material!$E$2:$F$94, 2, FALSE)</f>
        <v>500</v>
      </c>
      <c r="G424" s="14">
        <f>VLOOKUP(C424, Material!$E$2:$G$94, 3, FALSE)</f>
        <v>273.6</v>
      </c>
    </row>
    <row r="425">
      <c r="B425" s="2" t="s">
        <v>24</v>
      </c>
      <c r="C425" s="18" t="s">
        <v>294</v>
      </c>
      <c r="D425" s="16" t="s">
        <v>330</v>
      </c>
      <c r="E425" s="17">
        <v>10.0</v>
      </c>
      <c r="F425" s="2">
        <f>VLOOKUP(C425, Material!$E$2:$F$94, 2, FALSE)</f>
        <v>500</v>
      </c>
      <c r="G425" s="14">
        <f>VLOOKUP(C425, Material!$E$2:$G$94, 3, FALSE)</f>
        <v>273.6</v>
      </c>
    </row>
    <row r="426">
      <c r="B426" s="2" t="s">
        <v>25</v>
      </c>
      <c r="C426" s="18" t="s">
        <v>294</v>
      </c>
      <c r="D426" s="16" t="s">
        <v>330</v>
      </c>
      <c r="E426" s="17">
        <v>10.0</v>
      </c>
      <c r="F426" s="2">
        <f>VLOOKUP(C426, Material!$E$2:$F$94, 2, FALSE)</f>
        <v>500</v>
      </c>
      <c r="G426" s="14">
        <f>VLOOKUP(C426, Material!$E$2:$G$94, 3, FALSE)</f>
        <v>273.6</v>
      </c>
    </row>
    <row r="427">
      <c r="B427" s="2" t="s">
        <v>26</v>
      </c>
      <c r="C427" s="18" t="s">
        <v>294</v>
      </c>
      <c r="D427" s="16" t="s">
        <v>330</v>
      </c>
      <c r="E427" s="17">
        <v>10.0</v>
      </c>
      <c r="F427" s="2">
        <f>VLOOKUP(C427, Material!$E$2:$F$94, 2, FALSE)</f>
        <v>500</v>
      </c>
      <c r="G427" s="14">
        <f>VLOOKUP(C427, Material!$E$2:$G$94, 3, FALSE)</f>
        <v>273.6</v>
      </c>
    </row>
    <row r="428">
      <c r="B428" s="2" t="s">
        <v>28</v>
      </c>
      <c r="C428" s="18" t="s">
        <v>294</v>
      </c>
      <c r="D428" s="16" t="s">
        <v>330</v>
      </c>
      <c r="E428" s="17">
        <v>10.0</v>
      </c>
      <c r="F428" s="2">
        <f>VLOOKUP(C428, Material!$E$2:$F$94, 2, FALSE)</f>
        <v>500</v>
      </c>
      <c r="G428" s="14">
        <f>VLOOKUP(C428, Material!$E$2:$G$94, 3, FALSE)</f>
        <v>273.6</v>
      </c>
    </row>
    <row r="429">
      <c r="B429" s="2" t="s">
        <v>33</v>
      </c>
      <c r="C429" s="18" t="s">
        <v>294</v>
      </c>
      <c r="D429" s="16" t="s">
        <v>330</v>
      </c>
      <c r="E429" s="17">
        <v>10.0</v>
      </c>
      <c r="F429" s="2">
        <f>VLOOKUP(C429, Material!$E$2:$F$94, 2, FALSE)</f>
        <v>500</v>
      </c>
      <c r="G429" s="14">
        <f>VLOOKUP(C429, Material!$E$2:$G$94, 3, FALSE)</f>
        <v>273.6</v>
      </c>
    </row>
    <row r="430">
      <c r="B430" s="2" t="s">
        <v>37</v>
      </c>
      <c r="C430" s="18" t="s">
        <v>294</v>
      </c>
      <c r="D430" s="16" t="s">
        <v>330</v>
      </c>
      <c r="E430" s="17">
        <v>10.0</v>
      </c>
      <c r="F430" s="2">
        <f>VLOOKUP(C430, Material!$E$2:$F$94, 2, FALSE)</f>
        <v>500</v>
      </c>
      <c r="G430" s="14">
        <f>VLOOKUP(C430, Material!$E$2:$G$94, 3, FALSE)</f>
        <v>273.6</v>
      </c>
    </row>
    <row r="431">
      <c r="B431" s="2" t="s">
        <v>41</v>
      </c>
      <c r="C431" s="18" t="s">
        <v>294</v>
      </c>
      <c r="D431" s="16" t="s">
        <v>330</v>
      </c>
      <c r="E431" s="17">
        <v>10.0</v>
      </c>
      <c r="F431" s="2">
        <f>VLOOKUP(C431, Material!$E$2:$F$94, 2, FALSE)</f>
        <v>500</v>
      </c>
      <c r="G431" s="14">
        <f>VLOOKUP(C431, Material!$E$2:$G$94, 3, FALSE)</f>
        <v>273.6</v>
      </c>
    </row>
    <row r="432">
      <c r="B432" s="2" t="s">
        <v>43</v>
      </c>
      <c r="C432" s="18" t="s">
        <v>294</v>
      </c>
      <c r="D432" s="16" t="s">
        <v>330</v>
      </c>
      <c r="E432" s="17">
        <v>10.0</v>
      </c>
      <c r="F432" s="2">
        <f>VLOOKUP(C432, Material!$E$2:$F$94, 2, FALSE)</f>
        <v>500</v>
      </c>
      <c r="G432" s="14">
        <f>VLOOKUP(C432, Material!$E$2:$G$94, 3, FALSE)</f>
        <v>273.6</v>
      </c>
    </row>
    <row r="433">
      <c r="B433" s="2" t="s">
        <v>44</v>
      </c>
      <c r="C433" s="18" t="s">
        <v>294</v>
      </c>
      <c r="D433" s="16" t="s">
        <v>330</v>
      </c>
      <c r="E433" s="17">
        <v>10.0</v>
      </c>
      <c r="F433" s="2">
        <f>VLOOKUP(C433, Material!$E$2:$F$94, 2, FALSE)</f>
        <v>500</v>
      </c>
      <c r="G433" s="14">
        <f>VLOOKUP(C433, Material!$E$2:$G$94, 3, FALSE)</f>
        <v>273.6</v>
      </c>
    </row>
    <row r="434">
      <c r="B434" s="2" t="s">
        <v>46</v>
      </c>
      <c r="C434" s="18" t="s">
        <v>294</v>
      </c>
      <c r="D434" s="16" t="s">
        <v>330</v>
      </c>
      <c r="E434" s="17">
        <v>10.0</v>
      </c>
      <c r="F434" s="2">
        <f>VLOOKUP(C434, Material!$E$2:$F$94, 2, FALSE)</f>
        <v>500</v>
      </c>
      <c r="G434" s="14">
        <f>VLOOKUP(C434, Material!$E$2:$G$94, 3, FALSE)</f>
        <v>273.6</v>
      </c>
    </row>
    <row r="435">
      <c r="B435" s="2" t="s">
        <v>50</v>
      </c>
      <c r="C435" s="18" t="s">
        <v>294</v>
      </c>
      <c r="D435" s="16" t="s">
        <v>330</v>
      </c>
      <c r="E435" s="17">
        <v>10.0</v>
      </c>
      <c r="F435" s="2">
        <f>VLOOKUP(C435, Material!$E$2:$F$94, 2, FALSE)</f>
        <v>500</v>
      </c>
      <c r="G435" s="14">
        <f>VLOOKUP(C435, Material!$E$2:$G$94, 3, FALSE)</f>
        <v>273.6</v>
      </c>
    </row>
    <row r="436">
      <c r="B436" s="2" t="s">
        <v>51</v>
      </c>
      <c r="C436" s="18" t="s">
        <v>294</v>
      </c>
      <c r="D436" s="16" t="s">
        <v>330</v>
      </c>
      <c r="E436" s="17">
        <v>10.0</v>
      </c>
      <c r="F436" s="2">
        <f>VLOOKUP(C436, Material!$E$2:$F$94, 2, FALSE)</f>
        <v>500</v>
      </c>
      <c r="G436" s="14">
        <f>VLOOKUP(C436, Material!$E$2:$G$94, 3, FALSE)</f>
        <v>273.6</v>
      </c>
    </row>
    <row r="437">
      <c r="B437" s="2" t="s">
        <v>52</v>
      </c>
      <c r="C437" s="18" t="s">
        <v>294</v>
      </c>
      <c r="D437" s="16" t="s">
        <v>330</v>
      </c>
      <c r="E437" s="17">
        <v>10.0</v>
      </c>
      <c r="F437" s="2">
        <f>VLOOKUP(C437, Material!$E$2:$F$94, 2, FALSE)</f>
        <v>500</v>
      </c>
      <c r="G437" s="14">
        <f>VLOOKUP(C437, Material!$E$2:$G$94, 3, FALSE)</f>
        <v>273.6</v>
      </c>
    </row>
    <row r="438">
      <c r="B438" s="2" t="s">
        <v>54</v>
      </c>
      <c r="C438" s="18" t="s">
        <v>294</v>
      </c>
      <c r="D438" s="16" t="s">
        <v>330</v>
      </c>
      <c r="E438" s="17">
        <v>10.0</v>
      </c>
      <c r="F438" s="2">
        <f>VLOOKUP(C438, Material!$E$2:$F$94, 2, FALSE)</f>
        <v>500</v>
      </c>
      <c r="G438" s="14">
        <f>VLOOKUP(C438, Material!$E$2:$G$94, 3, FALSE)</f>
        <v>273.6</v>
      </c>
    </row>
    <row r="439">
      <c r="B439" s="2" t="s">
        <v>58</v>
      </c>
      <c r="C439" s="18" t="s">
        <v>294</v>
      </c>
      <c r="D439" s="16" t="s">
        <v>330</v>
      </c>
      <c r="E439" s="17">
        <v>10.0</v>
      </c>
      <c r="F439" s="2">
        <f>VLOOKUP(C439, Material!$E$2:$F$94, 2, FALSE)</f>
        <v>500</v>
      </c>
      <c r="G439" s="14">
        <f>VLOOKUP(C439, Material!$E$2:$G$94, 3, FALSE)</f>
        <v>273.6</v>
      </c>
    </row>
    <row r="440">
      <c r="B440" s="2" t="s">
        <v>60</v>
      </c>
      <c r="C440" s="18" t="s">
        <v>294</v>
      </c>
      <c r="D440" s="16" t="s">
        <v>330</v>
      </c>
      <c r="E440" s="17">
        <v>10.0</v>
      </c>
      <c r="F440" s="2">
        <f>VLOOKUP(C440, Material!$E$2:$F$94, 2, FALSE)</f>
        <v>500</v>
      </c>
      <c r="G440" s="14">
        <f>VLOOKUP(C440, Material!$E$2:$G$94, 3, FALSE)</f>
        <v>273.6</v>
      </c>
    </row>
    <row r="441">
      <c r="B441" s="2" t="s">
        <v>62</v>
      </c>
      <c r="C441" s="18" t="s">
        <v>294</v>
      </c>
      <c r="D441" s="16" t="s">
        <v>330</v>
      </c>
      <c r="E441" s="17">
        <v>10.0</v>
      </c>
      <c r="F441" s="2">
        <f>VLOOKUP(C441, Material!$E$2:$F$94, 2, FALSE)</f>
        <v>500</v>
      </c>
      <c r="G441" s="14">
        <f>VLOOKUP(C441, Material!$E$2:$G$94, 3, FALSE)</f>
        <v>273.6</v>
      </c>
    </row>
    <row r="442">
      <c r="B442" s="2" t="s">
        <v>64</v>
      </c>
      <c r="C442" s="18" t="s">
        <v>294</v>
      </c>
      <c r="D442" s="16" t="s">
        <v>330</v>
      </c>
      <c r="E442" s="17">
        <v>10.0</v>
      </c>
      <c r="F442" s="2">
        <f>VLOOKUP(C442, Material!$E$2:$F$94, 2, FALSE)</f>
        <v>500</v>
      </c>
      <c r="G442" s="14">
        <f>VLOOKUP(C442, Material!$E$2:$G$94, 3, FALSE)</f>
        <v>273.6</v>
      </c>
    </row>
    <row r="443">
      <c r="B443" s="2" t="s">
        <v>66</v>
      </c>
      <c r="C443" s="18" t="s">
        <v>294</v>
      </c>
      <c r="D443" s="16" t="s">
        <v>330</v>
      </c>
      <c r="E443" s="17">
        <v>10.0</v>
      </c>
      <c r="F443" s="2">
        <f>VLOOKUP(C443, Material!$E$2:$F$94, 2, FALSE)</f>
        <v>500</v>
      </c>
      <c r="G443" s="14">
        <f>VLOOKUP(C443, Material!$E$2:$G$94, 3, FALSE)</f>
        <v>273.6</v>
      </c>
    </row>
    <row r="444">
      <c r="B444" s="2" t="s">
        <v>67</v>
      </c>
      <c r="C444" s="18" t="s">
        <v>294</v>
      </c>
      <c r="D444" s="16" t="s">
        <v>330</v>
      </c>
      <c r="E444" s="17">
        <v>10.0</v>
      </c>
      <c r="F444" s="2">
        <f>VLOOKUP(C444, Material!$E$2:$F$94, 2, FALSE)</f>
        <v>500</v>
      </c>
      <c r="G444" s="14">
        <f>VLOOKUP(C444, Material!$E$2:$G$94, 3, FALSE)</f>
        <v>273.6</v>
      </c>
    </row>
    <row r="445">
      <c r="B445" s="2" t="s">
        <v>68</v>
      </c>
      <c r="C445" s="18" t="s">
        <v>294</v>
      </c>
      <c r="D445" s="16" t="s">
        <v>330</v>
      </c>
      <c r="E445" s="17">
        <v>10.0</v>
      </c>
      <c r="F445" s="2">
        <f>VLOOKUP(C445, Material!$E$2:$F$94, 2, FALSE)</f>
        <v>500</v>
      </c>
      <c r="G445" s="14">
        <f>VLOOKUP(C445, Material!$E$2:$G$94, 3, FALSE)</f>
        <v>273.6</v>
      </c>
    </row>
    <row r="446">
      <c r="B446" s="2" t="s">
        <v>70</v>
      </c>
      <c r="C446" s="18" t="s">
        <v>294</v>
      </c>
      <c r="D446" s="16" t="s">
        <v>330</v>
      </c>
      <c r="E446" s="17">
        <v>10.0</v>
      </c>
      <c r="F446" s="2">
        <f>VLOOKUP(C446, Material!$E$2:$F$94, 2, FALSE)</f>
        <v>500</v>
      </c>
      <c r="G446" s="14">
        <f>VLOOKUP(C446, Material!$E$2:$G$94, 3, FALSE)</f>
        <v>273.6</v>
      </c>
    </row>
    <row r="447">
      <c r="B447" s="2" t="s">
        <v>72</v>
      </c>
      <c r="C447" s="18" t="s">
        <v>294</v>
      </c>
      <c r="D447" s="16" t="s">
        <v>330</v>
      </c>
      <c r="E447" s="17">
        <v>10.0</v>
      </c>
      <c r="F447" s="2">
        <f>VLOOKUP(C447, Material!$E$2:$F$94, 2, FALSE)</f>
        <v>500</v>
      </c>
      <c r="G447" s="14">
        <f>VLOOKUP(C447, Material!$E$2:$G$94, 3, FALSE)</f>
        <v>273.6</v>
      </c>
    </row>
    <row r="448">
      <c r="B448" s="2" t="s">
        <v>73</v>
      </c>
      <c r="C448" s="18" t="s">
        <v>294</v>
      </c>
      <c r="D448" s="16" t="s">
        <v>330</v>
      </c>
      <c r="E448" s="17">
        <v>10.0</v>
      </c>
      <c r="F448" s="2">
        <f>VLOOKUP(C448, Material!$E$2:$F$94, 2, FALSE)</f>
        <v>500</v>
      </c>
      <c r="G448" s="14">
        <f>VLOOKUP(C448, Material!$E$2:$G$94, 3, FALSE)</f>
        <v>273.6</v>
      </c>
    </row>
    <row r="449">
      <c r="B449" s="2" t="s">
        <v>74</v>
      </c>
      <c r="C449" s="18" t="s">
        <v>294</v>
      </c>
      <c r="D449" s="16" t="s">
        <v>330</v>
      </c>
      <c r="E449" s="17">
        <v>10.0</v>
      </c>
      <c r="F449" s="2">
        <f>VLOOKUP(C449, Material!$E$2:$F$94, 2, FALSE)</f>
        <v>500</v>
      </c>
      <c r="G449" s="14">
        <f>VLOOKUP(C449, Material!$E$2:$G$94, 3, FALSE)</f>
        <v>273.6</v>
      </c>
    </row>
    <row r="450">
      <c r="B450" s="2" t="s">
        <v>75</v>
      </c>
      <c r="C450" s="18" t="s">
        <v>294</v>
      </c>
      <c r="D450" s="16" t="s">
        <v>330</v>
      </c>
      <c r="E450" s="17">
        <v>10.0</v>
      </c>
      <c r="F450" s="2">
        <f>VLOOKUP(C450, Material!$E$2:$F$94, 2, FALSE)</f>
        <v>500</v>
      </c>
      <c r="G450" s="14">
        <f>VLOOKUP(C450, Material!$E$2:$G$94, 3, FALSE)</f>
        <v>273.6</v>
      </c>
    </row>
    <row r="451">
      <c r="B451" s="2" t="s">
        <v>76</v>
      </c>
      <c r="C451" s="18" t="s">
        <v>294</v>
      </c>
      <c r="D451" s="16" t="s">
        <v>330</v>
      </c>
      <c r="E451" s="17">
        <v>10.0</v>
      </c>
      <c r="F451" s="2">
        <f>VLOOKUP(C451, Material!$E$2:$F$94, 2, FALSE)</f>
        <v>500</v>
      </c>
      <c r="G451" s="14">
        <f>VLOOKUP(C451, Material!$E$2:$G$94, 3, FALSE)</f>
        <v>273.6</v>
      </c>
    </row>
    <row r="452">
      <c r="B452" s="2" t="s">
        <v>77</v>
      </c>
      <c r="C452" s="18" t="s">
        <v>294</v>
      </c>
      <c r="D452" s="16" t="s">
        <v>330</v>
      </c>
      <c r="E452" s="17">
        <v>10.0</v>
      </c>
      <c r="F452" s="2">
        <f>VLOOKUP(C452, Material!$E$2:$F$94, 2, FALSE)</f>
        <v>500</v>
      </c>
      <c r="G452" s="14">
        <f>VLOOKUP(C452, Material!$E$2:$G$94, 3, FALSE)</f>
        <v>273.6</v>
      </c>
    </row>
    <row r="453">
      <c r="B453" s="2" t="s">
        <v>78</v>
      </c>
      <c r="C453" s="18" t="s">
        <v>294</v>
      </c>
      <c r="D453" s="16" t="s">
        <v>330</v>
      </c>
      <c r="E453" s="17">
        <v>10.0</v>
      </c>
      <c r="F453" s="2">
        <f>VLOOKUP(C453, Material!$E$2:$F$94, 2, FALSE)</f>
        <v>500</v>
      </c>
      <c r="G453" s="14">
        <f>VLOOKUP(C453, Material!$E$2:$G$94, 3, FALSE)</f>
        <v>273.6</v>
      </c>
    </row>
    <row r="454">
      <c r="B454" s="2" t="s">
        <v>79</v>
      </c>
      <c r="C454" s="18" t="s">
        <v>294</v>
      </c>
      <c r="D454" s="16" t="s">
        <v>330</v>
      </c>
      <c r="E454" s="17">
        <v>10.0</v>
      </c>
      <c r="F454" s="2">
        <f>VLOOKUP(C454, Material!$E$2:$F$94, 2, FALSE)</f>
        <v>500</v>
      </c>
      <c r="G454" s="14">
        <f>VLOOKUP(C454, Material!$E$2:$G$94, 3, FALSE)</f>
        <v>273.6</v>
      </c>
    </row>
    <row r="455">
      <c r="B455" s="2" t="s">
        <v>80</v>
      </c>
      <c r="C455" s="18" t="s">
        <v>294</v>
      </c>
      <c r="D455" s="16" t="s">
        <v>330</v>
      </c>
      <c r="E455" s="17">
        <v>10.0</v>
      </c>
      <c r="F455" s="2">
        <f>VLOOKUP(C455, Material!$E$2:$F$94, 2, FALSE)</f>
        <v>500</v>
      </c>
      <c r="G455" s="14">
        <f>VLOOKUP(C455, Material!$E$2:$G$94, 3, FALSE)</f>
        <v>273.6</v>
      </c>
    </row>
    <row r="456">
      <c r="B456" s="2" t="s">
        <v>81</v>
      </c>
      <c r="C456" s="18" t="s">
        <v>294</v>
      </c>
      <c r="D456" s="16" t="s">
        <v>330</v>
      </c>
      <c r="E456" s="17">
        <v>10.0</v>
      </c>
      <c r="F456" s="2">
        <f>VLOOKUP(C456, Material!$E$2:$F$94, 2, FALSE)</f>
        <v>500</v>
      </c>
      <c r="G456" s="14">
        <f>VLOOKUP(C456, Material!$E$2:$G$94, 3, FALSE)</f>
        <v>273.6</v>
      </c>
    </row>
    <row r="457">
      <c r="B457" s="2" t="s">
        <v>82</v>
      </c>
      <c r="C457" s="18" t="s">
        <v>294</v>
      </c>
      <c r="D457" s="16" t="s">
        <v>330</v>
      </c>
      <c r="E457" s="17">
        <v>10.0</v>
      </c>
      <c r="F457" s="2">
        <f>VLOOKUP(C457, Material!$E$2:$F$94, 2, FALSE)</f>
        <v>500</v>
      </c>
      <c r="G457" s="14">
        <f>VLOOKUP(C457, Material!$E$2:$G$94, 3, FALSE)</f>
        <v>273.6</v>
      </c>
    </row>
    <row r="458">
      <c r="B458" s="2" t="s">
        <v>83</v>
      </c>
      <c r="C458" s="18" t="s">
        <v>294</v>
      </c>
      <c r="D458" s="16" t="s">
        <v>330</v>
      </c>
      <c r="E458" s="17">
        <v>10.0</v>
      </c>
      <c r="F458" s="2">
        <f>VLOOKUP(C458, Material!$E$2:$F$94, 2, FALSE)</f>
        <v>500</v>
      </c>
      <c r="G458" s="14">
        <f>VLOOKUP(C458, Material!$E$2:$G$94, 3, FALSE)</f>
        <v>273.6</v>
      </c>
    </row>
    <row r="459">
      <c r="B459" s="2" t="s">
        <v>84</v>
      </c>
      <c r="C459" s="18" t="s">
        <v>294</v>
      </c>
      <c r="D459" s="16" t="s">
        <v>330</v>
      </c>
      <c r="E459" s="17">
        <v>10.0</v>
      </c>
      <c r="F459" s="2">
        <f>VLOOKUP(C459, Material!$E$2:$F$94, 2, FALSE)</f>
        <v>500</v>
      </c>
      <c r="G459" s="14">
        <f>VLOOKUP(C459, Material!$E$2:$G$94, 3, FALSE)</f>
        <v>273.6</v>
      </c>
    </row>
    <row r="460">
      <c r="B460" s="2" t="s">
        <v>85</v>
      </c>
      <c r="C460" s="18" t="s">
        <v>294</v>
      </c>
      <c r="D460" s="16" t="s">
        <v>330</v>
      </c>
      <c r="E460" s="17">
        <v>10.0</v>
      </c>
      <c r="F460" s="2">
        <f>VLOOKUP(C460, Material!$E$2:$F$94, 2, FALSE)</f>
        <v>500</v>
      </c>
      <c r="G460" s="14">
        <f>VLOOKUP(C460, Material!$E$2:$G$94, 3, FALSE)</f>
        <v>273.6</v>
      </c>
    </row>
    <row r="461">
      <c r="B461" s="2" t="s">
        <v>86</v>
      </c>
      <c r="C461" s="18" t="s">
        <v>294</v>
      </c>
      <c r="D461" s="16" t="s">
        <v>330</v>
      </c>
      <c r="E461" s="17">
        <v>10.0</v>
      </c>
      <c r="F461" s="2">
        <f>VLOOKUP(C461, Material!$E$2:$F$94, 2, FALSE)</f>
        <v>500</v>
      </c>
      <c r="G461" s="14">
        <f>VLOOKUP(C461, Material!$E$2:$G$94, 3, FALSE)</f>
        <v>273.6</v>
      </c>
    </row>
    <row r="462">
      <c r="B462" s="2" t="s">
        <v>87</v>
      </c>
      <c r="C462" s="18" t="s">
        <v>294</v>
      </c>
      <c r="D462" s="16" t="s">
        <v>330</v>
      </c>
      <c r="E462" s="17">
        <v>10.0</v>
      </c>
      <c r="F462" s="2">
        <f>VLOOKUP(C462, Material!$E$2:$F$94, 2, FALSE)</f>
        <v>500</v>
      </c>
      <c r="G462" s="14">
        <f>VLOOKUP(C462, Material!$E$2:$G$94, 3, FALSE)</f>
        <v>273.6</v>
      </c>
    </row>
    <row r="463">
      <c r="B463" s="2" t="s">
        <v>88</v>
      </c>
      <c r="C463" s="18" t="s">
        <v>294</v>
      </c>
      <c r="D463" s="16" t="s">
        <v>330</v>
      </c>
      <c r="E463" s="17">
        <v>10.0</v>
      </c>
      <c r="F463" s="2">
        <f>VLOOKUP(C463, Material!$E$2:$F$94, 2, FALSE)</f>
        <v>500</v>
      </c>
      <c r="G463" s="14">
        <f>VLOOKUP(C463, Material!$E$2:$G$94, 3, FALSE)</f>
        <v>273.6</v>
      </c>
    </row>
    <row r="464">
      <c r="B464" s="2" t="s">
        <v>89</v>
      </c>
      <c r="C464" s="18" t="s">
        <v>294</v>
      </c>
      <c r="D464" s="16" t="s">
        <v>330</v>
      </c>
      <c r="E464" s="17">
        <v>10.0</v>
      </c>
      <c r="F464" s="2">
        <f>VLOOKUP(C464, Material!$E$2:$F$94, 2, FALSE)</f>
        <v>500</v>
      </c>
      <c r="G464" s="14">
        <f>VLOOKUP(C464, Material!$E$2:$G$94, 3, FALSE)</f>
        <v>273.6</v>
      </c>
    </row>
    <row r="465">
      <c r="B465" s="2" t="s">
        <v>90</v>
      </c>
      <c r="C465" s="18" t="s">
        <v>294</v>
      </c>
      <c r="D465" s="16" t="s">
        <v>330</v>
      </c>
      <c r="E465" s="17">
        <v>10.0</v>
      </c>
      <c r="F465" s="2">
        <f>VLOOKUP(C465, Material!$E$2:$F$94, 2, FALSE)</f>
        <v>500</v>
      </c>
      <c r="G465" s="14">
        <f>VLOOKUP(C465, Material!$E$2:$G$94, 3, FALSE)</f>
        <v>273.6</v>
      </c>
    </row>
    <row r="466">
      <c r="B466" s="2" t="s">
        <v>91</v>
      </c>
      <c r="C466" s="18" t="s">
        <v>294</v>
      </c>
      <c r="D466" s="16" t="s">
        <v>330</v>
      </c>
      <c r="E466" s="17">
        <v>10.0</v>
      </c>
      <c r="F466" s="2">
        <f>VLOOKUP(C466, Material!$E$2:$F$94, 2, FALSE)</f>
        <v>500</v>
      </c>
      <c r="G466" s="14">
        <f>VLOOKUP(C466, Material!$E$2:$G$94, 3, FALSE)</f>
        <v>273.6</v>
      </c>
    </row>
    <row r="467">
      <c r="B467" s="2" t="s">
        <v>92</v>
      </c>
      <c r="C467" s="18" t="s">
        <v>294</v>
      </c>
      <c r="D467" s="16" t="s">
        <v>330</v>
      </c>
      <c r="E467" s="17">
        <v>10.0</v>
      </c>
      <c r="F467" s="2">
        <f>VLOOKUP(C467, Material!$E$2:$F$94, 2, FALSE)</f>
        <v>500</v>
      </c>
      <c r="G467" s="14">
        <f>VLOOKUP(C467, Material!$E$2:$G$94, 3, FALSE)</f>
        <v>273.6</v>
      </c>
    </row>
    <row r="468">
      <c r="B468" s="2" t="s">
        <v>93</v>
      </c>
      <c r="C468" s="18" t="s">
        <v>294</v>
      </c>
      <c r="D468" s="16" t="s">
        <v>330</v>
      </c>
      <c r="E468" s="17">
        <v>10.0</v>
      </c>
      <c r="F468" s="2">
        <f>VLOOKUP(C468, Material!$E$2:$F$94, 2, FALSE)</f>
        <v>500</v>
      </c>
      <c r="G468" s="14">
        <f>VLOOKUP(C468, Material!$E$2:$G$94, 3, FALSE)</f>
        <v>273.6</v>
      </c>
    </row>
    <row r="469">
      <c r="B469" s="2" t="s">
        <v>94</v>
      </c>
      <c r="C469" s="18" t="s">
        <v>294</v>
      </c>
      <c r="D469" s="16" t="s">
        <v>330</v>
      </c>
      <c r="E469" s="17">
        <v>10.0</v>
      </c>
      <c r="F469" s="2">
        <f>VLOOKUP(C469, Material!$E$2:$F$94, 2, FALSE)</f>
        <v>500</v>
      </c>
      <c r="G469" s="14">
        <f>VLOOKUP(C469, Material!$E$2:$G$94, 3, FALSE)</f>
        <v>273.6</v>
      </c>
    </row>
    <row r="470">
      <c r="B470" s="2" t="s">
        <v>95</v>
      </c>
      <c r="C470" s="18" t="s">
        <v>294</v>
      </c>
      <c r="D470" s="16" t="s">
        <v>330</v>
      </c>
      <c r="E470" s="17">
        <v>10.0</v>
      </c>
      <c r="F470" s="2">
        <f>VLOOKUP(C470, Material!$E$2:$F$94, 2, FALSE)</f>
        <v>500</v>
      </c>
      <c r="G470" s="14">
        <f>VLOOKUP(C470, Material!$E$2:$G$94, 3, FALSE)</f>
        <v>273.6</v>
      </c>
    </row>
    <row r="471">
      <c r="B471" s="2" t="s">
        <v>96</v>
      </c>
      <c r="C471" s="18" t="s">
        <v>294</v>
      </c>
      <c r="D471" s="16" t="s">
        <v>330</v>
      </c>
      <c r="E471" s="17">
        <v>10.0</v>
      </c>
      <c r="F471" s="2">
        <f>VLOOKUP(C471, Material!$E$2:$F$94, 2, FALSE)</f>
        <v>500</v>
      </c>
      <c r="G471" s="14">
        <f>VLOOKUP(C471, Material!$E$2:$G$94, 3, FALSE)</f>
        <v>273.6</v>
      </c>
    </row>
    <row r="472">
      <c r="B472" s="2" t="s">
        <v>97</v>
      </c>
      <c r="C472" s="18" t="s">
        <v>294</v>
      </c>
      <c r="D472" s="16" t="s">
        <v>330</v>
      </c>
      <c r="E472" s="17">
        <v>10.0</v>
      </c>
      <c r="F472" s="2">
        <f>VLOOKUP(C472, Material!$E$2:$F$94, 2, FALSE)</f>
        <v>500</v>
      </c>
      <c r="G472" s="14">
        <f>VLOOKUP(C472, Material!$E$2:$G$94, 3, FALSE)</f>
        <v>273.6</v>
      </c>
    </row>
    <row r="473">
      <c r="B473" s="2" t="s">
        <v>98</v>
      </c>
      <c r="C473" s="18" t="s">
        <v>294</v>
      </c>
      <c r="D473" s="16" t="s">
        <v>330</v>
      </c>
      <c r="E473" s="17">
        <v>10.0</v>
      </c>
      <c r="F473" s="2">
        <f>VLOOKUP(C473, Material!$E$2:$F$94, 2, FALSE)</f>
        <v>500</v>
      </c>
      <c r="G473" s="14">
        <f>VLOOKUP(C473, Material!$E$2:$G$94, 3, FALSE)</f>
        <v>273.6</v>
      </c>
    </row>
    <row r="474">
      <c r="B474" s="2" t="s">
        <v>99</v>
      </c>
      <c r="C474" s="18" t="s">
        <v>294</v>
      </c>
      <c r="D474" s="16" t="s">
        <v>330</v>
      </c>
      <c r="E474" s="17">
        <v>10.0</v>
      </c>
      <c r="F474" s="2">
        <f>VLOOKUP(C474, Material!$E$2:$F$94, 2, FALSE)</f>
        <v>500</v>
      </c>
      <c r="G474" s="14">
        <f>VLOOKUP(C474, Material!$E$2:$G$94, 3, FALSE)</f>
        <v>273.6</v>
      </c>
    </row>
    <row r="475">
      <c r="B475" s="2" t="s">
        <v>100</v>
      </c>
      <c r="C475" s="18" t="s">
        <v>294</v>
      </c>
      <c r="D475" s="16" t="s">
        <v>330</v>
      </c>
      <c r="E475" s="17">
        <v>10.0</v>
      </c>
      <c r="F475" s="2">
        <f>VLOOKUP(C475, Material!$E$2:$F$94, 2, FALSE)</f>
        <v>500</v>
      </c>
      <c r="G475" s="14">
        <f>VLOOKUP(C475, Material!$E$2:$G$94, 3, FALSE)</f>
        <v>273.6</v>
      </c>
    </row>
    <row r="476">
      <c r="B476" s="2" t="s">
        <v>101</v>
      </c>
      <c r="C476" s="18" t="s">
        <v>294</v>
      </c>
      <c r="D476" s="16" t="s">
        <v>330</v>
      </c>
      <c r="E476" s="17">
        <v>10.0</v>
      </c>
      <c r="F476" s="2">
        <f>VLOOKUP(C476, Material!$E$2:$F$94, 2, FALSE)</f>
        <v>500</v>
      </c>
      <c r="G476" s="14">
        <f>VLOOKUP(C476, Material!$E$2:$G$94, 3, FALSE)</f>
        <v>273.6</v>
      </c>
    </row>
    <row r="477">
      <c r="B477" s="2" t="s">
        <v>102</v>
      </c>
      <c r="C477" s="18" t="s">
        <v>294</v>
      </c>
      <c r="D477" s="16" t="s">
        <v>330</v>
      </c>
      <c r="E477" s="17">
        <v>10.0</v>
      </c>
      <c r="F477" s="2">
        <f>VLOOKUP(C477, Material!$E$2:$F$94, 2, FALSE)</f>
        <v>500</v>
      </c>
      <c r="G477" s="14">
        <f>VLOOKUP(C477, Material!$E$2:$G$94, 3, FALSE)</f>
        <v>273.6</v>
      </c>
    </row>
    <row r="478">
      <c r="B478" s="2" t="s">
        <v>103</v>
      </c>
      <c r="C478" s="18" t="s">
        <v>294</v>
      </c>
      <c r="D478" s="16" t="s">
        <v>330</v>
      </c>
      <c r="E478" s="17">
        <v>10.0</v>
      </c>
      <c r="F478" s="2">
        <f>VLOOKUP(C478, Material!$E$2:$F$94, 2, FALSE)</f>
        <v>500</v>
      </c>
      <c r="G478" s="14">
        <f>VLOOKUP(C478, Material!$E$2:$G$94, 3, FALSE)</f>
        <v>273.6</v>
      </c>
    </row>
    <row r="479">
      <c r="B479" s="2" t="s">
        <v>105</v>
      </c>
      <c r="C479" s="18" t="s">
        <v>294</v>
      </c>
      <c r="D479" s="16" t="s">
        <v>330</v>
      </c>
      <c r="E479" s="17">
        <v>10.0</v>
      </c>
      <c r="F479" s="2">
        <f>VLOOKUP(C479, Material!$E$2:$F$94, 2, FALSE)</f>
        <v>500</v>
      </c>
      <c r="G479" s="14">
        <f>VLOOKUP(C479, Material!$E$2:$G$94, 3, FALSE)</f>
        <v>273.6</v>
      </c>
    </row>
    <row r="480">
      <c r="B480" s="2" t="s">
        <v>108</v>
      </c>
      <c r="C480" s="18" t="s">
        <v>294</v>
      </c>
      <c r="D480" s="16" t="s">
        <v>330</v>
      </c>
      <c r="E480" s="17">
        <v>10.0</v>
      </c>
      <c r="F480" s="2">
        <f>VLOOKUP(C480, Material!$E$2:$F$94, 2, FALSE)</f>
        <v>500</v>
      </c>
      <c r="G480" s="14">
        <f>VLOOKUP(C480, Material!$E$2:$G$94, 3, FALSE)</f>
        <v>273.6</v>
      </c>
    </row>
    <row r="481">
      <c r="B481" s="2" t="s">
        <v>112</v>
      </c>
      <c r="C481" s="18" t="s">
        <v>294</v>
      </c>
      <c r="D481" s="16" t="s">
        <v>330</v>
      </c>
      <c r="E481" s="17">
        <v>10.0</v>
      </c>
      <c r="F481" s="2">
        <f>VLOOKUP(C481, Material!$E$2:$F$94, 2, FALSE)</f>
        <v>500</v>
      </c>
      <c r="G481" s="14">
        <f>VLOOKUP(C481, Material!$E$2:$G$94, 3, FALSE)</f>
        <v>273.6</v>
      </c>
    </row>
    <row r="482">
      <c r="B482" s="2" t="s">
        <v>116</v>
      </c>
      <c r="C482" s="18" t="s">
        <v>294</v>
      </c>
      <c r="D482" s="16" t="s">
        <v>330</v>
      </c>
      <c r="E482" s="17">
        <v>10.0</v>
      </c>
      <c r="F482" s="2">
        <f>VLOOKUP(C482, Material!$E$2:$F$94, 2, FALSE)</f>
        <v>500</v>
      </c>
      <c r="G482" s="14">
        <f>VLOOKUP(C482, Material!$E$2:$G$94, 3, FALSE)</f>
        <v>273.6</v>
      </c>
    </row>
    <row r="483">
      <c r="B483" s="2" t="s">
        <v>118</v>
      </c>
      <c r="C483" s="18" t="s">
        <v>294</v>
      </c>
      <c r="D483" s="16" t="s">
        <v>330</v>
      </c>
      <c r="E483" s="17">
        <v>10.0</v>
      </c>
      <c r="F483" s="2">
        <f>VLOOKUP(C483, Material!$E$2:$F$94, 2, FALSE)</f>
        <v>500</v>
      </c>
      <c r="G483" s="14">
        <f>VLOOKUP(C483, Material!$E$2:$G$94, 3, FALSE)</f>
        <v>273.6</v>
      </c>
    </row>
    <row r="484">
      <c r="B484" s="2" t="s">
        <v>121</v>
      </c>
      <c r="C484" s="18" t="s">
        <v>294</v>
      </c>
      <c r="D484" s="16" t="s">
        <v>330</v>
      </c>
      <c r="E484" s="17">
        <v>10.0</v>
      </c>
      <c r="F484" s="2">
        <f>VLOOKUP(C484, Material!$E$2:$F$94, 2, FALSE)</f>
        <v>500</v>
      </c>
      <c r="G484" s="14">
        <f>VLOOKUP(C484, Material!$E$2:$G$94, 3, FALSE)</f>
        <v>273.6</v>
      </c>
    </row>
    <row r="485">
      <c r="B485" s="2" t="s">
        <v>122</v>
      </c>
      <c r="C485" s="18" t="s">
        <v>294</v>
      </c>
      <c r="D485" s="16" t="s">
        <v>330</v>
      </c>
      <c r="E485" s="17">
        <v>10.0</v>
      </c>
      <c r="F485" s="2">
        <f>VLOOKUP(C485, Material!$E$2:$F$94, 2, FALSE)</f>
        <v>500</v>
      </c>
      <c r="G485" s="14">
        <f>VLOOKUP(C485, Material!$E$2:$G$94, 3, FALSE)</f>
        <v>273.6</v>
      </c>
    </row>
    <row r="486">
      <c r="B486" s="2" t="s">
        <v>123</v>
      </c>
      <c r="C486" s="18" t="s">
        <v>294</v>
      </c>
      <c r="D486" s="16" t="s">
        <v>330</v>
      </c>
      <c r="E486" s="17">
        <v>10.0</v>
      </c>
      <c r="F486" s="2">
        <f>VLOOKUP(C486, Material!$E$2:$F$94, 2, FALSE)</f>
        <v>500</v>
      </c>
      <c r="G486" s="14">
        <f>VLOOKUP(C486, Material!$E$2:$G$94, 3, FALSE)</f>
        <v>273.6</v>
      </c>
    </row>
    <row r="487">
      <c r="B487" s="2" t="s">
        <v>125</v>
      </c>
      <c r="C487" s="18" t="s">
        <v>294</v>
      </c>
      <c r="D487" s="16" t="s">
        <v>330</v>
      </c>
      <c r="E487" s="17">
        <v>10.0</v>
      </c>
      <c r="F487" s="2">
        <f>VLOOKUP(C487, Material!$E$2:$F$94, 2, FALSE)</f>
        <v>500</v>
      </c>
      <c r="G487" s="14">
        <f>VLOOKUP(C487, Material!$E$2:$G$94, 3, FALSE)</f>
        <v>273.6</v>
      </c>
    </row>
    <row r="488">
      <c r="B488" s="2" t="s">
        <v>128</v>
      </c>
      <c r="C488" s="18" t="s">
        <v>294</v>
      </c>
      <c r="D488" s="16" t="s">
        <v>330</v>
      </c>
      <c r="E488" s="17">
        <v>10.0</v>
      </c>
      <c r="F488" s="2">
        <f>VLOOKUP(C488, Material!$E$2:$F$94, 2, FALSE)</f>
        <v>500</v>
      </c>
      <c r="G488" s="14">
        <f>VLOOKUP(C488, Material!$E$2:$G$94, 3, FALSE)</f>
        <v>273.6</v>
      </c>
    </row>
    <row r="489">
      <c r="B489" s="2" t="s">
        <v>129</v>
      </c>
      <c r="C489" s="18" t="s">
        <v>294</v>
      </c>
      <c r="D489" s="16" t="s">
        <v>330</v>
      </c>
      <c r="E489" s="17">
        <v>10.0</v>
      </c>
      <c r="F489" s="2">
        <f>VLOOKUP(C489, Material!$E$2:$F$94, 2, FALSE)</f>
        <v>500</v>
      </c>
      <c r="G489" s="14">
        <f>VLOOKUP(C489, Material!$E$2:$G$94, 3, FALSE)</f>
        <v>273.6</v>
      </c>
    </row>
    <row r="490">
      <c r="B490" s="2" t="s">
        <v>130</v>
      </c>
      <c r="C490" s="18" t="s">
        <v>294</v>
      </c>
      <c r="D490" s="16" t="s">
        <v>330</v>
      </c>
      <c r="E490" s="17">
        <v>10.0</v>
      </c>
      <c r="F490" s="2">
        <f>VLOOKUP(C490, Material!$E$2:$F$94, 2, FALSE)</f>
        <v>500</v>
      </c>
      <c r="G490" s="14">
        <f>VLOOKUP(C490, Material!$E$2:$G$94, 3, FALSE)</f>
        <v>273.6</v>
      </c>
    </row>
    <row r="491">
      <c r="B491" s="2" t="s">
        <v>131</v>
      </c>
      <c r="C491" s="18" t="s">
        <v>294</v>
      </c>
      <c r="D491" s="16" t="s">
        <v>330</v>
      </c>
      <c r="E491" s="17">
        <v>10.0</v>
      </c>
      <c r="F491" s="2">
        <f>VLOOKUP(C491, Material!$E$2:$F$94, 2, FALSE)</f>
        <v>500</v>
      </c>
      <c r="G491" s="14">
        <f>VLOOKUP(C491, Material!$E$2:$G$94, 3, FALSE)</f>
        <v>273.6</v>
      </c>
    </row>
    <row r="492">
      <c r="B492" s="2" t="s">
        <v>132</v>
      </c>
      <c r="C492" s="18" t="s">
        <v>294</v>
      </c>
      <c r="D492" s="16" t="s">
        <v>330</v>
      </c>
      <c r="E492" s="17">
        <v>10.0</v>
      </c>
      <c r="F492" s="2">
        <f>VLOOKUP(C492, Material!$E$2:$F$94, 2, FALSE)</f>
        <v>500</v>
      </c>
      <c r="G492" s="14">
        <f>VLOOKUP(C492, Material!$E$2:$G$94, 3, FALSE)</f>
        <v>273.6</v>
      </c>
    </row>
    <row r="493">
      <c r="B493" s="2" t="s">
        <v>133</v>
      </c>
      <c r="C493" s="18" t="s">
        <v>294</v>
      </c>
      <c r="D493" s="16" t="s">
        <v>330</v>
      </c>
      <c r="E493" s="17">
        <v>10.0</v>
      </c>
      <c r="F493" s="2">
        <f>VLOOKUP(C493, Material!$E$2:$F$94, 2, FALSE)</f>
        <v>500</v>
      </c>
      <c r="G493" s="14">
        <f>VLOOKUP(C493, Material!$E$2:$G$94, 3, FALSE)</f>
        <v>273.6</v>
      </c>
    </row>
    <row r="494">
      <c r="B494" s="2" t="s">
        <v>134</v>
      </c>
      <c r="C494" s="18" t="s">
        <v>294</v>
      </c>
      <c r="D494" s="16" t="s">
        <v>330</v>
      </c>
      <c r="E494" s="17">
        <v>10.0</v>
      </c>
      <c r="F494" s="2">
        <f>VLOOKUP(C494, Material!$E$2:$F$94, 2, FALSE)</f>
        <v>500</v>
      </c>
      <c r="G494" s="14">
        <f>VLOOKUP(C494, Material!$E$2:$G$94, 3, FALSE)</f>
        <v>273.6</v>
      </c>
    </row>
    <row r="495">
      <c r="B495" s="2" t="s">
        <v>135</v>
      </c>
      <c r="C495" s="18" t="s">
        <v>294</v>
      </c>
      <c r="D495" s="16" t="s">
        <v>330</v>
      </c>
      <c r="E495" s="17">
        <v>10.0</v>
      </c>
      <c r="F495" s="2">
        <f>VLOOKUP(C495, Material!$E$2:$F$94, 2, FALSE)</f>
        <v>500</v>
      </c>
      <c r="G495" s="14">
        <f>VLOOKUP(C495, Material!$E$2:$G$94, 3, FALSE)</f>
        <v>273.6</v>
      </c>
    </row>
    <row r="496">
      <c r="B496" s="2" t="s">
        <v>136</v>
      </c>
      <c r="C496" s="18" t="s">
        <v>294</v>
      </c>
      <c r="D496" s="16" t="s">
        <v>330</v>
      </c>
      <c r="E496" s="17">
        <v>10.0</v>
      </c>
      <c r="F496" s="2">
        <f>VLOOKUP(C496, Material!$E$2:$F$94, 2, FALSE)</f>
        <v>500</v>
      </c>
      <c r="G496" s="14">
        <f>VLOOKUP(C496, Material!$E$2:$G$94, 3, FALSE)</f>
        <v>273.6</v>
      </c>
    </row>
    <row r="497">
      <c r="B497" s="2" t="s">
        <v>138</v>
      </c>
      <c r="C497" s="18" t="s">
        <v>294</v>
      </c>
      <c r="D497" s="16" t="s">
        <v>330</v>
      </c>
      <c r="E497" s="17">
        <v>10.0</v>
      </c>
      <c r="F497" s="2">
        <f>VLOOKUP(C497, Material!$E$2:$F$94, 2, FALSE)</f>
        <v>500</v>
      </c>
      <c r="G497" s="14">
        <f>VLOOKUP(C497, Material!$E$2:$G$94, 3, FALSE)</f>
        <v>273.6</v>
      </c>
    </row>
    <row r="498">
      <c r="B498" s="2" t="s">
        <v>140</v>
      </c>
      <c r="C498" s="18" t="s">
        <v>294</v>
      </c>
      <c r="D498" s="16" t="s">
        <v>330</v>
      </c>
      <c r="E498" s="17">
        <v>10.0</v>
      </c>
      <c r="F498" s="2">
        <f>VLOOKUP(C498, Material!$E$2:$F$94, 2, FALSE)</f>
        <v>500</v>
      </c>
      <c r="G498" s="14">
        <f>VLOOKUP(C498, Material!$E$2:$G$94, 3, FALSE)</f>
        <v>273.6</v>
      </c>
    </row>
    <row r="499">
      <c r="B499" s="2" t="s">
        <v>142</v>
      </c>
      <c r="C499" s="18" t="s">
        <v>294</v>
      </c>
      <c r="D499" s="16" t="s">
        <v>330</v>
      </c>
      <c r="E499" s="17">
        <v>10.0</v>
      </c>
      <c r="F499" s="2">
        <f>VLOOKUP(C499, Material!$E$2:$F$94, 2, FALSE)</f>
        <v>500</v>
      </c>
      <c r="G499" s="14">
        <f>VLOOKUP(C499, Material!$E$2:$G$94, 3, FALSE)</f>
        <v>273.6</v>
      </c>
    </row>
    <row r="500">
      <c r="B500" s="2" t="s">
        <v>143</v>
      </c>
      <c r="C500" s="18" t="s">
        <v>294</v>
      </c>
      <c r="D500" s="16" t="s">
        <v>330</v>
      </c>
      <c r="E500" s="17">
        <v>10.0</v>
      </c>
      <c r="F500" s="2">
        <f>VLOOKUP(C500, Material!$E$2:$F$94, 2, FALSE)</f>
        <v>500</v>
      </c>
      <c r="G500" s="14">
        <f>VLOOKUP(C500, Material!$E$2:$G$94, 3, FALSE)</f>
        <v>273.6</v>
      </c>
    </row>
    <row r="501">
      <c r="B501" s="2" t="s">
        <v>145</v>
      </c>
      <c r="C501" s="18" t="s">
        <v>294</v>
      </c>
      <c r="D501" s="16" t="s">
        <v>330</v>
      </c>
      <c r="E501" s="17">
        <v>10.0</v>
      </c>
      <c r="F501" s="2">
        <f>VLOOKUP(C501, Material!$E$2:$F$94, 2, FALSE)</f>
        <v>500</v>
      </c>
      <c r="G501" s="14">
        <f>VLOOKUP(C501, Material!$E$2:$G$94, 3, FALSE)</f>
        <v>273.6</v>
      </c>
    </row>
    <row r="502">
      <c r="B502" s="2" t="s">
        <v>146</v>
      </c>
      <c r="C502" s="18" t="s">
        <v>294</v>
      </c>
      <c r="D502" s="16" t="s">
        <v>330</v>
      </c>
      <c r="E502" s="17">
        <v>10.0</v>
      </c>
      <c r="F502" s="2">
        <f>VLOOKUP(C502, Material!$E$2:$F$94, 2, FALSE)</f>
        <v>500</v>
      </c>
      <c r="G502" s="14">
        <f>VLOOKUP(C502, Material!$E$2:$G$94, 3, FALSE)</f>
        <v>273.6</v>
      </c>
    </row>
    <row r="503">
      <c r="B503" s="2" t="s">
        <v>147</v>
      </c>
      <c r="C503" s="18" t="s">
        <v>294</v>
      </c>
      <c r="D503" s="16" t="s">
        <v>330</v>
      </c>
      <c r="E503" s="17">
        <v>10.0</v>
      </c>
      <c r="F503" s="2">
        <f>VLOOKUP(C503, Material!$E$2:$F$94, 2, FALSE)</f>
        <v>500</v>
      </c>
      <c r="G503" s="14">
        <f>VLOOKUP(C503, Material!$E$2:$G$94, 3, FALSE)</f>
        <v>273.6</v>
      </c>
    </row>
    <row r="504">
      <c r="B504" s="2" t="s">
        <v>148</v>
      </c>
      <c r="C504" s="18" t="s">
        <v>294</v>
      </c>
      <c r="D504" s="16" t="s">
        <v>330</v>
      </c>
      <c r="E504" s="17">
        <v>10.0</v>
      </c>
      <c r="F504" s="2">
        <f>VLOOKUP(C504, Material!$E$2:$F$94, 2, FALSE)</f>
        <v>500</v>
      </c>
      <c r="G504" s="14">
        <f>VLOOKUP(C504, Material!$E$2:$G$94, 3, FALSE)</f>
        <v>273.6</v>
      </c>
    </row>
    <row r="505">
      <c r="B505" s="2" t="s">
        <v>150</v>
      </c>
      <c r="C505" s="18" t="s">
        <v>294</v>
      </c>
      <c r="D505" s="16" t="s">
        <v>330</v>
      </c>
      <c r="E505" s="17">
        <v>10.0</v>
      </c>
      <c r="F505" s="2">
        <f>VLOOKUP(C505, Material!$E$2:$F$94, 2, FALSE)</f>
        <v>500</v>
      </c>
      <c r="G505" s="14">
        <f>VLOOKUP(C505, Material!$E$2:$G$94, 3, FALSE)</f>
        <v>273.6</v>
      </c>
    </row>
    <row r="506">
      <c r="B506" s="2" t="s">
        <v>151</v>
      </c>
      <c r="C506" s="18" t="s">
        <v>294</v>
      </c>
      <c r="D506" s="16" t="s">
        <v>330</v>
      </c>
      <c r="E506" s="17">
        <v>10.0</v>
      </c>
      <c r="F506" s="2">
        <f>VLOOKUP(C506, Material!$E$2:$F$94, 2, FALSE)</f>
        <v>500</v>
      </c>
      <c r="G506" s="14">
        <f>VLOOKUP(C506, Material!$E$2:$G$94, 3, FALSE)</f>
        <v>273.6</v>
      </c>
    </row>
    <row r="507">
      <c r="B507" s="2" t="s">
        <v>152</v>
      </c>
      <c r="C507" s="18" t="s">
        <v>294</v>
      </c>
      <c r="D507" s="16" t="s">
        <v>330</v>
      </c>
      <c r="E507" s="17">
        <v>10.0</v>
      </c>
      <c r="F507" s="2">
        <f>VLOOKUP(C507, Material!$E$2:$F$94, 2, FALSE)</f>
        <v>500</v>
      </c>
      <c r="G507" s="14">
        <f>VLOOKUP(C507, Material!$E$2:$G$94, 3, FALSE)</f>
        <v>273.6</v>
      </c>
    </row>
    <row r="508">
      <c r="B508" s="2" t="s">
        <v>153</v>
      </c>
      <c r="C508" s="18" t="s">
        <v>294</v>
      </c>
      <c r="D508" s="16" t="s">
        <v>330</v>
      </c>
      <c r="E508" s="17">
        <v>10.0</v>
      </c>
      <c r="F508" s="2">
        <f>VLOOKUP(C508, Material!$E$2:$F$94, 2, FALSE)</f>
        <v>500</v>
      </c>
      <c r="G508" s="14">
        <f>VLOOKUP(C508, Material!$E$2:$G$94, 3, FALSE)</f>
        <v>273.6</v>
      </c>
    </row>
    <row r="509">
      <c r="B509" s="2" t="s">
        <v>155</v>
      </c>
      <c r="C509" s="18" t="s">
        <v>294</v>
      </c>
      <c r="D509" s="16" t="s">
        <v>330</v>
      </c>
      <c r="E509" s="17">
        <v>10.0</v>
      </c>
      <c r="F509" s="2">
        <f>VLOOKUP(C509, Material!$E$2:$F$94, 2, FALSE)</f>
        <v>500</v>
      </c>
      <c r="G509" s="14">
        <f>VLOOKUP(C509, Material!$E$2:$G$94, 3, FALSE)</f>
        <v>273.6</v>
      </c>
    </row>
    <row r="510">
      <c r="B510" s="2" t="s">
        <v>156</v>
      </c>
      <c r="C510" s="18" t="s">
        <v>294</v>
      </c>
      <c r="D510" s="16" t="s">
        <v>330</v>
      </c>
      <c r="E510" s="17">
        <v>10.0</v>
      </c>
      <c r="F510" s="2">
        <f>VLOOKUP(C510, Material!$E$2:$F$94, 2, FALSE)</f>
        <v>500</v>
      </c>
      <c r="G510" s="14">
        <f>VLOOKUP(C510, Material!$E$2:$G$94, 3, FALSE)</f>
        <v>273.6</v>
      </c>
    </row>
    <row r="511">
      <c r="B511" s="2" t="s">
        <v>157</v>
      </c>
      <c r="C511" s="18" t="s">
        <v>294</v>
      </c>
      <c r="D511" s="16" t="s">
        <v>330</v>
      </c>
      <c r="E511" s="17">
        <v>10.0</v>
      </c>
      <c r="F511" s="2">
        <f>VLOOKUP(C511, Material!$E$2:$F$94, 2, FALSE)</f>
        <v>500</v>
      </c>
      <c r="G511" s="14">
        <f>VLOOKUP(C511, Material!$E$2:$G$94, 3, FALSE)</f>
        <v>273.6</v>
      </c>
    </row>
    <row r="512">
      <c r="B512" s="2" t="s">
        <v>159</v>
      </c>
      <c r="C512" s="18" t="s">
        <v>294</v>
      </c>
      <c r="D512" s="16" t="s">
        <v>330</v>
      </c>
      <c r="E512" s="17">
        <v>10.0</v>
      </c>
      <c r="F512" s="2">
        <f>VLOOKUP(C512, Material!$E$2:$F$94, 2, FALSE)</f>
        <v>500</v>
      </c>
      <c r="G512" s="14">
        <f>VLOOKUP(C512, Material!$E$2:$G$94, 3, FALSE)</f>
        <v>273.6</v>
      </c>
    </row>
    <row r="513">
      <c r="B513" s="2" t="s">
        <v>160</v>
      </c>
      <c r="C513" s="18" t="s">
        <v>294</v>
      </c>
      <c r="D513" s="16" t="s">
        <v>330</v>
      </c>
      <c r="E513" s="17">
        <v>10.0</v>
      </c>
      <c r="F513" s="2">
        <f>VLOOKUP(C513, Material!$E$2:$F$94, 2, FALSE)</f>
        <v>500</v>
      </c>
      <c r="G513" s="14">
        <f>VLOOKUP(C513, Material!$E$2:$G$94, 3, FALSE)</f>
        <v>273.6</v>
      </c>
    </row>
    <row r="514">
      <c r="B514" s="2" t="s">
        <v>161</v>
      </c>
      <c r="C514" s="18" t="s">
        <v>294</v>
      </c>
      <c r="D514" s="16" t="s">
        <v>330</v>
      </c>
      <c r="E514" s="17">
        <v>10.0</v>
      </c>
      <c r="F514" s="2">
        <f>VLOOKUP(C514, Material!$E$2:$F$94, 2, FALSE)</f>
        <v>500</v>
      </c>
      <c r="G514" s="14">
        <f>VLOOKUP(C514, Material!$E$2:$G$94, 3, FALSE)</f>
        <v>273.6</v>
      </c>
    </row>
    <row r="515">
      <c r="B515" s="1" t="s">
        <v>163</v>
      </c>
      <c r="C515" s="18" t="s">
        <v>294</v>
      </c>
      <c r="D515" s="16" t="s">
        <v>330</v>
      </c>
      <c r="E515" s="17">
        <v>10.0</v>
      </c>
      <c r="F515" s="2">
        <f>VLOOKUP(C515, Material!$E$2:$F$94, 2, FALSE)</f>
        <v>500</v>
      </c>
      <c r="G515" s="14">
        <f>VLOOKUP(C515, Material!$E$2:$G$94, 3, FALSE)</f>
        <v>273.6</v>
      </c>
    </row>
    <row r="516">
      <c r="B516" s="1" t="s">
        <v>165</v>
      </c>
      <c r="C516" s="18" t="s">
        <v>294</v>
      </c>
      <c r="D516" s="16" t="s">
        <v>330</v>
      </c>
      <c r="E516" s="17">
        <v>10.0</v>
      </c>
      <c r="F516" s="2">
        <f>VLOOKUP(C516, Material!$E$2:$F$94, 2, FALSE)</f>
        <v>500</v>
      </c>
      <c r="G516" s="14">
        <f>VLOOKUP(C516, Material!$E$2:$G$94, 3, FALSE)</f>
        <v>273.6</v>
      </c>
    </row>
    <row r="517">
      <c r="B517" s="1" t="s">
        <v>167</v>
      </c>
      <c r="C517" s="18" t="s">
        <v>294</v>
      </c>
      <c r="D517" s="16" t="s">
        <v>330</v>
      </c>
      <c r="E517" s="17">
        <v>10.0</v>
      </c>
      <c r="F517" s="2">
        <f>VLOOKUP(C517, Material!$E$2:$F$94, 2, FALSE)</f>
        <v>500</v>
      </c>
      <c r="G517" s="14">
        <f>VLOOKUP(C517, Material!$E$2:$G$94, 3, FALSE)</f>
        <v>273.6</v>
      </c>
    </row>
    <row r="518">
      <c r="B518" s="1" t="s">
        <v>169</v>
      </c>
      <c r="C518" s="18" t="s">
        <v>294</v>
      </c>
      <c r="D518" s="16" t="s">
        <v>330</v>
      </c>
      <c r="E518" s="17">
        <v>10.0</v>
      </c>
      <c r="F518" s="2">
        <f>VLOOKUP(C518, Material!$E$2:$F$94, 2, FALSE)</f>
        <v>500</v>
      </c>
      <c r="G518" s="14">
        <f>VLOOKUP(C518, Material!$E$2:$G$94, 3, FALSE)</f>
        <v>273.6</v>
      </c>
    </row>
    <row r="519">
      <c r="B519" s="2" t="s">
        <v>171</v>
      </c>
      <c r="C519" s="18" t="s">
        <v>294</v>
      </c>
      <c r="D519" s="16" t="s">
        <v>330</v>
      </c>
      <c r="E519" s="17">
        <v>10.0</v>
      </c>
      <c r="F519" s="2">
        <f>VLOOKUP(C519, Material!$E$2:$F$94, 2, FALSE)</f>
        <v>500</v>
      </c>
      <c r="G519" s="14">
        <f>VLOOKUP(C519, Material!$E$2:$G$94, 3, FALSE)</f>
        <v>273.6</v>
      </c>
    </row>
    <row r="520">
      <c r="B520" s="2" t="s">
        <v>174</v>
      </c>
      <c r="C520" s="18" t="s">
        <v>294</v>
      </c>
      <c r="D520" s="16" t="s">
        <v>330</v>
      </c>
      <c r="E520" s="17">
        <v>10.0</v>
      </c>
      <c r="F520" s="2">
        <f>VLOOKUP(C520, Material!$E$2:$F$94, 2, FALSE)</f>
        <v>500</v>
      </c>
      <c r="G520" s="14">
        <f>VLOOKUP(C520, Material!$E$2:$G$94, 3, FALSE)</f>
        <v>273.6</v>
      </c>
    </row>
    <row r="521">
      <c r="B521" s="2" t="s">
        <v>177</v>
      </c>
      <c r="C521" s="18" t="s">
        <v>294</v>
      </c>
      <c r="D521" s="16" t="s">
        <v>330</v>
      </c>
      <c r="E521" s="17">
        <v>10.0</v>
      </c>
      <c r="F521" s="2">
        <f>VLOOKUP(C521, Material!$E$2:$F$94, 2, FALSE)</f>
        <v>500</v>
      </c>
      <c r="G521" s="14">
        <f>VLOOKUP(C521, Material!$E$2:$G$94, 3, FALSE)</f>
        <v>273.6</v>
      </c>
    </row>
    <row r="522">
      <c r="B522" s="2" t="s">
        <v>179</v>
      </c>
      <c r="C522" s="18" t="s">
        <v>294</v>
      </c>
      <c r="D522" s="16" t="s">
        <v>330</v>
      </c>
      <c r="E522" s="17">
        <v>10.0</v>
      </c>
      <c r="F522" s="2">
        <f>VLOOKUP(C522, Material!$E$2:$F$94, 2, FALSE)</f>
        <v>500</v>
      </c>
      <c r="G522" s="14">
        <f>VLOOKUP(C522, Material!$E$2:$G$94, 3, FALSE)</f>
        <v>273.6</v>
      </c>
    </row>
    <row r="523">
      <c r="B523" s="2" t="s">
        <v>180</v>
      </c>
      <c r="C523" s="18" t="s">
        <v>294</v>
      </c>
      <c r="D523" s="16" t="s">
        <v>330</v>
      </c>
      <c r="E523" s="17">
        <v>10.0</v>
      </c>
      <c r="F523" s="2">
        <f>VLOOKUP(C523, Material!$E$2:$F$94, 2, FALSE)</f>
        <v>500</v>
      </c>
      <c r="G523" s="14">
        <f>VLOOKUP(C523, Material!$E$2:$G$94, 3, FALSE)</f>
        <v>273.6</v>
      </c>
    </row>
    <row r="524">
      <c r="B524" s="2" t="s">
        <v>182</v>
      </c>
      <c r="C524" s="18" t="s">
        <v>294</v>
      </c>
      <c r="D524" s="16" t="s">
        <v>330</v>
      </c>
      <c r="E524" s="17">
        <v>10.0</v>
      </c>
      <c r="F524" s="2">
        <f>VLOOKUP(C524, Material!$E$2:$F$94, 2, FALSE)</f>
        <v>500</v>
      </c>
      <c r="G524" s="14">
        <f>VLOOKUP(C524, Material!$E$2:$G$94, 3, FALSE)</f>
        <v>273.6</v>
      </c>
    </row>
    <row r="525">
      <c r="B525" s="2" t="s">
        <v>184</v>
      </c>
      <c r="C525" s="18" t="s">
        <v>294</v>
      </c>
      <c r="D525" s="16" t="s">
        <v>330</v>
      </c>
      <c r="E525" s="17">
        <v>10.0</v>
      </c>
      <c r="F525" s="2">
        <f>VLOOKUP(C525, Material!$E$2:$F$94, 2, FALSE)</f>
        <v>500</v>
      </c>
      <c r="G525" s="14">
        <f>VLOOKUP(C525, Material!$E$2:$G$94, 3, FALSE)</f>
        <v>273.6</v>
      </c>
    </row>
    <row r="526">
      <c r="B526" s="2" t="s">
        <v>186</v>
      </c>
      <c r="C526" s="18" t="s">
        <v>294</v>
      </c>
      <c r="D526" s="16" t="s">
        <v>330</v>
      </c>
      <c r="E526" s="17">
        <v>10.0</v>
      </c>
      <c r="F526" s="2">
        <f>VLOOKUP(C526, Material!$E$2:$F$94, 2, FALSE)</f>
        <v>500</v>
      </c>
      <c r="G526" s="14">
        <f>VLOOKUP(C526, Material!$E$2:$G$94, 3, FALSE)</f>
        <v>273.6</v>
      </c>
    </row>
    <row r="527">
      <c r="B527" s="2" t="s">
        <v>187</v>
      </c>
      <c r="C527" s="18" t="s">
        <v>294</v>
      </c>
      <c r="D527" s="16" t="s">
        <v>330</v>
      </c>
      <c r="E527" s="17">
        <v>10.0</v>
      </c>
      <c r="F527" s="2">
        <f>VLOOKUP(C527, Material!$E$2:$F$94, 2, FALSE)</f>
        <v>500</v>
      </c>
      <c r="G527" s="14">
        <f>VLOOKUP(C527, Material!$E$2:$G$94, 3, FALSE)</f>
        <v>273.6</v>
      </c>
    </row>
    <row r="528">
      <c r="B528" s="2" t="s">
        <v>188</v>
      </c>
      <c r="C528" s="18" t="s">
        <v>294</v>
      </c>
      <c r="D528" s="16" t="s">
        <v>330</v>
      </c>
      <c r="E528" s="17">
        <v>10.0</v>
      </c>
      <c r="F528" s="2">
        <f>VLOOKUP(C528, Material!$E$2:$F$94, 2, FALSE)</f>
        <v>500</v>
      </c>
      <c r="G528" s="14">
        <f>VLOOKUP(C528, Material!$E$2:$G$94, 3, FALSE)</f>
        <v>273.6</v>
      </c>
    </row>
    <row r="529">
      <c r="B529" s="2" t="s">
        <v>189</v>
      </c>
      <c r="C529" s="18" t="s">
        <v>294</v>
      </c>
      <c r="D529" s="16" t="s">
        <v>330</v>
      </c>
      <c r="E529" s="17">
        <v>10.0</v>
      </c>
      <c r="F529" s="2">
        <f>VLOOKUP(C529, Material!$E$2:$F$94, 2, FALSE)</f>
        <v>500</v>
      </c>
      <c r="G529" s="14">
        <f>VLOOKUP(C529, Material!$E$2:$G$94, 3, FALSE)</f>
        <v>273.6</v>
      </c>
    </row>
    <row r="530">
      <c r="B530" s="2" t="s">
        <v>190</v>
      </c>
      <c r="C530" s="18" t="s">
        <v>294</v>
      </c>
      <c r="D530" s="16" t="s">
        <v>330</v>
      </c>
      <c r="E530" s="17">
        <v>10.0</v>
      </c>
      <c r="F530" s="2">
        <f>VLOOKUP(C530, Material!$E$2:$F$94, 2, FALSE)</f>
        <v>500</v>
      </c>
      <c r="G530" s="14">
        <f>VLOOKUP(C530, Material!$E$2:$G$94, 3, FALSE)</f>
        <v>273.6</v>
      </c>
    </row>
    <row r="531">
      <c r="B531" s="2" t="s">
        <v>191</v>
      </c>
      <c r="C531" s="18" t="s">
        <v>294</v>
      </c>
      <c r="D531" s="16" t="s">
        <v>330</v>
      </c>
      <c r="E531" s="17">
        <v>10.0</v>
      </c>
      <c r="F531" s="2">
        <f>VLOOKUP(C531, Material!$E$2:$F$94, 2, FALSE)</f>
        <v>500</v>
      </c>
      <c r="G531" s="14">
        <f>VLOOKUP(C531, Material!$E$2:$G$94, 3, FALSE)</f>
        <v>273.6</v>
      </c>
    </row>
    <row r="532">
      <c r="B532" s="2" t="s">
        <v>192</v>
      </c>
      <c r="C532" s="18" t="s">
        <v>294</v>
      </c>
      <c r="D532" s="16" t="s">
        <v>330</v>
      </c>
      <c r="E532" s="17">
        <v>10.0</v>
      </c>
      <c r="F532" s="2">
        <f>VLOOKUP(C532, Material!$E$2:$F$94, 2, FALSE)</f>
        <v>500</v>
      </c>
      <c r="G532" s="14">
        <f>VLOOKUP(C532, Material!$E$2:$G$94, 3, FALSE)</f>
        <v>273.6</v>
      </c>
    </row>
    <row r="533">
      <c r="B533" s="2" t="s">
        <v>193</v>
      </c>
      <c r="C533" s="18" t="s">
        <v>294</v>
      </c>
      <c r="D533" s="16" t="s">
        <v>330</v>
      </c>
      <c r="E533" s="17">
        <v>10.0</v>
      </c>
      <c r="F533" s="2">
        <f>VLOOKUP(C533, Material!$E$2:$F$94, 2, FALSE)</f>
        <v>500</v>
      </c>
      <c r="G533" s="14">
        <f>VLOOKUP(C533, Material!$E$2:$G$94, 3, FALSE)</f>
        <v>273.6</v>
      </c>
    </row>
    <row r="534">
      <c r="B534" s="2" t="s">
        <v>194</v>
      </c>
      <c r="C534" s="18" t="s">
        <v>294</v>
      </c>
      <c r="D534" s="16" t="s">
        <v>330</v>
      </c>
      <c r="E534" s="17">
        <v>10.0</v>
      </c>
      <c r="F534" s="2">
        <f>VLOOKUP(C534, Material!$E$2:$F$94, 2, FALSE)</f>
        <v>500</v>
      </c>
      <c r="G534" s="14">
        <f>VLOOKUP(C534, Material!$E$2:$G$94, 3, FALSE)</f>
        <v>273.6</v>
      </c>
    </row>
    <row r="535">
      <c r="B535" s="2" t="s">
        <v>195</v>
      </c>
      <c r="C535" s="18" t="s">
        <v>294</v>
      </c>
      <c r="D535" s="16" t="s">
        <v>330</v>
      </c>
      <c r="E535" s="17">
        <v>10.0</v>
      </c>
      <c r="F535" s="2">
        <f>VLOOKUP(C535, Material!$E$2:$F$94, 2, FALSE)</f>
        <v>500</v>
      </c>
      <c r="G535" s="14">
        <f>VLOOKUP(C535, Material!$E$2:$G$94, 3, FALSE)</f>
        <v>273.6</v>
      </c>
    </row>
    <row r="536">
      <c r="B536" s="2" t="s">
        <v>196</v>
      </c>
      <c r="C536" s="18" t="s">
        <v>294</v>
      </c>
      <c r="D536" s="16" t="s">
        <v>330</v>
      </c>
      <c r="E536" s="17">
        <v>10.0</v>
      </c>
      <c r="F536" s="2">
        <f>VLOOKUP(C536, Material!$E$2:$F$94, 2, FALSE)</f>
        <v>500</v>
      </c>
      <c r="G536" s="14">
        <f>VLOOKUP(C536, Material!$E$2:$G$94, 3, FALSE)</f>
        <v>273.6</v>
      </c>
    </row>
    <row r="537">
      <c r="B537" s="2" t="s">
        <v>197</v>
      </c>
      <c r="C537" s="18" t="s">
        <v>294</v>
      </c>
      <c r="D537" s="16" t="s">
        <v>330</v>
      </c>
      <c r="E537" s="17">
        <v>10.0</v>
      </c>
      <c r="F537" s="2">
        <f>VLOOKUP(C537, Material!$E$2:$F$94, 2, FALSE)</f>
        <v>500</v>
      </c>
      <c r="G537" s="14">
        <f>VLOOKUP(C537, Material!$E$2:$G$94, 3, FALSE)</f>
        <v>273.6</v>
      </c>
    </row>
    <row r="538">
      <c r="B538" s="2" t="s">
        <v>198</v>
      </c>
      <c r="C538" s="18" t="s">
        <v>294</v>
      </c>
      <c r="D538" s="16" t="s">
        <v>330</v>
      </c>
      <c r="E538" s="17">
        <v>10.0</v>
      </c>
      <c r="F538" s="2">
        <f>VLOOKUP(C538, Material!$E$2:$F$94, 2, FALSE)</f>
        <v>500</v>
      </c>
      <c r="G538" s="14">
        <f>VLOOKUP(C538, Material!$E$2:$G$94, 3, FALSE)</f>
        <v>273.6</v>
      </c>
    </row>
    <row r="539">
      <c r="B539" s="1" t="s">
        <v>200</v>
      </c>
      <c r="C539" s="18" t="s">
        <v>294</v>
      </c>
      <c r="D539" s="16" t="s">
        <v>330</v>
      </c>
      <c r="E539" s="17">
        <v>10.0</v>
      </c>
      <c r="F539" s="2">
        <f>VLOOKUP(C539, Material!$E$2:$F$94, 2, FALSE)</f>
        <v>500</v>
      </c>
      <c r="G539" s="14">
        <f>VLOOKUP(C539, Material!$E$2:$G$94, 3, FALSE)</f>
        <v>273.6</v>
      </c>
    </row>
    <row r="540">
      <c r="B540" s="1" t="s">
        <v>202</v>
      </c>
      <c r="C540" s="18" t="s">
        <v>294</v>
      </c>
      <c r="D540" s="16" t="s">
        <v>330</v>
      </c>
      <c r="E540" s="17">
        <v>10.0</v>
      </c>
      <c r="F540" s="2">
        <f>VLOOKUP(C540, Material!$E$2:$F$94, 2, FALSE)</f>
        <v>500</v>
      </c>
      <c r="G540" s="14">
        <f>VLOOKUP(C540, Material!$E$2:$G$94, 3, FALSE)</f>
        <v>273.6</v>
      </c>
    </row>
    <row r="541">
      <c r="B541" s="1" t="s">
        <v>317</v>
      </c>
      <c r="C541" s="18" t="s">
        <v>294</v>
      </c>
      <c r="D541" s="16" t="s">
        <v>330</v>
      </c>
      <c r="E541" s="17">
        <v>10.0</v>
      </c>
      <c r="F541" s="2">
        <f>VLOOKUP(C541, Material!$E$2:$F$94, 2, FALSE)</f>
        <v>500</v>
      </c>
      <c r="G541" s="14">
        <f>VLOOKUP(C541, Material!$E$2:$G$94, 3, FALSE)</f>
        <v>273.6</v>
      </c>
    </row>
    <row r="542">
      <c r="B542" s="1" t="s">
        <v>204</v>
      </c>
      <c r="C542" s="18" t="s">
        <v>294</v>
      </c>
      <c r="D542" s="16" t="s">
        <v>330</v>
      </c>
      <c r="E542" s="17">
        <v>10.0</v>
      </c>
      <c r="F542" s="2">
        <f>VLOOKUP(C542, Material!$E$2:$F$94, 2, FALSE)</f>
        <v>500</v>
      </c>
      <c r="G542" s="14">
        <f>VLOOKUP(C542, Material!$E$2:$G$94, 3, FALSE)</f>
        <v>273.6</v>
      </c>
    </row>
    <row r="543">
      <c r="B543" s="1" t="s">
        <v>206</v>
      </c>
      <c r="C543" s="18" t="s">
        <v>294</v>
      </c>
      <c r="D543" s="16" t="s">
        <v>330</v>
      </c>
      <c r="E543" s="17">
        <v>10.0</v>
      </c>
      <c r="F543" s="2">
        <f>VLOOKUP(C543, Material!$E$2:$F$94, 2, FALSE)</f>
        <v>500</v>
      </c>
      <c r="G543" s="14">
        <f>VLOOKUP(C543, Material!$E$2:$G$94, 3, FALSE)</f>
        <v>273.6</v>
      </c>
    </row>
    <row r="544">
      <c r="B544" s="1" t="s">
        <v>208</v>
      </c>
      <c r="C544" s="18" t="s">
        <v>294</v>
      </c>
      <c r="D544" s="16" t="s">
        <v>330</v>
      </c>
      <c r="E544" s="17">
        <v>10.0</v>
      </c>
      <c r="F544" s="2">
        <f>VLOOKUP(C544, Material!$E$2:$F$94, 2, FALSE)</f>
        <v>500</v>
      </c>
      <c r="G544" s="14">
        <f>VLOOKUP(C544, Material!$E$2:$G$94, 3, FALSE)</f>
        <v>273.6</v>
      </c>
    </row>
    <row r="545">
      <c r="D545" s="25"/>
      <c r="E545" s="34"/>
    </row>
    <row r="546">
      <c r="D546" s="25"/>
      <c r="E546" s="34"/>
    </row>
    <row r="547">
      <c r="D547" s="25"/>
      <c r="E547" s="34"/>
    </row>
    <row r="548">
      <c r="D548" s="25"/>
      <c r="E548" s="34"/>
    </row>
    <row r="549">
      <c r="D549" s="25"/>
      <c r="E549" s="34"/>
    </row>
    <row r="550">
      <c r="D550" s="25"/>
      <c r="E550" s="34"/>
    </row>
    <row r="551">
      <c r="D551" s="25"/>
      <c r="E551" s="34"/>
    </row>
    <row r="552">
      <c r="D552" s="25"/>
      <c r="E552" s="34"/>
    </row>
    <row r="553">
      <c r="D553" s="25"/>
      <c r="E553" s="34"/>
    </row>
    <row r="554">
      <c r="D554" s="25"/>
      <c r="E554" s="34"/>
    </row>
    <row r="555">
      <c r="D555" s="25"/>
      <c r="E555" s="34"/>
    </row>
    <row r="556">
      <c r="D556" s="25"/>
      <c r="E556" s="34"/>
    </row>
    <row r="557">
      <c r="D557" s="25"/>
      <c r="E557" s="34"/>
    </row>
    <row r="558">
      <c r="D558" s="25"/>
      <c r="E558" s="34"/>
    </row>
    <row r="559">
      <c r="D559" s="25"/>
      <c r="E559" s="34"/>
    </row>
    <row r="560">
      <c r="D560" s="25"/>
      <c r="E560" s="34"/>
    </row>
    <row r="561">
      <c r="D561" s="25"/>
      <c r="E561" s="34"/>
    </row>
    <row r="562">
      <c r="D562" s="25"/>
      <c r="E562" s="34"/>
    </row>
    <row r="563">
      <c r="D563" s="25"/>
      <c r="E563" s="34"/>
    </row>
    <row r="564">
      <c r="D564" s="25"/>
      <c r="E564" s="34"/>
    </row>
    <row r="565">
      <c r="D565" s="25"/>
      <c r="E565" s="34"/>
    </row>
    <row r="566">
      <c r="D566" s="25"/>
      <c r="E566" s="34"/>
    </row>
    <row r="567">
      <c r="D567" s="25"/>
      <c r="E567" s="34"/>
    </row>
    <row r="568">
      <c r="D568" s="25"/>
      <c r="E568" s="34"/>
    </row>
    <row r="569">
      <c r="D569" s="25"/>
      <c r="E569" s="34"/>
    </row>
    <row r="570">
      <c r="D570" s="25"/>
      <c r="E570" s="34"/>
    </row>
    <row r="571">
      <c r="D571" s="25"/>
      <c r="E571" s="34"/>
    </row>
    <row r="572">
      <c r="D572" s="25"/>
      <c r="E572" s="34"/>
    </row>
    <row r="573">
      <c r="D573" s="25"/>
      <c r="E573" s="34"/>
    </row>
    <row r="574">
      <c r="D574" s="25"/>
      <c r="E574" s="34"/>
    </row>
    <row r="575">
      <c r="D575" s="25"/>
      <c r="E575" s="34"/>
    </row>
    <row r="576">
      <c r="D576" s="25"/>
      <c r="E576" s="34"/>
    </row>
    <row r="577">
      <c r="D577" s="25"/>
      <c r="E577" s="34"/>
    </row>
    <row r="578">
      <c r="D578" s="25"/>
      <c r="E578" s="34"/>
    </row>
    <row r="579">
      <c r="D579" s="25"/>
      <c r="E579" s="34"/>
    </row>
    <row r="580">
      <c r="D580" s="25"/>
      <c r="E580" s="34"/>
    </row>
    <row r="581">
      <c r="D581" s="25"/>
      <c r="E581" s="34"/>
    </row>
    <row r="582">
      <c r="D582" s="25"/>
      <c r="E582" s="34"/>
    </row>
    <row r="583">
      <c r="D583" s="25"/>
      <c r="E583" s="34"/>
    </row>
    <row r="584">
      <c r="D584" s="25"/>
      <c r="E584" s="34"/>
    </row>
    <row r="585">
      <c r="D585" s="25"/>
      <c r="E585" s="34"/>
    </row>
    <row r="586">
      <c r="D586" s="25"/>
      <c r="E586" s="34"/>
    </row>
    <row r="587">
      <c r="D587" s="25"/>
      <c r="E587" s="34"/>
    </row>
    <row r="588">
      <c r="D588" s="25"/>
      <c r="E588" s="34"/>
    </row>
    <row r="589">
      <c r="D589" s="25"/>
      <c r="E589" s="34"/>
    </row>
    <row r="590">
      <c r="D590" s="25"/>
      <c r="E590" s="34"/>
    </row>
    <row r="591">
      <c r="D591" s="25"/>
      <c r="E591" s="34"/>
    </row>
    <row r="592">
      <c r="D592" s="25"/>
      <c r="E592" s="34"/>
    </row>
    <row r="593">
      <c r="D593" s="25"/>
      <c r="E593" s="34"/>
    </row>
    <row r="594">
      <c r="D594" s="25"/>
      <c r="E594" s="34"/>
    </row>
    <row r="595">
      <c r="D595" s="25"/>
      <c r="E595" s="34"/>
    </row>
    <row r="596">
      <c r="D596" s="25"/>
      <c r="E596" s="34"/>
    </row>
    <row r="597">
      <c r="D597" s="25"/>
      <c r="E597" s="34"/>
    </row>
    <row r="598">
      <c r="D598" s="25"/>
      <c r="E598" s="34"/>
    </row>
    <row r="599">
      <c r="D599" s="25"/>
      <c r="E599" s="34"/>
    </row>
    <row r="600">
      <c r="D600" s="25"/>
      <c r="E600" s="34"/>
    </row>
    <row r="601">
      <c r="D601" s="25"/>
      <c r="E601" s="34"/>
    </row>
    <row r="602">
      <c r="D602" s="25"/>
      <c r="E602" s="34"/>
    </row>
    <row r="603">
      <c r="D603" s="25"/>
      <c r="E603" s="34"/>
    </row>
    <row r="604">
      <c r="D604" s="25"/>
      <c r="E604" s="34"/>
    </row>
    <row r="605">
      <c r="D605" s="25"/>
      <c r="E605" s="34"/>
    </row>
    <row r="606">
      <c r="D606" s="25"/>
      <c r="E606" s="34"/>
    </row>
    <row r="607">
      <c r="D607" s="25"/>
      <c r="E607" s="34"/>
    </row>
    <row r="608">
      <c r="D608" s="25"/>
      <c r="E608" s="34"/>
    </row>
    <row r="609">
      <c r="D609" s="25"/>
      <c r="E609" s="34"/>
    </row>
    <row r="610">
      <c r="D610" s="25"/>
      <c r="E610" s="34"/>
    </row>
    <row r="611">
      <c r="D611" s="25"/>
      <c r="E611" s="34"/>
    </row>
    <row r="612">
      <c r="D612" s="25"/>
      <c r="E612" s="34"/>
    </row>
    <row r="613">
      <c r="D613" s="25"/>
      <c r="E613" s="34"/>
    </row>
    <row r="614">
      <c r="D614" s="25"/>
      <c r="E614" s="34"/>
    </row>
    <row r="615">
      <c r="D615" s="25"/>
      <c r="E615" s="34"/>
    </row>
    <row r="616">
      <c r="D616" s="25"/>
      <c r="E616" s="34"/>
    </row>
    <row r="617">
      <c r="D617" s="25"/>
      <c r="E617" s="34"/>
    </row>
    <row r="618">
      <c r="D618" s="25"/>
      <c r="E618" s="34"/>
    </row>
    <row r="619">
      <c r="D619" s="25"/>
      <c r="E619" s="34"/>
    </row>
    <row r="620">
      <c r="D620" s="25"/>
      <c r="E620" s="34"/>
    </row>
    <row r="621">
      <c r="D621" s="25"/>
      <c r="E621" s="34"/>
    </row>
    <row r="622">
      <c r="D622" s="25"/>
      <c r="E622" s="34"/>
    </row>
    <row r="623">
      <c r="D623" s="25"/>
      <c r="E623" s="34"/>
    </row>
    <row r="624">
      <c r="D624" s="25"/>
      <c r="E624" s="34"/>
    </row>
    <row r="625">
      <c r="D625" s="25"/>
      <c r="E625" s="34"/>
    </row>
    <row r="626">
      <c r="D626" s="25"/>
      <c r="E626" s="34"/>
    </row>
    <row r="627">
      <c r="D627" s="25"/>
      <c r="E627" s="34"/>
    </row>
    <row r="628">
      <c r="D628" s="25"/>
      <c r="E628" s="34"/>
    </row>
    <row r="629">
      <c r="D629" s="25"/>
      <c r="E629" s="34"/>
    </row>
    <row r="630">
      <c r="D630" s="25"/>
      <c r="E630" s="34"/>
    </row>
    <row r="631">
      <c r="D631" s="25"/>
      <c r="E631" s="34"/>
    </row>
    <row r="632">
      <c r="D632" s="25"/>
      <c r="E632" s="34"/>
    </row>
    <row r="633">
      <c r="D633" s="25"/>
      <c r="E633" s="34"/>
    </row>
    <row r="634">
      <c r="D634" s="25"/>
      <c r="E634" s="34"/>
    </row>
    <row r="635">
      <c r="D635" s="25"/>
      <c r="E635" s="34"/>
    </row>
    <row r="636">
      <c r="D636" s="25"/>
      <c r="E636" s="34"/>
    </row>
    <row r="637">
      <c r="D637" s="25"/>
      <c r="E637" s="34"/>
    </row>
    <row r="638">
      <c r="D638" s="25"/>
      <c r="E638" s="34"/>
    </row>
    <row r="639">
      <c r="D639" s="25"/>
      <c r="E639" s="34"/>
    </row>
    <row r="640">
      <c r="D640" s="25"/>
      <c r="E640" s="34"/>
    </row>
    <row r="641">
      <c r="D641" s="25"/>
      <c r="E641" s="34"/>
    </row>
    <row r="642">
      <c r="D642" s="25"/>
      <c r="E642" s="34"/>
    </row>
    <row r="643">
      <c r="D643" s="25"/>
      <c r="E643" s="34"/>
    </row>
    <row r="644">
      <c r="D644" s="25"/>
      <c r="E644" s="34"/>
    </row>
    <row r="645">
      <c r="D645" s="25"/>
      <c r="E645" s="34"/>
    </row>
    <row r="646">
      <c r="D646" s="25"/>
      <c r="E646" s="34"/>
    </row>
    <row r="647">
      <c r="D647" s="25"/>
      <c r="E647" s="34"/>
    </row>
    <row r="648">
      <c r="D648" s="25"/>
      <c r="E648" s="34"/>
    </row>
    <row r="649">
      <c r="D649" s="25"/>
      <c r="E649" s="34"/>
    </row>
    <row r="650">
      <c r="D650" s="25"/>
      <c r="E650" s="34"/>
    </row>
    <row r="651">
      <c r="D651" s="25"/>
      <c r="E651" s="34"/>
    </row>
    <row r="652">
      <c r="D652" s="25"/>
      <c r="E652" s="34"/>
    </row>
    <row r="653">
      <c r="D653" s="25"/>
      <c r="E653" s="34"/>
    </row>
    <row r="654">
      <c r="D654" s="25"/>
      <c r="E654" s="34"/>
    </row>
    <row r="655">
      <c r="D655" s="25"/>
      <c r="E655" s="34"/>
    </row>
    <row r="656">
      <c r="D656" s="25"/>
      <c r="E656" s="34"/>
    </row>
    <row r="657">
      <c r="D657" s="25"/>
      <c r="E657" s="34"/>
    </row>
    <row r="658">
      <c r="D658" s="25"/>
      <c r="E658" s="34"/>
    </row>
    <row r="659">
      <c r="D659" s="25"/>
      <c r="E659" s="34"/>
    </row>
    <row r="660">
      <c r="D660" s="25"/>
      <c r="E660" s="34"/>
    </row>
    <row r="661">
      <c r="D661" s="25"/>
      <c r="E661" s="34"/>
    </row>
    <row r="662">
      <c r="D662" s="25"/>
      <c r="E662" s="34"/>
    </row>
    <row r="663">
      <c r="D663" s="25"/>
      <c r="E663" s="34"/>
    </row>
    <row r="664">
      <c r="D664" s="25"/>
      <c r="E664" s="34"/>
    </row>
    <row r="665">
      <c r="D665" s="25"/>
      <c r="E665" s="34"/>
    </row>
    <row r="666">
      <c r="D666" s="25"/>
      <c r="E666" s="34"/>
    </row>
    <row r="667">
      <c r="D667" s="25"/>
      <c r="E667" s="34"/>
    </row>
    <row r="668">
      <c r="D668" s="25"/>
      <c r="E668" s="34"/>
    </row>
    <row r="669">
      <c r="D669" s="25"/>
      <c r="E669" s="34"/>
    </row>
    <row r="670">
      <c r="D670" s="25"/>
      <c r="E670" s="34"/>
    </row>
    <row r="671">
      <c r="D671" s="25"/>
      <c r="E671" s="34"/>
    </row>
    <row r="672">
      <c r="D672" s="25"/>
      <c r="E672" s="34"/>
    </row>
    <row r="673">
      <c r="D673" s="25"/>
      <c r="E673" s="34"/>
    </row>
    <row r="674">
      <c r="D674" s="25"/>
      <c r="E674" s="34"/>
    </row>
    <row r="675">
      <c r="D675" s="25"/>
      <c r="E675" s="34"/>
    </row>
    <row r="676">
      <c r="D676" s="25"/>
      <c r="E676" s="34"/>
    </row>
    <row r="677">
      <c r="D677" s="25"/>
      <c r="E677" s="34"/>
    </row>
    <row r="678">
      <c r="D678" s="25"/>
      <c r="E678" s="34"/>
    </row>
    <row r="679">
      <c r="D679" s="25"/>
      <c r="E679" s="34"/>
    </row>
    <row r="680">
      <c r="D680" s="25"/>
      <c r="E680" s="34"/>
    </row>
    <row r="681">
      <c r="D681" s="25"/>
      <c r="E681" s="34"/>
    </row>
    <row r="682">
      <c r="D682" s="25"/>
      <c r="E682" s="34"/>
    </row>
    <row r="683">
      <c r="D683" s="25"/>
      <c r="E683" s="34"/>
    </row>
    <row r="684">
      <c r="D684" s="25"/>
      <c r="E684" s="34"/>
    </row>
    <row r="685">
      <c r="D685" s="25"/>
      <c r="E685" s="34"/>
    </row>
    <row r="686">
      <c r="D686" s="25"/>
      <c r="E686" s="34"/>
    </row>
    <row r="687">
      <c r="D687" s="25"/>
      <c r="E687" s="34"/>
    </row>
    <row r="688">
      <c r="D688" s="25"/>
      <c r="E688" s="34"/>
    </row>
    <row r="689">
      <c r="D689" s="25"/>
      <c r="E689" s="34"/>
    </row>
    <row r="690">
      <c r="D690" s="25"/>
      <c r="E690" s="34"/>
    </row>
    <row r="691">
      <c r="D691" s="25"/>
      <c r="E691" s="34"/>
    </row>
    <row r="692">
      <c r="D692" s="25"/>
      <c r="E692" s="34"/>
    </row>
    <row r="693">
      <c r="D693" s="25"/>
      <c r="E693" s="34"/>
    </row>
    <row r="694">
      <c r="D694" s="25"/>
      <c r="E694" s="34"/>
    </row>
    <row r="695">
      <c r="D695" s="25"/>
      <c r="E695" s="34"/>
    </row>
    <row r="696">
      <c r="D696" s="25"/>
      <c r="E696" s="34"/>
    </row>
    <row r="697">
      <c r="D697" s="25"/>
      <c r="E697" s="34"/>
    </row>
    <row r="698">
      <c r="D698" s="25"/>
      <c r="E698" s="34"/>
    </row>
    <row r="699">
      <c r="D699" s="25"/>
      <c r="E699" s="34"/>
    </row>
    <row r="700">
      <c r="D700" s="25"/>
      <c r="E700" s="34"/>
    </row>
    <row r="701">
      <c r="D701" s="25"/>
      <c r="E701" s="34"/>
    </row>
    <row r="702">
      <c r="D702" s="25"/>
      <c r="E702" s="34"/>
    </row>
    <row r="703">
      <c r="D703" s="25"/>
      <c r="E703" s="34"/>
    </row>
    <row r="704">
      <c r="D704" s="25"/>
      <c r="E704" s="34"/>
    </row>
    <row r="705">
      <c r="D705" s="25"/>
      <c r="E705" s="34"/>
    </row>
    <row r="706">
      <c r="D706" s="25"/>
      <c r="E706" s="34"/>
    </row>
    <row r="707">
      <c r="D707" s="25"/>
      <c r="E707" s="34"/>
    </row>
    <row r="708">
      <c r="D708" s="25"/>
      <c r="E708" s="34"/>
    </row>
    <row r="709">
      <c r="D709" s="25"/>
      <c r="E709" s="34"/>
    </row>
    <row r="710">
      <c r="D710" s="25"/>
      <c r="E710" s="34"/>
    </row>
    <row r="711">
      <c r="D711" s="25"/>
      <c r="E711" s="34"/>
    </row>
    <row r="712">
      <c r="D712" s="25"/>
      <c r="E712" s="34"/>
    </row>
    <row r="713">
      <c r="D713" s="25"/>
      <c r="E713" s="34"/>
    </row>
    <row r="714">
      <c r="D714" s="25"/>
      <c r="E714" s="34"/>
    </row>
    <row r="715">
      <c r="D715" s="25"/>
      <c r="E715" s="34"/>
    </row>
    <row r="716">
      <c r="D716" s="25"/>
      <c r="E716" s="34"/>
    </row>
    <row r="717">
      <c r="D717" s="25"/>
      <c r="E717" s="34"/>
    </row>
    <row r="718">
      <c r="D718" s="25"/>
      <c r="E718" s="34"/>
    </row>
    <row r="719">
      <c r="D719" s="25"/>
      <c r="E719" s="34"/>
    </row>
    <row r="720">
      <c r="D720" s="25"/>
      <c r="E720" s="34"/>
    </row>
    <row r="721">
      <c r="D721" s="25"/>
      <c r="E721" s="34"/>
    </row>
    <row r="722">
      <c r="D722" s="25"/>
      <c r="E722" s="34"/>
    </row>
    <row r="723">
      <c r="D723" s="25"/>
      <c r="E723" s="34"/>
    </row>
    <row r="724">
      <c r="D724" s="25"/>
      <c r="E724" s="34"/>
    </row>
    <row r="725">
      <c r="D725" s="25"/>
      <c r="E725" s="34"/>
    </row>
    <row r="726">
      <c r="D726" s="25"/>
      <c r="E726" s="34"/>
    </row>
    <row r="727">
      <c r="D727" s="25"/>
      <c r="E727" s="34"/>
    </row>
    <row r="728">
      <c r="D728" s="25"/>
      <c r="E728" s="34"/>
    </row>
    <row r="729">
      <c r="D729" s="25"/>
      <c r="E729" s="34"/>
    </row>
    <row r="730">
      <c r="D730" s="25"/>
      <c r="E730" s="34"/>
    </row>
    <row r="731">
      <c r="D731" s="25"/>
      <c r="E731" s="34"/>
    </row>
    <row r="732">
      <c r="D732" s="25"/>
      <c r="E732" s="34"/>
    </row>
    <row r="733">
      <c r="D733" s="25"/>
      <c r="E733" s="34"/>
    </row>
    <row r="734">
      <c r="D734" s="25"/>
      <c r="E734" s="34"/>
    </row>
    <row r="735">
      <c r="D735" s="25"/>
      <c r="E735" s="34"/>
    </row>
    <row r="736">
      <c r="D736" s="25"/>
      <c r="E736" s="34"/>
    </row>
    <row r="737">
      <c r="D737" s="25"/>
      <c r="E737" s="34"/>
    </row>
    <row r="738">
      <c r="D738" s="25"/>
      <c r="E738" s="34"/>
    </row>
    <row r="739">
      <c r="D739" s="25"/>
      <c r="E739" s="34"/>
    </row>
    <row r="740">
      <c r="D740" s="25"/>
      <c r="E740" s="34"/>
    </row>
    <row r="741">
      <c r="D741" s="25"/>
      <c r="E741" s="34"/>
    </row>
    <row r="742">
      <c r="D742" s="25"/>
      <c r="E742" s="34"/>
    </row>
    <row r="743">
      <c r="D743" s="25"/>
      <c r="E743" s="34"/>
    </row>
    <row r="744">
      <c r="D744" s="25"/>
      <c r="E744" s="34"/>
    </row>
    <row r="745">
      <c r="D745" s="25"/>
      <c r="E745" s="34"/>
    </row>
    <row r="746">
      <c r="D746" s="25"/>
      <c r="E746" s="34"/>
    </row>
    <row r="747">
      <c r="D747" s="25"/>
      <c r="E747" s="34"/>
    </row>
    <row r="748">
      <c r="D748" s="25"/>
      <c r="E748" s="34"/>
    </row>
    <row r="749">
      <c r="D749" s="25"/>
      <c r="E749" s="34"/>
    </row>
    <row r="750">
      <c r="D750" s="25"/>
      <c r="E750" s="34"/>
    </row>
    <row r="751">
      <c r="D751" s="25"/>
      <c r="E751" s="34"/>
    </row>
    <row r="752">
      <c r="D752" s="25"/>
      <c r="E752" s="34"/>
    </row>
    <row r="753">
      <c r="D753" s="25"/>
      <c r="E753" s="34"/>
    </row>
    <row r="754">
      <c r="D754" s="25"/>
      <c r="E754" s="34"/>
    </row>
    <row r="755">
      <c r="D755" s="25"/>
      <c r="E755" s="34"/>
    </row>
    <row r="756">
      <c r="D756" s="25"/>
      <c r="E756" s="34"/>
    </row>
    <row r="757">
      <c r="D757" s="25"/>
      <c r="E757" s="34"/>
    </row>
    <row r="758">
      <c r="D758" s="25"/>
      <c r="E758" s="34"/>
    </row>
    <row r="759">
      <c r="D759" s="25"/>
      <c r="E759" s="34"/>
    </row>
    <row r="760">
      <c r="D760" s="25"/>
      <c r="E760" s="34"/>
    </row>
    <row r="761">
      <c r="D761" s="25"/>
      <c r="E761" s="34"/>
    </row>
    <row r="762">
      <c r="D762" s="25"/>
      <c r="E762" s="34"/>
    </row>
    <row r="763">
      <c r="D763" s="25"/>
      <c r="E763" s="34"/>
    </row>
    <row r="764">
      <c r="D764" s="25"/>
      <c r="E764" s="34"/>
    </row>
    <row r="765">
      <c r="D765" s="25"/>
      <c r="E765" s="34"/>
    </row>
    <row r="766">
      <c r="D766" s="25"/>
      <c r="E766" s="34"/>
    </row>
    <row r="767">
      <c r="D767" s="25"/>
      <c r="E767" s="34"/>
    </row>
    <row r="768">
      <c r="D768" s="25"/>
      <c r="E768" s="34"/>
    </row>
    <row r="769">
      <c r="D769" s="25"/>
      <c r="E769" s="34"/>
    </row>
    <row r="770">
      <c r="D770" s="25"/>
      <c r="E770" s="34"/>
    </row>
    <row r="771">
      <c r="D771" s="25"/>
      <c r="E771" s="34"/>
    </row>
    <row r="772">
      <c r="D772" s="25"/>
      <c r="E772" s="34"/>
    </row>
    <row r="773">
      <c r="D773" s="25"/>
      <c r="E773" s="34"/>
    </row>
    <row r="774">
      <c r="D774" s="25"/>
      <c r="E774" s="34"/>
    </row>
    <row r="775">
      <c r="D775" s="25"/>
      <c r="E775" s="34"/>
    </row>
    <row r="776">
      <c r="D776" s="25"/>
      <c r="E776" s="34"/>
    </row>
    <row r="777">
      <c r="D777" s="25"/>
      <c r="E777" s="34"/>
    </row>
    <row r="778">
      <c r="D778" s="25"/>
      <c r="E778" s="34"/>
    </row>
    <row r="779">
      <c r="D779" s="25"/>
      <c r="E779" s="34"/>
    </row>
    <row r="780">
      <c r="D780" s="25"/>
      <c r="E780" s="34"/>
    </row>
    <row r="781">
      <c r="D781" s="25"/>
      <c r="E781" s="34"/>
    </row>
    <row r="782">
      <c r="D782" s="25"/>
      <c r="E782" s="34"/>
    </row>
    <row r="783">
      <c r="D783" s="25"/>
      <c r="E783" s="34"/>
    </row>
    <row r="784">
      <c r="D784" s="25"/>
      <c r="E784" s="34"/>
    </row>
    <row r="785">
      <c r="D785" s="25"/>
      <c r="E785" s="34"/>
    </row>
    <row r="786">
      <c r="D786" s="25"/>
      <c r="E786" s="34"/>
    </row>
    <row r="787">
      <c r="D787" s="25"/>
      <c r="E787" s="34"/>
    </row>
    <row r="788">
      <c r="D788" s="25"/>
      <c r="E788" s="34"/>
    </row>
    <row r="789">
      <c r="D789" s="25"/>
      <c r="E789" s="34"/>
    </row>
    <row r="790">
      <c r="D790" s="25"/>
      <c r="E790" s="34"/>
    </row>
    <row r="791">
      <c r="D791" s="25"/>
      <c r="E791" s="34"/>
    </row>
    <row r="792">
      <c r="D792" s="25"/>
      <c r="E792" s="34"/>
    </row>
    <row r="793">
      <c r="D793" s="25"/>
      <c r="E793" s="34"/>
    </row>
    <row r="794">
      <c r="D794" s="25"/>
      <c r="E794" s="34"/>
    </row>
    <row r="795">
      <c r="D795" s="25"/>
      <c r="E795" s="34"/>
    </row>
    <row r="796">
      <c r="D796" s="25"/>
      <c r="E796" s="34"/>
    </row>
    <row r="797">
      <c r="D797" s="25"/>
      <c r="E797" s="34"/>
    </row>
    <row r="798">
      <c r="D798" s="25"/>
      <c r="E798" s="34"/>
    </row>
    <row r="799">
      <c r="D799" s="25"/>
      <c r="E799" s="34"/>
    </row>
    <row r="800">
      <c r="D800" s="25"/>
      <c r="E800" s="34"/>
    </row>
    <row r="801">
      <c r="D801" s="25"/>
      <c r="E801" s="34"/>
    </row>
    <row r="802">
      <c r="D802" s="25"/>
      <c r="E802" s="34"/>
    </row>
    <row r="803">
      <c r="D803" s="25"/>
      <c r="E803" s="34"/>
    </row>
    <row r="804">
      <c r="D804" s="25"/>
      <c r="E804" s="34"/>
    </row>
    <row r="805">
      <c r="D805" s="25"/>
      <c r="E805" s="34"/>
    </row>
    <row r="806">
      <c r="D806" s="25"/>
      <c r="E806" s="34"/>
    </row>
    <row r="807">
      <c r="D807" s="25"/>
      <c r="E807" s="34"/>
    </row>
    <row r="808">
      <c r="D808" s="25"/>
      <c r="E808" s="34"/>
    </row>
    <row r="809">
      <c r="D809" s="25"/>
      <c r="E809" s="34"/>
    </row>
    <row r="810">
      <c r="D810" s="25"/>
      <c r="E810" s="34"/>
    </row>
    <row r="811">
      <c r="D811" s="25"/>
      <c r="E811" s="34"/>
    </row>
    <row r="812">
      <c r="D812" s="25"/>
      <c r="E812" s="34"/>
    </row>
    <row r="813">
      <c r="D813" s="25"/>
      <c r="E813" s="34"/>
    </row>
    <row r="814">
      <c r="D814" s="25"/>
      <c r="E814" s="34"/>
    </row>
    <row r="815">
      <c r="D815" s="25"/>
      <c r="E815" s="34"/>
    </row>
    <row r="816">
      <c r="D816" s="25"/>
      <c r="E816" s="34"/>
    </row>
    <row r="817">
      <c r="D817" s="25"/>
      <c r="E817" s="34"/>
    </row>
    <row r="818">
      <c r="D818" s="25"/>
      <c r="E818" s="34"/>
    </row>
    <row r="819">
      <c r="D819" s="25"/>
      <c r="E819" s="34"/>
    </row>
    <row r="820">
      <c r="D820" s="25"/>
      <c r="E820" s="34"/>
    </row>
    <row r="821">
      <c r="D821" s="25"/>
      <c r="E821" s="34"/>
    </row>
    <row r="822">
      <c r="D822" s="25"/>
      <c r="E822" s="34"/>
    </row>
    <row r="823">
      <c r="D823" s="25"/>
      <c r="E823" s="34"/>
    </row>
    <row r="824">
      <c r="D824" s="25"/>
      <c r="E824" s="34"/>
    </row>
    <row r="825">
      <c r="D825" s="25"/>
      <c r="E825" s="34"/>
    </row>
    <row r="826">
      <c r="D826" s="25"/>
      <c r="E826" s="34"/>
    </row>
    <row r="827">
      <c r="D827" s="25"/>
      <c r="E827" s="34"/>
    </row>
    <row r="828">
      <c r="D828" s="25"/>
      <c r="E828" s="34"/>
    </row>
    <row r="829">
      <c r="D829" s="25"/>
      <c r="E829" s="34"/>
    </row>
    <row r="830">
      <c r="D830" s="25"/>
      <c r="E830" s="34"/>
    </row>
    <row r="831">
      <c r="D831" s="25"/>
      <c r="E831" s="34"/>
    </row>
    <row r="832">
      <c r="D832" s="25"/>
      <c r="E832" s="34"/>
    </row>
    <row r="833">
      <c r="D833" s="25"/>
      <c r="E833" s="34"/>
    </row>
    <row r="834">
      <c r="D834" s="25"/>
      <c r="E834" s="34"/>
    </row>
    <row r="835">
      <c r="D835" s="25"/>
      <c r="E835" s="34"/>
    </row>
    <row r="836">
      <c r="D836" s="25"/>
      <c r="E836" s="34"/>
    </row>
    <row r="837">
      <c r="D837" s="25"/>
      <c r="E837" s="34"/>
    </row>
    <row r="838">
      <c r="D838" s="25"/>
      <c r="E838" s="34"/>
    </row>
    <row r="839">
      <c r="D839" s="25"/>
      <c r="E839" s="34"/>
    </row>
    <row r="840">
      <c r="D840" s="25"/>
      <c r="E840" s="34"/>
    </row>
    <row r="841">
      <c r="D841" s="25"/>
      <c r="E841" s="34"/>
    </row>
    <row r="842">
      <c r="D842" s="25"/>
      <c r="E842" s="34"/>
    </row>
    <row r="843">
      <c r="D843" s="25"/>
      <c r="E843" s="34"/>
    </row>
    <row r="844">
      <c r="D844" s="25"/>
      <c r="E844" s="34"/>
    </row>
    <row r="845">
      <c r="D845" s="25"/>
      <c r="E845" s="34"/>
    </row>
    <row r="846">
      <c r="D846" s="25"/>
      <c r="E846" s="34"/>
    </row>
    <row r="847">
      <c r="D847" s="25"/>
      <c r="E847" s="34"/>
    </row>
    <row r="848">
      <c r="D848" s="25"/>
      <c r="E848" s="34"/>
    </row>
    <row r="849">
      <c r="D849" s="25"/>
      <c r="E849" s="34"/>
    </row>
    <row r="850">
      <c r="D850" s="25"/>
      <c r="E850" s="34"/>
    </row>
    <row r="851">
      <c r="D851" s="25"/>
      <c r="E851" s="34"/>
    </row>
    <row r="852">
      <c r="D852" s="25"/>
      <c r="E852" s="34"/>
    </row>
    <row r="853">
      <c r="D853" s="25"/>
      <c r="E853" s="34"/>
    </row>
    <row r="854">
      <c r="D854" s="25"/>
      <c r="E854" s="34"/>
    </row>
    <row r="855">
      <c r="D855" s="25"/>
      <c r="E855" s="34"/>
    </row>
    <row r="856">
      <c r="D856" s="25"/>
      <c r="E856" s="34"/>
    </row>
    <row r="857">
      <c r="D857" s="25"/>
      <c r="E857" s="34"/>
    </row>
    <row r="858">
      <c r="D858" s="25"/>
      <c r="E858" s="34"/>
    </row>
    <row r="859">
      <c r="D859" s="25"/>
      <c r="E859" s="34"/>
    </row>
    <row r="860">
      <c r="D860" s="25"/>
      <c r="E860" s="34"/>
    </row>
    <row r="861">
      <c r="D861" s="25"/>
      <c r="E861" s="34"/>
    </row>
    <row r="862">
      <c r="D862" s="25"/>
      <c r="E862" s="34"/>
    </row>
    <row r="863">
      <c r="D863" s="25"/>
      <c r="E863" s="34"/>
    </row>
    <row r="864">
      <c r="D864" s="25"/>
      <c r="E864" s="34"/>
    </row>
    <row r="865">
      <c r="D865" s="25"/>
      <c r="E865" s="34"/>
    </row>
    <row r="866">
      <c r="D866" s="25"/>
      <c r="E866" s="34"/>
    </row>
    <row r="867">
      <c r="D867" s="25"/>
      <c r="E867" s="34"/>
    </row>
    <row r="868">
      <c r="D868" s="25"/>
      <c r="E868" s="34"/>
    </row>
    <row r="869">
      <c r="D869" s="25"/>
      <c r="E869" s="34"/>
    </row>
    <row r="870">
      <c r="D870" s="25"/>
      <c r="E870" s="34"/>
    </row>
    <row r="871">
      <c r="D871" s="25"/>
      <c r="E871" s="34"/>
    </row>
    <row r="872">
      <c r="D872" s="25"/>
      <c r="E872" s="34"/>
    </row>
    <row r="873">
      <c r="D873" s="25"/>
      <c r="E873" s="34"/>
    </row>
    <row r="874">
      <c r="D874" s="25"/>
      <c r="E874" s="34"/>
    </row>
    <row r="875">
      <c r="D875" s="25"/>
      <c r="E875" s="34"/>
    </row>
    <row r="876">
      <c r="D876" s="25"/>
      <c r="E876" s="34"/>
    </row>
    <row r="877">
      <c r="D877" s="25"/>
      <c r="E877" s="34"/>
    </row>
    <row r="878">
      <c r="D878" s="25"/>
      <c r="E878" s="34"/>
    </row>
    <row r="879">
      <c r="D879" s="25"/>
      <c r="E879" s="34"/>
    </row>
    <row r="880">
      <c r="D880" s="25"/>
      <c r="E880" s="34"/>
    </row>
    <row r="881">
      <c r="D881" s="25"/>
      <c r="E881" s="34"/>
    </row>
    <row r="882">
      <c r="D882" s="25"/>
      <c r="E882" s="34"/>
    </row>
    <row r="883">
      <c r="D883" s="25"/>
      <c r="E883" s="34"/>
    </row>
    <row r="884">
      <c r="D884" s="25"/>
      <c r="E884" s="34"/>
    </row>
    <row r="885">
      <c r="D885" s="25"/>
      <c r="E885" s="34"/>
    </row>
    <row r="886">
      <c r="D886" s="25"/>
      <c r="E886" s="34"/>
    </row>
    <row r="887">
      <c r="D887" s="25"/>
      <c r="E887" s="34"/>
    </row>
    <row r="888">
      <c r="D888" s="25"/>
      <c r="E888" s="34"/>
    </row>
    <row r="889">
      <c r="D889" s="25"/>
      <c r="E889" s="34"/>
    </row>
    <row r="890">
      <c r="D890" s="25"/>
      <c r="E890" s="34"/>
    </row>
    <row r="891">
      <c r="D891" s="25"/>
      <c r="E891" s="34"/>
    </row>
    <row r="892">
      <c r="D892" s="25"/>
      <c r="E892" s="34"/>
    </row>
    <row r="893">
      <c r="D893" s="25"/>
      <c r="E893" s="34"/>
    </row>
    <row r="894">
      <c r="D894" s="25"/>
      <c r="E894" s="34"/>
    </row>
    <row r="895">
      <c r="D895" s="25"/>
      <c r="E895" s="34"/>
    </row>
    <row r="896">
      <c r="D896" s="25"/>
      <c r="E896" s="34"/>
    </row>
    <row r="897">
      <c r="D897" s="25"/>
      <c r="E897" s="34"/>
    </row>
    <row r="898">
      <c r="D898" s="25"/>
      <c r="E898" s="34"/>
    </row>
    <row r="899">
      <c r="D899" s="25"/>
      <c r="E899" s="34"/>
    </row>
    <row r="900">
      <c r="D900" s="25"/>
      <c r="E900" s="34"/>
    </row>
    <row r="901">
      <c r="D901" s="25"/>
      <c r="E901" s="34"/>
    </row>
    <row r="902">
      <c r="D902" s="25"/>
      <c r="E902" s="34"/>
    </row>
    <row r="903">
      <c r="D903" s="25"/>
      <c r="E903" s="34"/>
    </row>
    <row r="904">
      <c r="D904" s="25"/>
      <c r="E904" s="34"/>
    </row>
    <row r="905">
      <c r="D905" s="25"/>
      <c r="E905" s="34"/>
    </row>
    <row r="906">
      <c r="D906" s="25"/>
      <c r="E906" s="34"/>
    </row>
    <row r="907">
      <c r="D907" s="25"/>
      <c r="E907" s="34"/>
    </row>
    <row r="908">
      <c r="D908" s="25"/>
      <c r="E908" s="34"/>
    </row>
    <row r="909">
      <c r="D909" s="25"/>
      <c r="E909" s="34"/>
    </row>
    <row r="910">
      <c r="D910" s="25"/>
      <c r="E910" s="34"/>
    </row>
    <row r="911">
      <c r="D911" s="25"/>
      <c r="E911" s="34"/>
    </row>
    <row r="912">
      <c r="D912" s="25"/>
      <c r="E912" s="34"/>
    </row>
    <row r="913">
      <c r="D913" s="25"/>
      <c r="E913" s="34"/>
    </row>
    <row r="914">
      <c r="D914" s="25"/>
      <c r="E914" s="34"/>
    </row>
    <row r="915">
      <c r="D915" s="25"/>
      <c r="E915" s="34"/>
    </row>
    <row r="916">
      <c r="D916" s="25"/>
      <c r="E916" s="34"/>
    </row>
    <row r="917">
      <c r="D917" s="25"/>
      <c r="E917" s="34"/>
    </row>
    <row r="918">
      <c r="D918" s="25"/>
      <c r="E918" s="34"/>
    </row>
    <row r="919">
      <c r="D919" s="25"/>
      <c r="E919" s="34"/>
    </row>
    <row r="920">
      <c r="D920" s="25"/>
      <c r="E920" s="34"/>
    </row>
    <row r="921">
      <c r="D921" s="25"/>
      <c r="E921" s="34"/>
    </row>
    <row r="922">
      <c r="D922" s="25"/>
      <c r="E922" s="34"/>
    </row>
    <row r="923">
      <c r="D923" s="25"/>
      <c r="E923" s="34"/>
    </row>
    <row r="924">
      <c r="D924" s="25"/>
      <c r="E924" s="34"/>
    </row>
    <row r="925">
      <c r="D925" s="25"/>
      <c r="E925" s="34"/>
    </row>
    <row r="926">
      <c r="D926" s="25"/>
      <c r="E926" s="34"/>
    </row>
    <row r="927">
      <c r="D927" s="25"/>
      <c r="E927" s="34"/>
    </row>
    <row r="928">
      <c r="D928" s="25"/>
      <c r="E928" s="34"/>
    </row>
    <row r="929">
      <c r="D929" s="25"/>
      <c r="E929" s="34"/>
    </row>
    <row r="930">
      <c r="D930" s="25"/>
      <c r="E930" s="34"/>
    </row>
    <row r="931">
      <c r="D931" s="25"/>
      <c r="E931" s="34"/>
    </row>
    <row r="932">
      <c r="D932" s="25"/>
      <c r="E932" s="34"/>
    </row>
    <row r="933">
      <c r="D933" s="25"/>
      <c r="E933" s="34"/>
    </row>
    <row r="934">
      <c r="D934" s="25"/>
      <c r="E934" s="34"/>
    </row>
    <row r="935">
      <c r="D935" s="25"/>
      <c r="E935" s="34"/>
    </row>
    <row r="936">
      <c r="D936" s="25"/>
      <c r="E936" s="34"/>
    </row>
    <row r="937">
      <c r="D937" s="25"/>
      <c r="E937" s="34"/>
    </row>
    <row r="938">
      <c r="D938" s="25"/>
      <c r="E938" s="34"/>
    </row>
    <row r="939">
      <c r="D939" s="25"/>
      <c r="E939" s="34"/>
    </row>
    <row r="940">
      <c r="D940" s="25"/>
      <c r="E940" s="34"/>
    </row>
    <row r="941">
      <c r="D941" s="25"/>
      <c r="E941" s="34"/>
    </row>
    <row r="942">
      <c r="D942" s="25"/>
      <c r="E942" s="34"/>
    </row>
    <row r="943">
      <c r="D943" s="25"/>
      <c r="E943" s="34"/>
    </row>
    <row r="944">
      <c r="D944" s="25"/>
      <c r="E944" s="34"/>
    </row>
    <row r="945">
      <c r="D945" s="25"/>
      <c r="E945" s="34"/>
    </row>
    <row r="946">
      <c r="D946" s="25"/>
      <c r="E946" s="34"/>
    </row>
    <row r="947">
      <c r="D947" s="25"/>
      <c r="E947" s="34"/>
    </row>
    <row r="948">
      <c r="D948" s="25"/>
      <c r="E948" s="34"/>
    </row>
    <row r="949">
      <c r="D949" s="25"/>
      <c r="E949" s="34"/>
    </row>
    <row r="950">
      <c r="D950" s="25"/>
      <c r="E950" s="34"/>
    </row>
    <row r="951">
      <c r="D951" s="25"/>
      <c r="E951" s="34"/>
    </row>
    <row r="952">
      <c r="D952" s="25"/>
      <c r="E952" s="34"/>
    </row>
    <row r="953">
      <c r="D953" s="25"/>
      <c r="E953" s="34"/>
    </row>
    <row r="954">
      <c r="D954" s="25"/>
      <c r="E954" s="34"/>
    </row>
    <row r="955">
      <c r="D955" s="25"/>
      <c r="E955" s="34"/>
    </row>
    <row r="956">
      <c r="D956" s="25"/>
      <c r="E956" s="34"/>
    </row>
    <row r="957">
      <c r="D957" s="25"/>
      <c r="E957" s="34"/>
    </row>
    <row r="958">
      <c r="D958" s="25"/>
      <c r="E958" s="34"/>
    </row>
    <row r="959">
      <c r="D959" s="25"/>
      <c r="E959" s="34"/>
    </row>
    <row r="960">
      <c r="D960" s="25"/>
      <c r="E960" s="34"/>
    </row>
    <row r="961">
      <c r="D961" s="25"/>
      <c r="E961" s="34"/>
    </row>
    <row r="962">
      <c r="D962" s="25"/>
      <c r="E962" s="34"/>
    </row>
    <row r="963">
      <c r="D963" s="25"/>
      <c r="E963" s="34"/>
    </row>
    <row r="964">
      <c r="D964" s="25"/>
      <c r="E964" s="34"/>
    </row>
    <row r="965">
      <c r="D965" s="25"/>
      <c r="E965" s="34"/>
    </row>
    <row r="966">
      <c r="D966" s="25"/>
      <c r="E966" s="34"/>
    </row>
    <row r="967">
      <c r="D967" s="25"/>
      <c r="E967" s="34"/>
    </row>
    <row r="968">
      <c r="D968" s="25"/>
      <c r="E968" s="34"/>
    </row>
    <row r="969">
      <c r="D969" s="25"/>
      <c r="E969" s="34"/>
    </row>
    <row r="970">
      <c r="D970" s="25"/>
      <c r="E970" s="34"/>
    </row>
    <row r="971">
      <c r="D971" s="25"/>
      <c r="E971" s="34"/>
    </row>
    <row r="972">
      <c r="D972" s="25"/>
      <c r="E972" s="34"/>
    </row>
    <row r="973">
      <c r="D973" s="25"/>
      <c r="E973" s="34"/>
    </row>
    <row r="974">
      <c r="D974" s="25"/>
      <c r="E974" s="34"/>
    </row>
    <row r="975">
      <c r="D975" s="25"/>
      <c r="E975" s="34"/>
    </row>
    <row r="976">
      <c r="D976" s="25"/>
      <c r="E976" s="34"/>
    </row>
    <row r="977">
      <c r="D977" s="25"/>
      <c r="E977" s="34"/>
    </row>
    <row r="978">
      <c r="D978" s="25"/>
      <c r="E978" s="34"/>
    </row>
    <row r="979">
      <c r="D979" s="25"/>
      <c r="E979" s="34"/>
    </row>
    <row r="980">
      <c r="D980" s="25"/>
      <c r="E980" s="34"/>
    </row>
    <row r="981">
      <c r="D981" s="25"/>
      <c r="E981" s="34"/>
    </row>
    <row r="982">
      <c r="D982" s="25"/>
      <c r="E982" s="34"/>
    </row>
    <row r="983">
      <c r="D983" s="25"/>
      <c r="E983" s="34"/>
    </row>
    <row r="984">
      <c r="D984" s="25"/>
      <c r="E984" s="34"/>
    </row>
    <row r="985">
      <c r="D985" s="25"/>
      <c r="E985" s="34"/>
    </row>
    <row r="986">
      <c r="D986" s="25"/>
      <c r="E986" s="34"/>
    </row>
    <row r="987">
      <c r="D987" s="25"/>
      <c r="E987" s="34"/>
    </row>
    <row r="988">
      <c r="D988" s="25"/>
      <c r="E988" s="34"/>
    </row>
    <row r="989">
      <c r="D989" s="25"/>
      <c r="E989" s="34"/>
    </row>
    <row r="990">
      <c r="D990" s="25"/>
      <c r="E990" s="34"/>
    </row>
    <row r="991">
      <c r="D991" s="25"/>
      <c r="E991" s="34"/>
    </row>
    <row r="992">
      <c r="D992" s="25"/>
      <c r="E992" s="34"/>
    </row>
    <row r="993">
      <c r="D993" s="25"/>
      <c r="E993" s="34"/>
    </row>
    <row r="994">
      <c r="D994" s="25"/>
      <c r="E994" s="34"/>
    </row>
    <row r="995">
      <c r="D995" s="25"/>
      <c r="E995" s="34"/>
    </row>
    <row r="996">
      <c r="D996" s="25"/>
      <c r="E996" s="34"/>
    </row>
    <row r="997">
      <c r="D997" s="25"/>
      <c r="E997" s="34"/>
    </row>
    <row r="998">
      <c r="D998" s="25"/>
      <c r="E998" s="34"/>
    </row>
    <row r="999">
      <c r="D999" s="25"/>
      <c r="E999" s="34"/>
    </row>
    <row r="1000">
      <c r="D1000" s="25"/>
      <c r="E1000" s="34"/>
    </row>
    <row r="1001">
      <c r="D1001" s="25"/>
      <c r="E1001" s="34"/>
    </row>
    <row r="1002">
      <c r="D1002" s="25"/>
      <c r="E1002" s="34"/>
    </row>
    <row r="1003">
      <c r="D1003" s="25"/>
      <c r="E1003" s="34"/>
    </row>
    <row r="1004">
      <c r="D1004" s="25"/>
      <c r="E1004" s="34"/>
    </row>
    <row r="1005">
      <c r="D1005" s="25"/>
      <c r="E1005" s="34"/>
    </row>
    <row r="1006">
      <c r="D1006" s="25"/>
      <c r="E1006" s="34"/>
    </row>
    <row r="1007">
      <c r="D1007" s="25"/>
      <c r="E1007" s="34"/>
    </row>
    <row r="1008">
      <c r="D1008" s="25"/>
      <c r="E1008" s="34"/>
    </row>
    <row r="1009">
      <c r="D1009" s="25"/>
      <c r="E1009" s="34"/>
    </row>
    <row r="1010">
      <c r="D1010" s="25"/>
      <c r="E1010" s="34"/>
    </row>
    <row r="1011">
      <c r="D1011" s="25"/>
      <c r="E1011" s="34"/>
    </row>
    <row r="1012">
      <c r="D1012" s="25"/>
      <c r="E1012" s="34"/>
    </row>
    <row r="1013">
      <c r="D1013" s="25"/>
      <c r="E1013" s="34"/>
    </row>
    <row r="1014">
      <c r="D1014" s="25"/>
      <c r="E1014" s="34"/>
    </row>
    <row r="1015">
      <c r="D1015" s="25"/>
      <c r="E1015" s="34"/>
    </row>
    <row r="1016">
      <c r="D1016" s="25"/>
      <c r="E1016" s="34"/>
    </row>
    <row r="1017">
      <c r="D1017" s="25"/>
      <c r="E1017" s="34"/>
    </row>
    <row r="1018">
      <c r="D1018" s="25"/>
      <c r="E1018" s="34"/>
    </row>
    <row r="1019">
      <c r="D1019" s="25"/>
      <c r="E1019" s="34"/>
    </row>
    <row r="1020">
      <c r="D1020" s="25"/>
      <c r="E1020" s="34"/>
    </row>
    <row r="1021">
      <c r="D1021" s="25"/>
      <c r="E1021" s="34"/>
    </row>
    <row r="1022">
      <c r="D1022" s="25"/>
      <c r="E1022" s="34"/>
    </row>
    <row r="1023">
      <c r="D1023" s="25"/>
      <c r="E1023" s="34"/>
    </row>
    <row r="1024">
      <c r="D1024" s="25"/>
      <c r="E1024" s="34"/>
    </row>
    <row r="1025">
      <c r="D1025" s="25"/>
      <c r="E1025" s="34"/>
    </row>
    <row r="1026">
      <c r="D1026" s="25"/>
      <c r="E1026" s="34"/>
    </row>
    <row r="1027">
      <c r="D1027" s="25"/>
      <c r="E1027" s="34"/>
    </row>
    <row r="1028">
      <c r="D1028" s="25"/>
      <c r="E1028" s="34"/>
    </row>
    <row r="1029">
      <c r="D1029" s="25"/>
      <c r="E1029" s="34"/>
    </row>
    <row r="1030">
      <c r="D1030" s="25"/>
      <c r="E1030" s="34"/>
    </row>
    <row r="1031">
      <c r="D1031" s="25"/>
      <c r="E1031" s="34"/>
    </row>
    <row r="1032">
      <c r="D1032" s="25"/>
      <c r="E1032" s="34"/>
    </row>
    <row r="1033">
      <c r="D1033" s="25"/>
      <c r="E1033" s="34"/>
    </row>
    <row r="1034">
      <c r="D1034" s="25"/>
      <c r="E1034" s="34"/>
    </row>
    <row r="1035">
      <c r="D1035" s="25"/>
      <c r="E1035" s="34"/>
    </row>
    <row r="1036">
      <c r="D1036" s="25"/>
      <c r="E1036" s="34"/>
    </row>
    <row r="1037">
      <c r="D1037" s="25"/>
      <c r="E1037" s="34"/>
    </row>
    <row r="1038">
      <c r="D1038" s="25"/>
      <c r="E1038" s="34"/>
    </row>
    <row r="1039">
      <c r="D1039" s="25"/>
      <c r="E1039" s="34"/>
    </row>
    <row r="1040">
      <c r="D1040" s="25"/>
      <c r="E1040" s="34"/>
    </row>
    <row r="1041">
      <c r="D1041" s="25"/>
      <c r="E1041" s="34"/>
    </row>
    <row r="1042">
      <c r="D1042" s="25"/>
      <c r="E1042" s="34"/>
    </row>
    <row r="1043">
      <c r="D1043" s="25"/>
      <c r="E1043" s="34"/>
    </row>
    <row r="1044">
      <c r="D1044" s="25"/>
      <c r="E1044" s="34"/>
    </row>
    <row r="1045">
      <c r="D1045" s="25"/>
      <c r="E1045" s="34"/>
    </row>
    <row r="1046">
      <c r="D1046" s="25"/>
      <c r="E1046" s="34"/>
    </row>
    <row r="1047">
      <c r="D1047" s="25"/>
      <c r="E1047" s="34"/>
    </row>
    <row r="1048">
      <c r="D1048" s="25"/>
      <c r="E1048" s="34"/>
    </row>
    <row r="1049">
      <c r="D1049" s="25"/>
      <c r="E1049" s="34"/>
    </row>
    <row r="1050">
      <c r="D1050" s="25"/>
      <c r="E1050" s="34"/>
    </row>
    <row r="1051">
      <c r="D1051" s="25"/>
      <c r="E1051" s="34"/>
    </row>
    <row r="1052">
      <c r="D1052" s="25"/>
      <c r="E1052" s="34"/>
    </row>
    <row r="1053">
      <c r="D1053" s="25"/>
      <c r="E1053" s="34"/>
    </row>
    <row r="1054">
      <c r="D1054" s="25"/>
      <c r="E1054" s="34"/>
    </row>
    <row r="1055">
      <c r="D1055" s="25"/>
      <c r="E1055" s="34"/>
    </row>
    <row r="1056">
      <c r="D1056" s="25"/>
      <c r="E1056" s="34"/>
    </row>
    <row r="1057">
      <c r="D1057" s="25"/>
      <c r="E1057" s="34"/>
    </row>
    <row r="1058">
      <c r="D1058" s="25"/>
      <c r="E1058" s="34"/>
    </row>
    <row r="1059">
      <c r="D1059" s="25"/>
      <c r="E1059" s="34"/>
    </row>
    <row r="1060">
      <c r="D1060" s="25"/>
      <c r="E1060" s="34"/>
    </row>
    <row r="1061">
      <c r="D1061" s="25"/>
      <c r="E1061" s="34"/>
    </row>
    <row r="1062">
      <c r="D1062" s="25"/>
      <c r="E1062" s="34"/>
    </row>
    <row r="1063">
      <c r="D1063" s="25"/>
      <c r="E1063" s="34"/>
    </row>
    <row r="1064">
      <c r="D1064" s="25"/>
      <c r="E1064" s="34"/>
    </row>
    <row r="1065">
      <c r="D1065" s="25"/>
      <c r="E1065" s="34"/>
    </row>
    <row r="1066">
      <c r="D1066" s="25"/>
      <c r="E1066" s="34"/>
    </row>
    <row r="1067">
      <c r="D1067" s="25"/>
      <c r="E1067" s="34"/>
    </row>
    <row r="1068">
      <c r="D1068" s="25"/>
      <c r="E1068" s="34"/>
    </row>
    <row r="1069">
      <c r="D1069" s="25"/>
      <c r="E1069" s="34"/>
    </row>
    <row r="1070">
      <c r="D1070" s="25"/>
      <c r="E1070" s="34"/>
    </row>
    <row r="1071">
      <c r="D1071" s="25"/>
      <c r="E1071" s="34"/>
    </row>
    <row r="1072">
      <c r="D1072" s="25"/>
      <c r="E1072" s="34"/>
    </row>
    <row r="1073">
      <c r="D1073" s="25"/>
      <c r="E1073" s="34"/>
    </row>
    <row r="1074">
      <c r="D1074" s="25"/>
      <c r="E1074" s="34"/>
    </row>
    <row r="1075">
      <c r="D1075" s="25"/>
      <c r="E1075" s="34"/>
    </row>
    <row r="1076">
      <c r="D1076" s="25"/>
      <c r="E1076" s="34"/>
    </row>
    <row r="1077">
      <c r="D1077" s="25"/>
      <c r="E1077" s="34"/>
    </row>
    <row r="1078">
      <c r="D1078" s="25"/>
      <c r="E1078" s="34"/>
    </row>
    <row r="1079">
      <c r="D1079" s="25"/>
      <c r="E1079" s="34"/>
    </row>
    <row r="1080">
      <c r="D1080" s="25"/>
      <c r="E1080" s="34"/>
    </row>
    <row r="1081">
      <c r="D1081" s="25"/>
      <c r="E1081" s="34"/>
    </row>
    <row r="1082">
      <c r="D1082" s="25"/>
      <c r="E1082" s="34"/>
    </row>
    <row r="1083">
      <c r="D1083" s="25"/>
      <c r="E1083" s="34"/>
    </row>
    <row r="1084">
      <c r="D1084" s="25"/>
      <c r="E1084" s="34"/>
    </row>
    <row r="1085">
      <c r="D1085" s="25"/>
      <c r="E1085" s="34"/>
    </row>
    <row r="1086">
      <c r="D1086" s="25"/>
      <c r="E1086" s="34"/>
    </row>
    <row r="1087">
      <c r="D1087" s="25"/>
      <c r="E1087" s="34"/>
    </row>
    <row r="1088">
      <c r="D1088" s="25"/>
      <c r="E1088" s="34"/>
    </row>
    <row r="1089">
      <c r="D1089" s="25"/>
      <c r="E1089" s="34"/>
    </row>
    <row r="1090">
      <c r="D1090" s="25"/>
      <c r="E1090" s="34"/>
    </row>
    <row r="1091">
      <c r="D1091" s="25"/>
      <c r="E1091" s="34"/>
    </row>
    <row r="1092">
      <c r="D1092" s="25"/>
      <c r="E1092" s="34"/>
    </row>
    <row r="1093">
      <c r="D1093" s="25"/>
      <c r="E1093" s="34"/>
    </row>
    <row r="1094">
      <c r="D1094" s="25"/>
      <c r="E1094" s="34"/>
    </row>
    <row r="1095">
      <c r="D1095" s="25"/>
      <c r="E1095" s="34"/>
    </row>
    <row r="1096">
      <c r="D1096" s="25"/>
      <c r="E1096" s="34"/>
    </row>
    <row r="1097">
      <c r="D1097" s="25"/>
      <c r="E1097" s="34"/>
    </row>
    <row r="1098">
      <c r="D1098" s="25"/>
      <c r="E1098" s="34"/>
    </row>
    <row r="1099">
      <c r="D1099" s="25"/>
      <c r="E1099" s="34"/>
    </row>
    <row r="1100">
      <c r="D1100" s="25"/>
      <c r="E1100" s="34"/>
    </row>
    <row r="1101">
      <c r="D1101" s="25"/>
      <c r="E1101" s="34"/>
    </row>
    <row r="1102">
      <c r="D1102" s="25"/>
      <c r="E1102" s="34"/>
    </row>
    <row r="1103">
      <c r="D1103" s="25"/>
      <c r="E1103" s="34"/>
    </row>
    <row r="1104">
      <c r="D1104" s="25"/>
      <c r="E1104" s="34"/>
    </row>
    <row r="1105">
      <c r="D1105" s="25"/>
      <c r="E1105" s="34"/>
    </row>
    <row r="1106">
      <c r="D1106" s="25"/>
      <c r="E1106" s="34"/>
    </row>
    <row r="1107">
      <c r="D1107" s="25"/>
      <c r="E1107" s="34"/>
    </row>
    <row r="1108">
      <c r="D1108" s="25"/>
      <c r="E1108" s="34"/>
    </row>
    <row r="1109">
      <c r="D1109" s="25"/>
      <c r="E1109" s="34"/>
    </row>
    <row r="1110">
      <c r="D1110" s="25"/>
      <c r="E1110" s="34"/>
    </row>
    <row r="1111">
      <c r="D1111" s="25"/>
      <c r="E1111" s="34"/>
    </row>
    <row r="1112">
      <c r="D1112" s="25"/>
      <c r="E1112" s="34"/>
    </row>
    <row r="1113">
      <c r="D1113" s="25"/>
      <c r="E1113" s="34"/>
    </row>
    <row r="1114">
      <c r="D1114" s="25"/>
      <c r="E1114" s="34"/>
    </row>
    <row r="1115">
      <c r="D1115" s="25"/>
      <c r="E1115" s="34"/>
    </row>
    <row r="1116">
      <c r="D1116" s="25"/>
      <c r="E1116" s="34"/>
    </row>
    <row r="1117">
      <c r="D1117" s="25"/>
      <c r="E1117" s="34"/>
    </row>
    <row r="1118">
      <c r="D1118" s="25"/>
      <c r="E1118" s="34"/>
    </row>
    <row r="1119">
      <c r="D1119" s="25"/>
      <c r="E1119" s="34"/>
    </row>
    <row r="1120">
      <c r="D1120" s="25"/>
      <c r="E1120" s="34"/>
    </row>
    <row r="1121">
      <c r="D1121" s="25"/>
      <c r="E1121" s="34"/>
    </row>
    <row r="1122">
      <c r="D1122" s="25"/>
      <c r="E1122" s="34"/>
    </row>
    <row r="1123">
      <c r="D1123" s="25"/>
      <c r="E1123" s="34"/>
    </row>
    <row r="1124">
      <c r="D1124" s="25"/>
      <c r="E1124" s="34"/>
    </row>
    <row r="1125">
      <c r="D1125" s="25"/>
      <c r="E1125" s="34"/>
    </row>
    <row r="1126">
      <c r="D1126" s="25"/>
      <c r="E1126" s="34"/>
    </row>
    <row r="1127">
      <c r="D1127" s="25"/>
      <c r="E1127" s="34"/>
    </row>
    <row r="1128">
      <c r="D1128" s="25"/>
      <c r="E1128" s="34"/>
    </row>
    <row r="1129">
      <c r="D1129" s="25"/>
      <c r="E1129" s="34"/>
    </row>
    <row r="1130">
      <c r="D1130" s="25"/>
      <c r="E1130" s="34"/>
    </row>
    <row r="1131">
      <c r="D1131" s="25"/>
      <c r="E1131" s="34"/>
    </row>
    <row r="1132">
      <c r="D1132" s="25"/>
      <c r="E1132" s="34"/>
    </row>
    <row r="1133">
      <c r="D1133" s="25"/>
      <c r="E1133" s="34"/>
    </row>
    <row r="1134">
      <c r="D1134" s="25"/>
      <c r="E1134" s="34"/>
    </row>
    <row r="1135">
      <c r="D1135" s="25"/>
      <c r="E1135" s="34"/>
    </row>
    <row r="1136">
      <c r="D1136" s="25"/>
      <c r="E1136" s="34"/>
    </row>
    <row r="1137">
      <c r="D1137" s="25"/>
      <c r="E1137" s="34"/>
    </row>
    <row r="1138">
      <c r="D1138" s="25"/>
      <c r="E1138" s="34"/>
    </row>
    <row r="1139">
      <c r="D1139" s="25"/>
      <c r="E1139" s="34"/>
    </row>
    <row r="1140">
      <c r="D1140" s="25"/>
      <c r="E1140" s="34"/>
    </row>
    <row r="1141">
      <c r="D1141" s="25"/>
      <c r="E1141" s="34"/>
    </row>
    <row r="1142">
      <c r="D1142" s="25"/>
      <c r="E1142" s="34"/>
    </row>
    <row r="1143">
      <c r="D1143" s="25"/>
      <c r="E1143" s="34"/>
    </row>
    <row r="1144">
      <c r="D1144" s="25"/>
      <c r="E1144" s="34"/>
    </row>
    <row r="1145">
      <c r="D1145" s="25"/>
      <c r="E1145" s="34"/>
    </row>
    <row r="1146">
      <c r="D1146" s="25"/>
      <c r="E1146" s="34"/>
    </row>
    <row r="1147">
      <c r="D1147" s="25"/>
      <c r="E1147" s="34"/>
    </row>
    <row r="1148">
      <c r="D1148" s="25"/>
      <c r="E1148" s="34"/>
    </row>
    <row r="1149">
      <c r="D1149" s="25"/>
      <c r="E1149" s="34"/>
    </row>
    <row r="1150">
      <c r="D1150" s="25"/>
      <c r="E1150" s="34"/>
    </row>
    <row r="1151">
      <c r="D1151" s="25"/>
      <c r="E1151" s="34"/>
    </row>
    <row r="1152">
      <c r="D1152" s="25"/>
      <c r="E1152" s="34"/>
    </row>
    <row r="1153">
      <c r="D1153" s="25"/>
      <c r="E1153" s="34"/>
    </row>
    <row r="1154">
      <c r="D1154" s="25"/>
      <c r="E1154" s="34"/>
    </row>
    <row r="1155">
      <c r="D1155" s="25"/>
      <c r="E1155" s="34"/>
    </row>
    <row r="1156">
      <c r="D1156" s="25"/>
      <c r="E1156" s="34"/>
    </row>
    <row r="1157">
      <c r="D1157" s="25"/>
      <c r="E1157" s="34"/>
    </row>
    <row r="1158">
      <c r="D1158" s="25"/>
      <c r="E1158" s="34"/>
    </row>
    <row r="1159">
      <c r="D1159" s="25"/>
      <c r="E1159" s="34"/>
    </row>
    <row r="1160">
      <c r="D1160" s="25"/>
      <c r="E1160" s="34"/>
    </row>
    <row r="1161">
      <c r="D1161" s="25"/>
      <c r="E1161" s="34"/>
    </row>
    <row r="1162">
      <c r="D1162" s="25"/>
      <c r="E1162" s="34"/>
    </row>
    <row r="1163">
      <c r="D1163" s="25"/>
      <c r="E1163" s="34"/>
    </row>
    <row r="1164">
      <c r="D1164" s="25"/>
      <c r="E1164" s="34"/>
    </row>
    <row r="1165">
      <c r="D1165" s="25"/>
      <c r="E1165" s="34"/>
    </row>
    <row r="1166">
      <c r="D1166" s="25"/>
      <c r="E1166" s="34"/>
    </row>
    <row r="1167">
      <c r="D1167" s="25"/>
      <c r="E1167" s="34"/>
    </row>
    <row r="1168">
      <c r="D1168" s="25"/>
      <c r="E1168" s="34"/>
    </row>
    <row r="1169">
      <c r="D1169" s="25"/>
      <c r="E1169" s="34"/>
    </row>
    <row r="1170">
      <c r="D1170" s="25"/>
      <c r="E1170" s="34"/>
    </row>
    <row r="1171">
      <c r="D1171" s="25"/>
      <c r="E1171" s="34"/>
    </row>
    <row r="1172">
      <c r="D1172" s="25"/>
      <c r="E1172" s="34"/>
    </row>
    <row r="1173">
      <c r="D1173" s="25"/>
      <c r="E1173" s="34"/>
    </row>
    <row r="1174">
      <c r="D1174" s="25"/>
      <c r="E1174" s="34"/>
    </row>
    <row r="1175">
      <c r="D1175" s="25"/>
      <c r="E1175" s="34"/>
    </row>
    <row r="1176">
      <c r="D1176" s="25"/>
      <c r="E1176" s="34"/>
    </row>
    <row r="1177">
      <c r="D1177" s="25"/>
      <c r="E1177" s="34"/>
    </row>
    <row r="1178">
      <c r="D1178" s="25"/>
      <c r="E1178" s="34"/>
    </row>
    <row r="1179">
      <c r="D1179" s="25"/>
      <c r="E1179" s="34"/>
    </row>
    <row r="1180">
      <c r="D1180" s="25"/>
      <c r="E1180" s="34"/>
    </row>
    <row r="1181">
      <c r="D1181" s="25"/>
      <c r="E1181" s="34"/>
    </row>
    <row r="1182">
      <c r="D1182" s="25"/>
      <c r="E1182" s="34"/>
    </row>
    <row r="1183">
      <c r="D1183" s="25"/>
      <c r="E1183" s="34"/>
    </row>
    <row r="1184">
      <c r="D1184" s="25"/>
      <c r="E1184" s="34"/>
    </row>
    <row r="1185">
      <c r="D1185" s="25"/>
      <c r="E1185" s="34"/>
    </row>
    <row r="1186">
      <c r="D1186" s="25"/>
      <c r="E1186" s="34"/>
    </row>
    <row r="1187">
      <c r="D1187" s="25"/>
      <c r="E1187" s="34"/>
    </row>
    <row r="1188">
      <c r="D1188" s="25"/>
      <c r="E1188" s="34"/>
    </row>
    <row r="1189">
      <c r="D1189" s="25"/>
      <c r="E1189" s="34"/>
    </row>
    <row r="1190">
      <c r="D1190" s="25"/>
      <c r="E1190" s="34"/>
    </row>
    <row r="1191">
      <c r="D1191" s="25"/>
      <c r="E1191" s="34"/>
    </row>
    <row r="1192">
      <c r="D1192" s="25"/>
      <c r="E1192" s="34"/>
    </row>
    <row r="1193">
      <c r="D1193" s="25"/>
      <c r="E1193" s="34"/>
    </row>
    <row r="1194">
      <c r="D1194" s="25"/>
      <c r="E1194" s="34"/>
    </row>
    <row r="1195">
      <c r="D1195" s="25"/>
      <c r="E1195" s="34"/>
    </row>
    <row r="1196">
      <c r="D1196" s="25"/>
      <c r="E1196" s="34"/>
    </row>
    <row r="1197">
      <c r="D1197" s="25"/>
      <c r="E1197" s="34"/>
    </row>
    <row r="1198">
      <c r="D1198" s="25"/>
      <c r="E1198" s="34"/>
    </row>
    <row r="1199">
      <c r="D1199" s="25"/>
      <c r="E1199" s="34"/>
    </row>
    <row r="1200">
      <c r="D1200" s="25"/>
      <c r="E1200" s="34"/>
    </row>
    <row r="1201">
      <c r="D1201" s="25"/>
      <c r="E1201" s="34"/>
    </row>
    <row r="1202">
      <c r="D1202" s="25"/>
      <c r="E1202" s="34"/>
    </row>
    <row r="1203">
      <c r="D1203" s="25"/>
      <c r="E1203" s="34"/>
    </row>
    <row r="1204">
      <c r="D1204" s="25"/>
      <c r="E1204" s="34"/>
    </row>
    <row r="1205">
      <c r="D1205" s="25"/>
      <c r="E1205" s="34"/>
    </row>
    <row r="1206">
      <c r="D1206" s="25"/>
      <c r="E1206" s="34"/>
    </row>
    <row r="1207">
      <c r="D1207" s="25"/>
      <c r="E1207" s="34"/>
    </row>
    <row r="1208">
      <c r="D1208" s="25"/>
      <c r="E1208" s="34"/>
    </row>
    <row r="1209">
      <c r="D1209" s="25"/>
      <c r="E1209" s="34"/>
    </row>
    <row r="1210">
      <c r="D1210" s="25"/>
      <c r="E1210" s="34"/>
    </row>
    <row r="1211">
      <c r="D1211" s="25"/>
      <c r="E1211" s="34"/>
    </row>
    <row r="1212">
      <c r="D1212" s="25"/>
      <c r="E1212" s="34"/>
    </row>
    <row r="1213">
      <c r="D1213" s="25"/>
      <c r="E1213" s="34"/>
    </row>
    <row r="1214">
      <c r="D1214" s="25"/>
      <c r="E1214" s="34"/>
    </row>
    <row r="1215">
      <c r="D1215" s="25"/>
      <c r="E1215" s="34"/>
    </row>
    <row r="1216">
      <c r="D1216" s="25"/>
      <c r="E1216" s="34"/>
    </row>
    <row r="1217">
      <c r="D1217" s="25"/>
      <c r="E1217" s="34"/>
    </row>
    <row r="1218">
      <c r="D1218" s="25"/>
      <c r="E1218" s="34"/>
    </row>
    <row r="1219">
      <c r="D1219" s="25"/>
      <c r="E1219" s="34"/>
    </row>
    <row r="1220">
      <c r="D1220" s="25"/>
      <c r="E1220" s="34"/>
    </row>
    <row r="1221">
      <c r="D1221" s="25"/>
      <c r="E1221" s="34"/>
    </row>
    <row r="1222">
      <c r="D1222" s="25"/>
      <c r="E1222" s="34"/>
    </row>
    <row r="1223">
      <c r="D1223" s="25"/>
      <c r="E1223" s="34"/>
    </row>
    <row r="1224">
      <c r="D1224" s="25"/>
      <c r="E1224" s="34"/>
    </row>
    <row r="1225">
      <c r="D1225" s="25"/>
      <c r="E1225" s="34"/>
    </row>
    <row r="1226">
      <c r="D1226" s="25"/>
      <c r="E1226" s="34"/>
    </row>
    <row r="1227">
      <c r="D1227" s="25"/>
      <c r="E1227" s="34"/>
    </row>
    <row r="1228">
      <c r="D1228" s="25"/>
      <c r="E1228" s="34"/>
    </row>
    <row r="1229">
      <c r="D1229" s="25"/>
      <c r="E1229" s="34"/>
    </row>
    <row r="1230">
      <c r="D1230" s="25"/>
      <c r="E1230" s="34"/>
    </row>
    <row r="1231">
      <c r="D1231" s="25"/>
      <c r="E1231" s="34"/>
    </row>
    <row r="1232">
      <c r="D1232" s="25"/>
      <c r="E1232" s="34"/>
    </row>
    <row r="1233">
      <c r="D1233" s="25"/>
      <c r="E1233" s="34"/>
    </row>
    <row r="1234">
      <c r="D1234" s="25"/>
      <c r="E1234" s="34"/>
    </row>
    <row r="1235">
      <c r="D1235" s="25"/>
      <c r="E1235" s="34"/>
    </row>
    <row r="1236">
      <c r="D1236" s="25"/>
      <c r="E1236" s="34"/>
    </row>
    <row r="1237">
      <c r="D1237" s="25"/>
      <c r="E1237" s="34"/>
    </row>
    <row r="1238">
      <c r="D1238" s="25"/>
      <c r="E1238" s="34"/>
    </row>
    <row r="1239">
      <c r="D1239" s="25"/>
      <c r="E1239" s="34"/>
    </row>
    <row r="1240">
      <c r="D1240" s="25"/>
      <c r="E1240" s="34"/>
    </row>
    <row r="1241">
      <c r="D1241" s="25"/>
      <c r="E1241" s="34"/>
    </row>
    <row r="1242">
      <c r="D1242" s="25"/>
      <c r="E1242" s="34"/>
    </row>
    <row r="1243">
      <c r="D1243" s="25"/>
      <c r="E1243" s="34"/>
    </row>
    <row r="1244">
      <c r="D1244" s="25"/>
      <c r="E1244" s="34"/>
    </row>
    <row r="1245">
      <c r="D1245" s="25"/>
      <c r="E1245" s="34"/>
    </row>
    <row r="1246">
      <c r="D1246" s="25"/>
      <c r="E1246" s="34"/>
    </row>
    <row r="1247">
      <c r="D1247" s="25"/>
      <c r="E1247" s="34"/>
    </row>
    <row r="1248">
      <c r="D1248" s="25"/>
      <c r="E1248" s="34"/>
    </row>
    <row r="1249">
      <c r="D1249" s="25"/>
      <c r="E1249" s="34"/>
    </row>
    <row r="1250">
      <c r="D1250" s="25"/>
      <c r="E1250" s="34"/>
    </row>
    <row r="1251">
      <c r="D1251" s="25"/>
      <c r="E1251" s="34"/>
    </row>
    <row r="1252">
      <c r="D1252" s="25"/>
      <c r="E1252" s="34"/>
    </row>
    <row r="1253">
      <c r="D1253" s="25"/>
      <c r="E1253" s="34"/>
    </row>
    <row r="1254">
      <c r="D1254" s="25"/>
      <c r="E1254" s="34"/>
    </row>
    <row r="1255">
      <c r="D1255" s="25"/>
      <c r="E1255" s="34"/>
    </row>
    <row r="1256">
      <c r="D1256" s="25"/>
      <c r="E1256" s="34"/>
    </row>
    <row r="1257">
      <c r="D1257" s="25"/>
      <c r="E1257" s="34"/>
    </row>
    <row r="1258">
      <c r="D1258" s="25"/>
      <c r="E1258" s="34"/>
    </row>
    <row r="1259">
      <c r="D1259" s="25"/>
      <c r="E1259" s="34"/>
    </row>
    <row r="1260">
      <c r="D1260" s="25"/>
      <c r="E1260" s="34"/>
    </row>
    <row r="1261">
      <c r="D1261" s="25"/>
      <c r="E1261" s="34"/>
    </row>
    <row r="1262">
      <c r="D1262" s="25"/>
      <c r="E1262" s="34"/>
    </row>
    <row r="1263">
      <c r="D1263" s="25"/>
      <c r="E1263" s="34"/>
    </row>
    <row r="1264">
      <c r="D1264" s="25"/>
      <c r="E1264" s="34"/>
    </row>
    <row r="1265">
      <c r="D1265" s="25"/>
      <c r="E1265" s="34"/>
    </row>
    <row r="1266">
      <c r="D1266" s="25"/>
      <c r="E1266" s="34"/>
    </row>
    <row r="1267">
      <c r="D1267" s="25"/>
      <c r="E1267" s="34"/>
    </row>
    <row r="1268">
      <c r="D1268" s="25"/>
      <c r="E1268" s="34"/>
    </row>
    <row r="1269">
      <c r="D1269" s="25"/>
      <c r="E1269" s="34"/>
    </row>
    <row r="1270">
      <c r="D1270" s="25"/>
      <c r="E1270" s="34"/>
    </row>
    <row r="1271">
      <c r="D1271" s="25"/>
      <c r="E1271" s="34"/>
    </row>
    <row r="1272">
      <c r="D1272" s="25"/>
      <c r="E1272" s="34"/>
    </row>
    <row r="1273">
      <c r="D1273" s="25"/>
      <c r="E1273" s="34"/>
    </row>
    <row r="1274">
      <c r="D1274" s="25"/>
      <c r="E1274" s="34"/>
    </row>
    <row r="1275">
      <c r="D1275" s="25"/>
      <c r="E1275" s="34"/>
    </row>
    <row r="1276">
      <c r="D1276" s="25"/>
      <c r="E1276" s="34"/>
    </row>
    <row r="1277">
      <c r="D1277" s="25"/>
      <c r="E1277" s="34"/>
    </row>
    <row r="1278">
      <c r="D1278" s="25"/>
      <c r="E1278" s="34"/>
    </row>
    <row r="1279">
      <c r="D1279" s="25"/>
      <c r="E1279" s="34"/>
    </row>
    <row r="1280">
      <c r="D1280" s="25"/>
      <c r="E1280" s="34"/>
    </row>
    <row r="1281">
      <c r="D1281" s="25"/>
      <c r="E1281" s="34"/>
    </row>
    <row r="1282">
      <c r="D1282" s="25"/>
      <c r="E1282" s="34"/>
    </row>
    <row r="1283">
      <c r="D1283" s="25"/>
      <c r="E1283" s="34"/>
    </row>
    <row r="1284">
      <c r="D1284" s="25"/>
      <c r="E1284" s="34"/>
    </row>
    <row r="1285">
      <c r="D1285" s="25"/>
      <c r="E1285" s="34"/>
    </row>
    <row r="1286">
      <c r="D1286" s="25"/>
      <c r="E1286" s="34"/>
    </row>
    <row r="1287">
      <c r="D1287" s="25"/>
      <c r="E1287" s="34"/>
    </row>
    <row r="1288">
      <c r="D1288" s="25"/>
      <c r="E1288" s="34"/>
    </row>
    <row r="1289">
      <c r="D1289" s="25"/>
      <c r="E1289" s="34"/>
    </row>
    <row r="1290">
      <c r="D1290" s="25"/>
      <c r="E1290" s="34"/>
    </row>
    <row r="1291">
      <c r="D1291" s="25"/>
      <c r="E1291" s="34"/>
    </row>
    <row r="1292">
      <c r="D1292" s="25"/>
      <c r="E1292" s="34"/>
    </row>
    <row r="1293">
      <c r="D1293" s="25"/>
      <c r="E1293" s="34"/>
    </row>
    <row r="1294">
      <c r="D1294" s="25"/>
      <c r="E1294" s="34"/>
    </row>
    <row r="1295">
      <c r="D1295" s="25"/>
      <c r="E1295" s="34"/>
    </row>
    <row r="1296">
      <c r="D1296" s="25"/>
      <c r="E1296" s="34"/>
    </row>
    <row r="1297">
      <c r="D1297" s="25"/>
      <c r="E1297" s="34"/>
    </row>
    <row r="1298">
      <c r="D1298" s="25"/>
      <c r="E1298" s="34"/>
    </row>
    <row r="1299">
      <c r="D1299" s="25"/>
      <c r="E1299" s="34"/>
    </row>
    <row r="1300">
      <c r="D1300" s="25"/>
      <c r="E1300" s="34"/>
    </row>
    <row r="1301">
      <c r="D1301" s="25"/>
      <c r="E1301" s="34"/>
    </row>
    <row r="1302">
      <c r="D1302" s="25"/>
      <c r="E1302" s="34"/>
    </row>
    <row r="1303">
      <c r="D1303" s="25"/>
      <c r="E1303" s="34"/>
    </row>
    <row r="1304">
      <c r="D1304" s="25"/>
      <c r="E1304" s="34"/>
    </row>
    <row r="1305">
      <c r="D1305" s="25"/>
      <c r="E1305" s="34"/>
    </row>
    <row r="1306">
      <c r="D1306" s="25"/>
      <c r="E1306" s="34"/>
    </row>
    <row r="1307">
      <c r="D1307" s="25"/>
      <c r="E1307" s="34"/>
    </row>
    <row r="1308">
      <c r="D1308" s="25"/>
      <c r="E1308" s="34"/>
    </row>
    <row r="1309">
      <c r="D1309" s="25"/>
      <c r="E1309" s="34"/>
    </row>
    <row r="1310">
      <c r="D1310" s="25"/>
      <c r="E1310" s="34"/>
    </row>
    <row r="1311">
      <c r="D1311" s="25"/>
      <c r="E1311" s="34"/>
    </row>
    <row r="1312">
      <c r="D1312" s="25"/>
      <c r="E1312" s="34"/>
    </row>
    <row r="1313">
      <c r="D1313" s="25"/>
      <c r="E1313" s="34"/>
    </row>
    <row r="1314">
      <c r="D1314" s="25"/>
      <c r="E1314" s="34"/>
    </row>
    <row r="1315">
      <c r="D1315" s="25"/>
      <c r="E1315" s="34"/>
    </row>
    <row r="1316">
      <c r="D1316" s="25"/>
      <c r="E1316" s="34"/>
    </row>
    <row r="1317">
      <c r="D1317" s="25"/>
      <c r="E1317" s="34"/>
    </row>
    <row r="1318">
      <c r="D1318" s="25"/>
      <c r="E1318" s="34"/>
    </row>
    <row r="1319">
      <c r="D1319" s="25"/>
      <c r="E1319" s="34"/>
    </row>
    <row r="1320">
      <c r="D1320" s="25"/>
      <c r="E1320" s="34"/>
    </row>
    <row r="1321">
      <c r="D1321" s="25"/>
      <c r="E1321" s="34"/>
    </row>
    <row r="1322">
      <c r="D1322" s="25"/>
      <c r="E1322" s="34"/>
    </row>
    <row r="1323">
      <c r="D1323" s="25"/>
      <c r="E1323" s="34"/>
    </row>
    <row r="1324">
      <c r="D1324" s="25"/>
      <c r="E1324" s="34"/>
    </row>
    <row r="1325">
      <c r="D1325" s="25"/>
      <c r="E1325" s="34"/>
    </row>
    <row r="1326">
      <c r="D1326" s="25"/>
      <c r="E1326" s="34"/>
    </row>
    <row r="1327">
      <c r="D1327" s="25"/>
      <c r="E1327" s="34"/>
    </row>
    <row r="1328">
      <c r="D1328" s="25"/>
      <c r="E1328" s="34"/>
    </row>
    <row r="1329">
      <c r="D1329" s="25"/>
      <c r="E1329" s="34"/>
    </row>
    <row r="1330">
      <c r="D1330" s="25"/>
      <c r="E1330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5"/>
    <col customWidth="1" min="5" max="6" width="14.38"/>
    <col customWidth="1" min="8" max="8" width="36.13"/>
  </cols>
  <sheetData>
    <row r="1">
      <c r="H1" s="1" t="s">
        <v>333</v>
      </c>
    </row>
    <row r="2">
      <c r="H2" s="2" t="str">
        <f>VLOOKUP(B2,SAP!G$1:H$236,2,FALSE())</f>
        <v>Silicon sealant glue nail free</v>
      </c>
    </row>
    <row r="3">
      <c r="H3" s="2" t="str">
        <f>VLOOKUP(B3,SAP!G$1:H$236,2,FALSE())</f>
        <v>Silicon sealant glue nail free</v>
      </c>
    </row>
    <row r="4">
      <c r="H4" s="2" t="str">
        <f>VLOOKUP(B4,SAP!G$1:H$236,2,FALSE())</f>
        <v>Silicon sealant glue nail free</v>
      </c>
    </row>
    <row r="5">
      <c r="H5" s="2" t="str">
        <f>VLOOKUP(B5,SAP!G$1:H$236,2,FALSE())</f>
        <v>PVC board 11 mm (8 X 4)</v>
      </c>
      <c r="I5" s="1" t="s">
        <v>334</v>
      </c>
      <c r="J5" s="1">
        <v>30000.0</v>
      </c>
    </row>
    <row r="6">
      <c r="H6" s="2" t="str">
        <f>VLOOKUP(B6,SAP!G$1:H$236,2,FALSE())</f>
        <v>Wall Bidding WPC 02</v>
      </c>
      <c r="I6" s="1" t="s">
        <v>6</v>
      </c>
      <c r="J6" s="1">
        <v>11500.0</v>
      </c>
    </row>
    <row r="7">
      <c r="H7" s="2" t="str">
        <f>VLOOKUP(B7,SAP!G$1:H$236,2,FALSE())</f>
        <v>Aluminium channels reactangular 1 mm</v>
      </c>
    </row>
    <row r="8">
      <c r="H8" s="2" t="str">
        <f>VLOOKUP(B8,SAP!G$1:H$236,2,FALSE())</f>
        <v>Silicon sealant glue nail free</v>
      </c>
    </row>
    <row r="9">
      <c r="H9" s="2" t="str">
        <f>VLOOKUP(B9,SAP!G$1:H$236,2,FALSE())</f>
        <v>240 LED strip light 5m</v>
      </c>
    </row>
    <row r="10">
      <c r="H10" s="2" t="str">
        <f>VLOOKUP(B10,SAP!G$1:H$236,2,FALSE())</f>
        <v>10 AMP 24V LED Power Adapter</v>
      </c>
    </row>
    <row r="11">
      <c r="H11" s="2" t="str">
        <f>VLOOKUP(B11,SAP!G$1:H$236,2,FALSE())</f>
        <v>Brown Wooden Louver PN 02307 CPC Panel </v>
      </c>
    </row>
    <row r="12">
      <c r="H12" s="2" t="str">
        <f>VLOOKUP(B12,SAP!G$1:H$236,2,FALSE())</f>
        <v>Silicon sealant glue nail free</v>
      </c>
    </row>
    <row r="13">
      <c r="H13" s="2" t="str">
        <f>VLOOKUP(B13,SAP!G$1:H$236,2,FALSE())</f>
        <v>Silicon sealant glue nail free</v>
      </c>
    </row>
    <row r="14">
      <c r="H14" s="2" t="str">
        <f>VLOOKUP(B14,SAP!G$1:H$236,2,FALSE())</f>
        <v>PVC board 11 mm (8 X 4)</v>
      </c>
      <c r="I14" s="1" t="s">
        <v>334</v>
      </c>
      <c r="J14" s="1">
        <v>18000.0</v>
      </c>
    </row>
    <row r="15">
      <c r="H15" s="2" t="str">
        <f>VLOOKUP(B15,SAP!G$1:H$236,2,FALSE())</f>
        <v>Wall Bidding WPC 02</v>
      </c>
      <c r="I15" s="1" t="s">
        <v>6</v>
      </c>
      <c r="J15" s="1">
        <v>14000.0</v>
      </c>
    </row>
    <row r="16">
      <c r="H16" s="2" t="str">
        <f>VLOOKUP(B16,SAP!G$1:H$236,2,FALSE())</f>
        <v>Aluminium channels reactangular 1 mm</v>
      </c>
      <c r="I16" s="1" t="s">
        <v>335</v>
      </c>
      <c r="J16" s="1">
        <v>3000.0</v>
      </c>
    </row>
    <row r="17">
      <c r="H17" s="2" t="str">
        <f>VLOOKUP(B17,SAP!G$1:H$236,2,FALSE())</f>
        <v>Silicon sealant glue nail free</v>
      </c>
    </row>
    <row r="18">
      <c r="H18" s="2" t="str">
        <f>VLOOKUP(B18,SAP!G$1:H$236,2,FALSE())</f>
        <v>240 LED strip light 5m</v>
      </c>
    </row>
    <row r="19">
      <c r="H19" s="2" t="str">
        <f>VLOOKUP(B19,SAP!G$1:H$236,2,FALSE())</f>
        <v>16X16 Alumnium Angular Profile 3m</v>
      </c>
    </row>
    <row r="20">
      <c r="H20" s="2" t="str">
        <f>VLOOKUP(B20,SAP!G$1:H$236,2,FALSE())</f>
        <v>10 AMP 24V LED Power Adapter</v>
      </c>
    </row>
    <row r="21">
      <c r="H21" s="2" t="str">
        <f>VLOOKUP(B21,SAP!G$1:H$236,2,FALSE())</f>
        <v>Charcoal PS-Cream-Matte-PN 05667</v>
      </c>
    </row>
    <row r="22">
      <c r="H22" s="2" t="str">
        <f>VLOOKUP(B22,SAP!G$1:H$236,2,FALSE())</f>
        <v>Wall storage 300mm shelf light woodgrain</v>
      </c>
    </row>
    <row r="23">
      <c r="H23" s="2" t="str">
        <f>VLOOKUP(B23,SAP!G$1:H$236,2,FALSE())</f>
        <v>Rangular box wo backpanel lightwoodgrain</v>
      </c>
    </row>
    <row r="24">
      <c r="H24" s="2" t="str">
        <f>VLOOKUP(B24,SAP!G$1:H$236,2,FALSE())</f>
        <v>Silicon sealant glue nail free</v>
      </c>
    </row>
    <row r="25">
      <c r="H25" s="2" t="str">
        <f>VLOOKUP(B25,SAP!G$1:H$236,2,FALSE())</f>
        <v>Charcoal PS-Walnut-Wood Grain-PN 02347</v>
      </c>
    </row>
    <row r="26">
      <c r="H26" s="2" t="str">
        <f>VLOOKUP(B26,SAP!G$1:H$236,2,FALSE())</f>
        <v>Silicon sealant glue nail free</v>
      </c>
    </row>
    <row r="27">
      <c r="H27" s="2" t="str">
        <f>VLOOKUP(B27,SAP!G$1:H$236,2,FALSE())</f>
        <v>Silicon sealant glue nail free</v>
      </c>
    </row>
    <row r="28">
      <c r="H28" s="2" t="str">
        <f>VLOOKUP(B28,SAP!G$1:H$236,2,FALSE())</f>
        <v>PVC board 11 mm (8 X 4)</v>
      </c>
      <c r="I28" s="1" t="s">
        <v>334</v>
      </c>
      <c r="J28" s="1">
        <v>22500.0</v>
      </c>
    </row>
    <row r="29">
      <c r="H29" s="2" t="str">
        <f>VLOOKUP(B29,SAP!G$1:H$236,2,FALSE())</f>
        <v>Wall Bidding WPC 02</v>
      </c>
      <c r="I29" s="1" t="s">
        <v>335</v>
      </c>
      <c r="J29" s="1">
        <v>5000.0</v>
      </c>
    </row>
    <row r="30">
      <c r="H30" s="2" t="str">
        <f>VLOOKUP(B30,SAP!G$1:H$236,2,FALSE())</f>
        <v>Aluminium channels reactangular 1 mm</v>
      </c>
      <c r="I30" s="1" t="s">
        <v>6</v>
      </c>
      <c r="J30" s="1">
        <v>10500.0</v>
      </c>
    </row>
    <row r="31">
      <c r="H31" s="2" t="str">
        <f>VLOOKUP(B31,SAP!G$1:H$236,2,FALSE())</f>
        <v>Silicon sealant glue nail free</v>
      </c>
    </row>
    <row r="32">
      <c r="H32" s="2" t="str">
        <f>VLOOKUP(B32,SAP!G$1:H$236,2,FALSE())</f>
        <v>240 LED strip light 5m</v>
      </c>
    </row>
    <row r="33">
      <c r="H33" s="2" t="str">
        <f>VLOOKUP(B33,SAP!G$1:H$236,2,FALSE())</f>
        <v>16X16 Alumnium Angular Profile 3m</v>
      </c>
    </row>
    <row r="34">
      <c r="H34" s="2" t="str">
        <f>VLOOKUP(B34,SAP!G$1:H$236,2,FALSE())</f>
        <v>10 AMP 24V LED Power Adapter</v>
      </c>
    </row>
    <row r="35">
      <c r="H35" s="2" t="str">
        <f>VLOOKUP(B35,SAP!G$1:H$236,2,FALSE())</f>
        <v>Brown Wooden Louver PN 02308 - CPC Panel</v>
      </c>
    </row>
    <row r="36">
      <c r="H36" s="2" t="str">
        <f>VLOOKUP(B36,SAP!G$1:H$236,2,FALSE())</f>
        <v>Wall storage 300mm shelf light woodgrain</v>
      </c>
    </row>
    <row r="37">
      <c r="H37" s="2" t="str">
        <f>VLOOKUP(B37,SAP!G$1:H$236,2,FALSE())</f>
        <v>Square box wo backpanel mid wood grain</v>
      </c>
    </row>
    <row r="38">
      <c r="H38" s="2" t="str">
        <f>VLOOKUP(B38,SAP!G$1:H$236,2,FALSE())</f>
        <v>Wall Trim 6 mm SS: Black Glossy</v>
      </c>
    </row>
    <row r="39">
      <c r="H39" s="2" t="str">
        <f>VLOOKUP(B39,SAP!G$1:H$236,2,FALSE())</f>
        <v>PVC board 11 mm (8 X 4)</v>
      </c>
      <c r="I39" s="1" t="s">
        <v>334</v>
      </c>
      <c r="J39" s="1">
        <v>22500.0</v>
      </c>
    </row>
    <row r="40">
      <c r="H40" s="2" t="str">
        <f>VLOOKUP(B40,SAP!G$1:H$236,2,FALSE())</f>
        <v>Wall Bidding WPC 02</v>
      </c>
      <c r="I40" s="1" t="s">
        <v>335</v>
      </c>
      <c r="J40" s="1">
        <v>5000.0</v>
      </c>
    </row>
    <row r="41">
      <c r="H41" s="2" t="str">
        <f>VLOOKUP(B41,SAP!G$1:H$236,2,FALSE())</f>
        <v>Aluminium channels reactangular 1 mm</v>
      </c>
      <c r="I41" s="1" t="s">
        <v>6</v>
      </c>
      <c r="J41" s="1">
        <v>9500.0</v>
      </c>
    </row>
    <row r="42">
      <c r="H42" s="2" t="str">
        <f>VLOOKUP(B42,SAP!G$1:H$236,2,FALSE())</f>
        <v>Silicon sealant glue nail free</v>
      </c>
    </row>
    <row r="43">
      <c r="H43" s="2" t="str">
        <f>VLOOKUP(B43,SAP!G$1:H$236,2,FALSE())</f>
        <v>240 LED strip light 5m</v>
      </c>
    </row>
    <row r="44">
      <c r="H44" s="2" t="str">
        <f>VLOOKUP(B44,SAP!G$1:H$236,2,FALSE())</f>
        <v>16X16 Alumnium Angular Profile 3m</v>
      </c>
    </row>
    <row r="45">
      <c r="H45" s="2" t="str">
        <f>VLOOKUP(B45,SAP!G$1:H$236,2,FALSE())</f>
        <v>10 AMP 24V LED Power Adapter</v>
      </c>
    </row>
    <row r="46">
      <c r="H46" s="2" t="str">
        <f>VLOOKUP(B46,SAP!G$1:H$236,2,FALSE())</f>
        <v>Beige Fabric Louver PN 02327 CPC Panel </v>
      </c>
    </row>
    <row r="47">
      <c r="H47" s="2" t="str">
        <f>VLOOKUP(B47,SAP!G$1:H$236,2,FALSE())</f>
        <v>Wall storage 300mm shelf light woodgrain</v>
      </c>
    </row>
    <row r="48">
      <c r="H48" s="2" t="str">
        <f>VLOOKUP(B48,SAP!G$1:H$236,2,FALSE())</f>
        <v>Square box wo backpanel mid wood grain</v>
      </c>
    </row>
    <row r="49">
      <c r="H49" s="2" t="str">
        <f>VLOOKUP(B49,SAP!G$1:H$236,2,FALSE())</f>
        <v>Wall Trim 6 mm SS: Black Glossy</v>
      </c>
    </row>
    <row r="50">
      <c r="H50" s="2" t="str">
        <f>VLOOKUP(B50,SAP!G$1:H$236,2,FALSE())</f>
        <v>Silicon sealant glue nail free</v>
      </c>
    </row>
    <row r="51">
      <c r="H51" s="2" t="str">
        <f>VLOOKUP(B51,SAP!G$1:H$236,2,FALSE())</f>
        <v>Silicon sealant glue nail free</v>
      </c>
    </row>
    <row r="52">
      <c r="H52" s="2" t="str">
        <f>VLOOKUP(B52,SAP!G$1:H$236,2,FALSE())</f>
        <v>Silicon sealant glue nail free</v>
      </c>
    </row>
    <row r="53">
      <c r="H53" s="2" t="str">
        <f>VLOOKUP(B53,SAP!G$1:H$236,2,FALSE())</f>
        <v>Silicon sealant glue nail free</v>
      </c>
    </row>
    <row r="54">
      <c r="H54" s="2" t="str">
        <f>VLOOKUP(B54,SAP!G$1:H$236,2,FALSE())</f>
        <v>Silicon sealant glue nail free</v>
      </c>
    </row>
    <row r="55">
      <c r="H55" s="2" t="str">
        <f>VLOOKUP(B55,SAP!G$1:H$236,2,FALSE())</f>
        <v>Silicon sealant glue nail free</v>
      </c>
    </row>
    <row r="56">
      <c r="H56" s="2" t="str">
        <f>VLOOKUP(B56,SAP!G$1:H$236,2,FALSE())</f>
        <v>Silicon sealant glue nail free</v>
      </c>
    </row>
    <row r="57">
      <c r="H57" s="2" t="str">
        <f>VLOOKUP(B57,SAP!G$1:H$236,2,FALSE())</f>
        <v>Silicon sealant glue nail free</v>
      </c>
    </row>
    <row r="58">
      <c r="H58" s="2" t="str">
        <f>VLOOKUP(B58,SAP!G$1:H$236,2,FALSE())</f>
        <v>Silicon sealant glue nail free</v>
      </c>
    </row>
    <row r="59">
      <c r="H59" s="2" t="str">
        <f>VLOOKUP(B59,SAP!G$1:H$236,2,FALSE())</f>
        <v>Silicon sealant glue nail free</v>
      </c>
    </row>
    <row r="60">
      <c r="H60" s="2" t="str">
        <f>VLOOKUP(B60,SAP!G$1:H$236,2,FALSE())</f>
        <v>Silicon sealant glue nail free</v>
      </c>
    </row>
    <row r="61">
      <c r="H61" s="2" t="str">
        <f>VLOOKUP(B61,SAP!G$1:H$236,2,FALSE())</f>
        <v>Silicon sealant glue nail free</v>
      </c>
    </row>
    <row r="62">
      <c r="H62" s="2" t="str">
        <f>VLOOKUP(B62,SAP!G$1:H$236,2,FALSE())</f>
        <v>Silicon sealant glue nail free</v>
      </c>
    </row>
    <row r="63">
      <c r="H63" s="2" t="str">
        <f>VLOOKUP(B63,SAP!G$1:H$236,2,FALSE())</f>
        <v>Silicon sealant glue nail free</v>
      </c>
    </row>
    <row r="64">
      <c r="H64" s="2" t="str">
        <f>VLOOKUP(B64,SAP!G$1:H$236,2,FALSE())</f>
        <v>Silicon sealant glue nail free</v>
      </c>
    </row>
    <row r="65">
      <c r="H65" s="2" t="str">
        <f>VLOOKUP(B65,SAP!G$1:H$236,2,FALSE())</f>
        <v>Silicon sealant glue nail free</v>
      </c>
    </row>
    <row r="66">
      <c r="H66" s="2" t="str">
        <f>VLOOKUP(B66,SAP!G$1:H$236,2,FALSE())</f>
        <v>Silicon sealant glue nail free</v>
      </c>
    </row>
    <row r="67">
      <c r="H67" s="2" t="str">
        <f>VLOOKUP(B67,SAP!G$1:H$236,2,FALSE())</f>
        <v>Silicon sealant glue nail free</v>
      </c>
    </row>
    <row r="68">
      <c r="H68" s="2" t="str">
        <f>VLOOKUP(B68,SAP!G$1:H$236,2,FALSE())</f>
        <v>Silicon sealant glue nail free</v>
      </c>
    </row>
    <row r="69">
      <c r="H69" s="2" t="str">
        <f>VLOOKUP(B69,SAP!G$1:H$236,2,FALSE())</f>
        <v>Silicon sealant glue nail free</v>
      </c>
    </row>
    <row r="70">
      <c r="H70" s="2" t="str">
        <f>VLOOKUP(B70,SAP!G$1:H$236,2,FALSE())</f>
        <v>Silicon sealant glue nail free</v>
      </c>
    </row>
    <row r="71">
      <c r="H71" s="2" t="str">
        <f>VLOOKUP(B71,SAP!G$1:H$236,2,FALSE())</f>
        <v>Silicon sealant glue nail free</v>
      </c>
    </row>
    <row r="72">
      <c r="H72" s="2" t="str">
        <f>VLOOKUP(B72,SAP!G$1:H$236,2,FALSE())</f>
        <v>Silicon sealant glue nail free</v>
      </c>
    </row>
    <row r="73">
      <c r="H73" s="2" t="str">
        <f>VLOOKUP(B73,SAP!G$1:H$236,2,FALSE())</f>
        <v>Silicon sealant glue nail free</v>
      </c>
    </row>
    <row r="74">
      <c r="H74" s="2" t="str">
        <f>VLOOKUP(B74,SAP!G$1:H$236,2,FALSE())</f>
        <v>Silicon sealant glue nail free</v>
      </c>
    </row>
    <row r="75">
      <c r="H75" s="2" t="str">
        <f>VLOOKUP(B75,SAP!G$1:H$236,2,FALSE())</f>
        <v>PVC board 11 mm (8 X 4)</v>
      </c>
      <c r="I75" s="1" t="s">
        <v>28</v>
      </c>
    </row>
    <row r="76">
      <c r="H76" s="2" t="str">
        <f>VLOOKUP(B76,SAP!G$1:H$236,2,FALSE())</f>
        <v>Wall Bidding WPC 08</v>
      </c>
      <c r="I76" s="1" t="s">
        <v>334</v>
      </c>
      <c r="J76" s="1">
        <v>12500.0</v>
      </c>
    </row>
    <row r="77">
      <c r="H77" s="2" t="str">
        <f>VLOOKUP(B77,SAP!G$1:H$236,2,FALSE())</f>
        <v>Aluminium channels reactangular 1 mm</v>
      </c>
      <c r="I77" s="1" t="s">
        <v>6</v>
      </c>
      <c r="J77" s="1">
        <v>8000.0</v>
      </c>
    </row>
    <row r="78">
      <c r="H78" s="2" t="str">
        <f>VLOOKUP(B78,SAP!G$1:H$236,2,FALSE())</f>
        <v>Silicon sealant glue nail free</v>
      </c>
    </row>
    <row r="79">
      <c r="H79" s="2" t="str">
        <f>VLOOKUP(B79,SAP!G$1:H$236,2,FALSE())</f>
        <v>240 LED strip light 5m</v>
      </c>
    </row>
    <row r="80">
      <c r="H80" s="2" t="str">
        <f>VLOOKUP(B80,SAP!G$1:H$236,2,FALSE())</f>
        <v>16X16 Alumnium Angular Profile 3m</v>
      </c>
    </row>
    <row r="81">
      <c r="H81" s="2" t="str">
        <f>VLOOKUP(B81,SAP!G$1:H$236,2,FALSE())</f>
        <v>10 AMP 24V LED Power Adapter</v>
      </c>
    </row>
    <row r="82">
      <c r="H82" s="2" t="str">
        <f>VLOOKUP(B82,SAP!G$1:H$236,2,FALSE())</f>
        <v>Charcoal PS-Cream-Matte-PN 06167</v>
      </c>
    </row>
    <row r="83">
      <c r="H83" s="2" t="str">
        <f>VLOOKUP(B83,SAP!G$1:H$236,2,FALSE())</f>
        <v>PVC board 11 mm (8 X 4)</v>
      </c>
      <c r="I83" s="1" t="s">
        <v>33</v>
      </c>
    </row>
    <row r="84">
      <c r="H84" s="2" t="str">
        <f>VLOOKUP(B84,SAP!G$1:H$236,2,FALSE())</f>
        <v>Wall Bidding WPC 01</v>
      </c>
      <c r="I84" s="1" t="s">
        <v>334</v>
      </c>
      <c r="J84" s="1">
        <v>10000.0</v>
      </c>
    </row>
    <row r="85">
      <c r="H85" s="2" t="str">
        <f>VLOOKUP(B85,SAP!G$1:H$236,2,FALSE())</f>
        <v>Aluminium channels reactangular 1 mm</v>
      </c>
      <c r="I85" s="1" t="s">
        <v>6</v>
      </c>
      <c r="J85" s="1">
        <v>8000.0</v>
      </c>
    </row>
    <row r="86">
      <c r="H86" s="2" t="str">
        <f>VLOOKUP(B86,SAP!G$1:H$236,2,FALSE())</f>
        <v>Silicon sealant glue nail free</v>
      </c>
    </row>
    <row r="87">
      <c r="H87" s="2" t="str">
        <f>VLOOKUP(B87,SAP!G$1:H$236,2,FALSE())</f>
        <v>240 LED strip light 5m</v>
      </c>
    </row>
    <row r="88">
      <c r="H88" s="2" t="str">
        <f>VLOOKUP(B88,SAP!G$1:H$236,2,FALSE())</f>
        <v>16X16 Alumnium Angular Profile 3m</v>
      </c>
    </row>
    <row r="89">
      <c r="H89" s="2" t="str">
        <f>VLOOKUP(B89,SAP!G$1:H$236,2,FALSE())</f>
        <v>10 AMP 24V LED Power Adapter</v>
      </c>
    </row>
    <row r="90">
      <c r="H90" s="2" t="str">
        <f>VLOOKUP(B90,SAP!G$1:H$236,2,FALSE())</f>
        <v>Charcoal PS-Dark-Wood Grain-PN 02746</v>
      </c>
    </row>
    <row r="91">
      <c r="H91" s="2" t="str">
        <f>VLOOKUP(B91,SAP!G$1:H$236,2,FALSE())</f>
        <v>Silicon sealant glue nail free</v>
      </c>
    </row>
    <row r="92">
      <c r="H92" s="2" t="str">
        <f>VLOOKUP(B92,SAP!G$1:H$236,2,FALSE())</f>
        <v>Silicon sealant glue nail free</v>
      </c>
    </row>
    <row r="93">
      <c r="H93" s="2" t="str">
        <f>VLOOKUP(B93,SAP!G$1:H$236,2,FALSE())</f>
        <v>Brown Wooden Louver PN 02307 CPC Panel </v>
      </c>
    </row>
    <row r="94">
      <c r="H94" s="2" t="str">
        <f>VLOOKUP(B94,SAP!G$1:H$236,2,FALSE())</f>
        <v>Silicon sealant glue nail free</v>
      </c>
    </row>
    <row r="95">
      <c r="H95" s="2" t="str">
        <f>VLOOKUP(B95,SAP!G$1:H$236,2,FALSE())</f>
        <v>Brown Wooden Louver PN 02313 CPC Panel </v>
      </c>
    </row>
    <row r="96">
      <c r="H96" s="2" t="str">
        <f>VLOOKUP(B96,SAP!G$1:H$236,2,FALSE())</f>
        <v>Silicon sealant glue nail free</v>
      </c>
    </row>
    <row r="97">
      <c r="H97" s="2" t="str">
        <f>VLOOKUP(B97,SAP!G$1:H$236,2,FALSE())</f>
        <v>Silicon sealant glue nail free</v>
      </c>
    </row>
    <row r="98">
      <c r="H98" s="2" t="str">
        <f>VLOOKUP(B98,SAP!G$1:H$236,2,FALSE())</f>
        <v>PVC board 11 mm (8 X 4)</v>
      </c>
      <c r="I98" s="1" t="s">
        <v>37</v>
      </c>
    </row>
    <row r="99">
      <c r="H99" s="2" t="str">
        <f>VLOOKUP(B99,SAP!G$1:H$236,2,FALSE())</f>
        <v>Wall Bidding WPC 09</v>
      </c>
      <c r="I99" s="1" t="s">
        <v>336</v>
      </c>
      <c r="J99" s="1">
        <v>15000.0</v>
      </c>
    </row>
    <row r="100">
      <c r="H100" s="2" t="str">
        <f>VLOOKUP(B100,SAP!G$1:H$236,2,FALSE())</f>
        <v>Aluminium channels reactangular 1 mm</v>
      </c>
      <c r="I100" s="1" t="s">
        <v>335</v>
      </c>
      <c r="J100" s="1">
        <v>3000.0</v>
      </c>
    </row>
    <row r="101">
      <c r="H101" s="2" t="str">
        <f>VLOOKUP(B101,SAP!G$1:H$236,2,FALSE())</f>
        <v>Silicon sealant glue nail free</v>
      </c>
      <c r="I101" s="1" t="s">
        <v>6</v>
      </c>
      <c r="J101" s="1">
        <v>10500.0</v>
      </c>
    </row>
    <row r="102">
      <c r="H102" s="2" t="str">
        <f>VLOOKUP(B102,SAP!G$1:H$236,2,FALSE())</f>
        <v>240 LED strip light 5m</v>
      </c>
    </row>
    <row r="103">
      <c r="H103" s="2" t="str">
        <f>VLOOKUP(B103,SAP!G$1:H$236,2,FALSE())</f>
        <v>16X16 Alumnium Angular Profile 3m</v>
      </c>
    </row>
    <row r="104">
      <c r="H104" s="2" t="str">
        <f>VLOOKUP(B104,SAP!G$1:H$236,2,FALSE())</f>
        <v>10 AMP 24V LED Power Adapter</v>
      </c>
    </row>
    <row r="105">
      <c r="H105" s="2" t="str">
        <f>VLOOKUP(B105,SAP!G$1:H$236,2,FALSE())</f>
        <v>Beige Fabric Decor PN 02326 CPC Panel</v>
      </c>
    </row>
    <row r="106">
      <c r="H106" s="2" t="str">
        <f>VLOOKUP(B106,SAP!G$1:H$236,2,FALSE())</f>
        <v>Charcoal PS-Walnut-Wood Grain-PN 03223</v>
      </c>
    </row>
    <row r="107">
      <c r="H107" s="2" t="str">
        <f>VLOOKUP(B107,SAP!G$1:H$236,2,FALSE())</f>
        <v>Rangular box wo backpanel lightwoodgrain</v>
      </c>
    </row>
    <row r="108">
      <c r="H108" s="2" t="str">
        <f>VLOOKUP(B108,SAP!G$1:H$236,2,FALSE())</f>
        <v>Square box wo backpanel light wood grain</v>
      </c>
      <c r="I108" s="1" t="s">
        <v>41</v>
      </c>
    </row>
    <row r="109">
      <c r="H109" s="2" t="str">
        <f>VLOOKUP(B109,SAP!G$1:H$236,2,FALSE())</f>
        <v>Silicon sealant glue nail free</v>
      </c>
      <c r="I109" s="1" t="s">
        <v>334</v>
      </c>
      <c r="J109" s="1">
        <v>20000.0</v>
      </c>
    </row>
    <row r="110">
      <c r="H110" s="2" t="str">
        <f>VLOOKUP(B110,SAP!G$1:H$236,2,FALSE())</f>
        <v>Brown Wooden Louver PN 02308 - CPC Panel</v>
      </c>
      <c r="I110" s="1" t="s">
        <v>6</v>
      </c>
      <c r="J110" s="1">
        <v>10500.0</v>
      </c>
    </row>
    <row r="111">
      <c r="H111" s="2" t="str">
        <f>VLOOKUP(B111,SAP!G$1:H$236,2,FALSE())</f>
        <v>Brown Wooden Louver PN 02313 B CPC Panel</v>
      </c>
      <c r="I111" s="1" t="s">
        <v>335</v>
      </c>
      <c r="J111" s="1">
        <v>3000.0</v>
      </c>
    </row>
    <row r="112">
      <c r="H112" s="2" t="str">
        <f>VLOOKUP(B112,SAP!G$1:H$236,2,FALSE())</f>
        <v>Wall storage 450mm shelf light woodgrain</v>
      </c>
    </row>
    <row r="113">
      <c r="H113" s="2" t="str">
        <f>VLOOKUP(B113,SAP!G$1:H$236,2,FALSE())</f>
        <v>Square box wo backpanel light wood grain</v>
      </c>
    </row>
    <row r="114">
      <c r="H114" s="2" t="str">
        <f>VLOOKUP(B114,SAP!G$1:H$236,2,FALSE())</f>
        <v>Wall Bidding PVC 05</v>
      </c>
    </row>
    <row r="115">
      <c r="H115" s="2" t="str">
        <f>VLOOKUP(B115,SAP!G$1:H$236,2,FALSE())</f>
        <v>Silicon sealant glue nail free</v>
      </c>
    </row>
    <row r="116">
      <c r="H116" s="2" t="str">
        <f>VLOOKUP(B116,SAP!G$1:H$236,2,FALSE())</f>
        <v>Grey Marble Louver PN 02325 - CPC Panel </v>
      </c>
    </row>
    <row r="117">
      <c r="H117" s="2" t="str">
        <f>VLOOKUP(B117,SAP!G$1:H$236,2,FALSE())</f>
        <v>Charcoal PS-Dark-Wood Grain-PN 02746</v>
      </c>
    </row>
    <row r="118">
      <c r="H118" s="2" t="str">
        <f>VLOOKUP(B118,SAP!G$1:H$236,2,FALSE())</f>
        <v>Silicon sealant glue nail free</v>
      </c>
    </row>
    <row r="119">
      <c r="H119" s="2" t="str">
        <f>VLOOKUP(B119,SAP!G$1:H$236,2,FALSE())</f>
        <v>PVC board 11 mm (8 X 4)</v>
      </c>
    </row>
    <row r="120">
      <c r="H120" s="2" t="str">
        <f>VLOOKUP(B120,SAP!G$1:H$236,2,FALSE())</f>
        <v>Aluminium channels reactangular 1 mm</v>
      </c>
    </row>
    <row r="121">
      <c r="H121" s="2" t="str">
        <f>VLOOKUP(B121,SAP!G$1:H$236,2,FALSE())</f>
        <v>Silicon sealant glue nail free</v>
      </c>
    </row>
    <row r="122">
      <c r="H122" s="2" t="str">
        <f>VLOOKUP(B122,SAP!G$1:H$236,2,FALSE())</f>
        <v>240 LED strip light 5m</v>
      </c>
      <c r="I122" s="1" t="s">
        <v>334</v>
      </c>
      <c r="J122" s="1">
        <v>40000.0</v>
      </c>
    </row>
    <row r="123">
      <c r="H123" s="2" t="str">
        <f>VLOOKUP(B123,SAP!G$1:H$236,2,FALSE())</f>
        <v>16X16 Alumnium Angular Profile 3m</v>
      </c>
      <c r="I123" s="1" t="s">
        <v>6</v>
      </c>
      <c r="J123" s="1">
        <v>13000.0</v>
      </c>
    </row>
    <row r="124">
      <c r="H124" s="2" t="str">
        <f>VLOOKUP(B124,SAP!G$1:H$236,2,FALSE())</f>
        <v>10 AMP 24V LED Power Adapter</v>
      </c>
      <c r="I124" s="1" t="s">
        <v>337</v>
      </c>
      <c r="J124" s="1">
        <v>4000.0</v>
      </c>
    </row>
    <row r="125">
      <c r="H125" s="2" t="str">
        <f>VLOOKUP(B125,SAP!G$1:H$236,2,FALSE())</f>
        <v>Grey Stone Louver PN 02324 - CPC Panel </v>
      </c>
    </row>
    <row r="126">
      <c r="H126" s="2" t="str">
        <f>VLOOKUP(B126,SAP!G$1:H$236,2,FALSE())</f>
        <v>Charcoal PS-Cream-Matte-PN 05667</v>
      </c>
    </row>
    <row r="127">
      <c r="H127" s="2" t="str">
        <f>VLOOKUP(B127,SAP!G$1:H$236,2,FALSE())</f>
        <v>Wall storage 450mm shelf light woodgrain</v>
      </c>
    </row>
    <row r="128">
      <c r="H128" s="2" t="str">
        <f>VLOOKUP(B128,SAP!G$1:H$236,2,FALSE())</f>
        <v>Rangular box wo backpanel lightwoodgrain</v>
      </c>
    </row>
    <row r="129">
      <c r="H129" s="2" t="str">
        <f>VLOOKUP(B129,SAP!G$1:H$236,2,FALSE())</f>
        <v>Wall Trim 6 mm SS: Rose Gold Glossy</v>
      </c>
    </row>
    <row r="130">
      <c r="H130" s="2" t="str">
        <f>VLOOKUP(B130,SAP!G$1:H$236,2,FALSE())</f>
        <v>PVC board 11 mm (8 X 4)</v>
      </c>
    </row>
    <row r="131">
      <c r="H131" s="2" t="str">
        <f>VLOOKUP(B131,SAP!G$1:H$236,2,FALSE())</f>
        <v>Wall Bidding WPC 01</v>
      </c>
      <c r="I131" s="1" t="s">
        <v>334</v>
      </c>
      <c r="J131" s="1">
        <v>30000.0</v>
      </c>
    </row>
    <row r="132">
      <c r="H132" s="2" t="str">
        <f>VLOOKUP(B132,SAP!G$1:H$236,2,FALSE())</f>
        <v>Aluminium channels reactangular 1 mm</v>
      </c>
      <c r="I132" s="1" t="s">
        <v>6</v>
      </c>
      <c r="J132" s="1">
        <v>13000.0</v>
      </c>
    </row>
    <row r="133">
      <c r="H133" s="2" t="str">
        <f>VLOOKUP(B133,SAP!G$1:H$236,2,FALSE())</f>
        <v>Silicon sealant glue nail free</v>
      </c>
      <c r="I133" s="1" t="s">
        <v>335</v>
      </c>
      <c r="J133" s="1">
        <v>4000.0</v>
      </c>
    </row>
    <row r="134">
      <c r="H134" s="2" t="str">
        <f>VLOOKUP(B134,SAP!G$1:H$236,2,FALSE())</f>
        <v>240 LED strip light 5m</v>
      </c>
    </row>
    <row r="135">
      <c r="H135" s="2" t="str">
        <f>VLOOKUP(B135,SAP!G$1:H$236,2,FALSE())</f>
        <v>16X16 Alumnium Angular Profile 3m</v>
      </c>
    </row>
    <row r="136">
      <c r="H136" s="2" t="str">
        <f>VLOOKUP(B136,SAP!G$1:H$236,2,FALSE())</f>
        <v>10 AMP 24V LED Power Adapter</v>
      </c>
    </row>
    <row r="137">
      <c r="H137" s="2" t="str">
        <f>VLOOKUP(B137,SAP!G$1:H$236,2,FALSE())</f>
        <v>Brown Wooden Decor PN 02314 CPC Panel</v>
      </c>
    </row>
    <row r="138">
      <c r="H138" s="2" t="str">
        <f>VLOOKUP(B138,SAP!G$1:H$236,2,FALSE())</f>
        <v>Charcoal PS-Walnut-Wood Grain-PN 03223</v>
      </c>
    </row>
    <row r="139">
      <c r="H139" s="2" t="str">
        <f>VLOOKUP(B139,SAP!G$1:H$236,2,FALSE())</f>
        <v>Rangular box wo backpanel lightwoodgrain</v>
      </c>
    </row>
    <row r="140">
      <c r="H140" s="2" t="str">
        <f>VLOOKUP(B140,SAP!G$1:H$236,2,FALSE())</f>
        <v>Square box wo backpanel light wood grain</v>
      </c>
    </row>
    <row r="141">
      <c r="H141" s="2" t="str">
        <f>VLOOKUP(B141,SAP!G$1:H$236,2,FALSE())</f>
        <v>Wall Trim 6 mm SS: Black Glossy</v>
      </c>
    </row>
    <row r="142">
      <c r="H142" s="2" t="str">
        <f>VLOOKUP(B142,SAP!G$1:H$236,2,FALSE())</f>
        <v>PVC board 11 mm (8 X 4)</v>
      </c>
    </row>
    <row r="143">
      <c r="H143" s="2" t="str">
        <f>VLOOKUP(B143,SAP!G$1:H$236,2,FALSE())</f>
        <v>Wall Bidding WPC 01</v>
      </c>
    </row>
    <row r="144">
      <c r="H144" s="2" t="str">
        <f>VLOOKUP(B144,SAP!G$1:H$236,2,FALSE())</f>
        <v>Aluminium channels reactangular 1 mm</v>
      </c>
      <c r="I144" s="1" t="s">
        <v>334</v>
      </c>
      <c r="J144" s="1">
        <v>21000.0</v>
      </c>
    </row>
    <row r="145">
      <c r="H145" s="2" t="str">
        <f>VLOOKUP(B145,SAP!G$1:H$236,2,FALSE())</f>
        <v>Silicon sealant glue nail free</v>
      </c>
      <c r="I145" s="1" t="s">
        <v>6</v>
      </c>
      <c r="J145" s="1">
        <v>19000.0</v>
      </c>
    </row>
    <row r="146">
      <c r="H146" s="2" t="str">
        <f>VLOOKUP(B146,SAP!G$1:H$236,2,FALSE())</f>
        <v>240 LED strip light 5m</v>
      </c>
      <c r="I146" s="1" t="s">
        <v>335</v>
      </c>
      <c r="J146" s="1">
        <v>4000.0</v>
      </c>
    </row>
    <row r="147">
      <c r="H147" s="2" t="str">
        <f>VLOOKUP(B147,SAP!G$1:H$236,2,FALSE())</f>
        <v>16X16 Alumnium Angular Profile 3m</v>
      </c>
    </row>
    <row r="148">
      <c r="H148" s="2" t="str">
        <f>VLOOKUP(B148,SAP!G$1:H$236,2,FALSE())</f>
        <v>10 AMP 24V LED Power Adapter</v>
      </c>
    </row>
    <row r="149">
      <c r="H149" s="2" t="str">
        <f>VLOOKUP(B149,SAP!G$1:H$236,2,FALSE())</f>
        <v>Charcoal PS-Walnut-Wood Grain-PN 03223</v>
      </c>
    </row>
    <row r="150">
      <c r="H150" s="2" t="str">
        <f>VLOOKUP(B150,SAP!G$1:H$236,2,FALSE())</f>
        <v>Rangular box wo backpanel lightwoodgrain</v>
      </c>
    </row>
    <row r="151">
      <c r="H151" s="2" t="str">
        <f>VLOOKUP(B151,SAP!G$1:H$236,2,FALSE())</f>
        <v>Square box wo backpanel light wood grain</v>
      </c>
    </row>
    <row r="152">
      <c r="H152" s="2" t="str">
        <f>VLOOKUP(B152,SAP!G$1:H$236,2,FALSE())</f>
        <v>PVC board 11 mm (8 X 4)</v>
      </c>
    </row>
    <row r="153">
      <c r="H153" s="2" t="str">
        <f>VLOOKUP(B153,SAP!G$1:H$236,2,FALSE())</f>
        <v>Wall Bidding WPC 03</v>
      </c>
      <c r="I153" s="1" t="s">
        <v>334</v>
      </c>
      <c r="J153" s="1">
        <v>21000.0</v>
      </c>
    </row>
    <row r="154">
      <c r="H154" s="2" t="str">
        <f>VLOOKUP(B154,SAP!G$1:H$236,2,FALSE())</f>
        <v>Aluminium channels reactangular 1 mm</v>
      </c>
      <c r="I154" s="1" t="s">
        <v>6</v>
      </c>
      <c r="J154" s="1">
        <v>19000.0</v>
      </c>
    </row>
    <row r="155">
      <c r="H155" s="2" t="str">
        <f>VLOOKUP(B155,SAP!G$1:H$236,2,FALSE())</f>
        <v>Silicon sealant glue nail free</v>
      </c>
      <c r="I155" s="1" t="s">
        <v>335</v>
      </c>
      <c r="J155" s="1">
        <v>44000.0</v>
      </c>
    </row>
    <row r="156">
      <c r="H156" s="2" t="str">
        <f>VLOOKUP(B156,SAP!G$1:H$236,2,FALSE())</f>
        <v>240 LED strip light 5m</v>
      </c>
    </row>
    <row r="157">
      <c r="H157" s="2" t="str">
        <f>VLOOKUP(B157,SAP!G$1:H$236,2,FALSE())</f>
        <v>16X16 Alumnium Angular Profile 3m</v>
      </c>
    </row>
    <row r="158">
      <c r="H158" s="2" t="str">
        <f>VLOOKUP(B158,SAP!G$1:H$236,2,FALSE())</f>
        <v>10 AMP 24V LED Power Adapter</v>
      </c>
    </row>
    <row r="159">
      <c r="H159" s="2" t="str">
        <f>VLOOKUP(B159,SAP!G$1:H$236,2,FALSE())</f>
        <v>Charcoal PS-Medium-Wood Grain-PN 05656</v>
      </c>
    </row>
    <row r="160">
      <c r="H160" s="2" t="str">
        <f>VLOOKUP(B160,SAP!G$1:H$236,2,FALSE())</f>
        <v>Rangular box wo backpanel lightwoodgrain</v>
      </c>
    </row>
    <row r="161">
      <c r="H161" s="2" t="str">
        <f>VLOOKUP(B161,SAP!G$1:H$236,2,FALSE())</f>
        <v>Square box wo backpanel light wood grain</v>
      </c>
    </row>
    <row r="162">
      <c r="H162" s="2" t="str">
        <f>VLOOKUP(B162,SAP!G$1:H$236,2,FALSE())</f>
        <v>Silicon sealant glue nail free</v>
      </c>
    </row>
    <row r="163">
      <c r="H163" s="2" t="str">
        <f>VLOOKUP(B163,SAP!G$1:H$236,2,FALSE())</f>
        <v>Charcoal PS-Dark-Wood Grain-PN 03889</v>
      </c>
    </row>
    <row r="164">
      <c r="H164" s="2" t="str">
        <f>VLOOKUP(B164,SAP!G$1:H$236,2,FALSE())</f>
        <v>Silicon sealant glue nail free</v>
      </c>
      <c r="I164" s="1" t="s">
        <v>334</v>
      </c>
      <c r="J164" s="1">
        <v>18000.0</v>
      </c>
    </row>
    <row r="165">
      <c r="H165" s="2" t="str">
        <f>VLOOKUP(B165,SAP!G$1:H$236,2,FALSE())</f>
        <v>Charcoal PS-Pine-Wood Grain-PN 03221</v>
      </c>
      <c r="I165" s="1" t="s">
        <v>6</v>
      </c>
      <c r="J165" s="1">
        <v>14000.0</v>
      </c>
    </row>
    <row r="166">
      <c r="H166" s="2" t="str">
        <f>VLOOKUP(B166,SAP!G$1:H$236,2,FALSE())</f>
        <v>PVC board 11 mm (8 X 4)</v>
      </c>
      <c r="I166" s="1" t="s">
        <v>335</v>
      </c>
      <c r="J166" s="1">
        <v>2000.0</v>
      </c>
    </row>
    <row r="167">
      <c r="H167" s="2" t="str">
        <f>VLOOKUP(B167,SAP!G$1:H$236,2,FALSE())</f>
        <v>Wall Bidding WPC 02</v>
      </c>
    </row>
    <row r="168">
      <c r="H168" s="2" t="str">
        <f>VLOOKUP(B168,SAP!G$1:H$236,2,FALSE())</f>
        <v>Aluminium channels reactangular 1 mm</v>
      </c>
    </row>
    <row r="169">
      <c r="H169" s="2" t="str">
        <f>VLOOKUP(B169,SAP!G$1:H$236,2,FALSE())</f>
        <v>Silicon sealant glue nail free</v>
      </c>
    </row>
    <row r="170">
      <c r="H170" s="2" t="str">
        <f>VLOOKUP(B170,SAP!G$1:H$236,2,FALSE())</f>
        <v>240 LED strip light 5m</v>
      </c>
    </row>
    <row r="171">
      <c r="H171" s="2" t="str">
        <f>VLOOKUP(B171,SAP!G$1:H$236,2,FALSE())</f>
        <v>16X16 Alumnium Angular Profile 3m</v>
      </c>
    </row>
    <row r="172">
      <c r="H172" s="2" t="str">
        <f>VLOOKUP(B172,SAP!G$1:H$236,2,FALSE())</f>
        <v>10 AMP 24V LED Power Adapter</v>
      </c>
    </row>
    <row r="173">
      <c r="H173" s="2" t="str">
        <f>VLOOKUP(B173,SAP!G$1:H$236,2,FALSE())</f>
        <v>Charcoal PS-Dark Grey-Matte-PN 00545</v>
      </c>
      <c r="I173" s="1" t="s">
        <v>334</v>
      </c>
      <c r="J173" s="1">
        <v>18000.0</v>
      </c>
    </row>
    <row r="174">
      <c r="H174" s="2" t="str">
        <f>VLOOKUP(B174,SAP!G$1:H$236,2,FALSE())</f>
        <v>Square box wo backpanel light wood grain</v>
      </c>
      <c r="I174" s="1" t="s">
        <v>6</v>
      </c>
      <c r="J174" s="1">
        <v>14000.0</v>
      </c>
    </row>
    <row r="175">
      <c r="H175" s="2" t="str">
        <f>VLOOKUP(B175,SAP!G$1:H$236,2,FALSE())</f>
        <v>PVC board 11 mm (8 X 4)</v>
      </c>
      <c r="I175" s="1" t="s">
        <v>335</v>
      </c>
      <c r="J175" s="1">
        <v>2000.0</v>
      </c>
    </row>
    <row r="176">
      <c r="H176" s="2" t="str">
        <f>VLOOKUP(B176,SAP!G$1:H$236,2,FALSE())</f>
        <v>Wall Bidding WPC 01</v>
      </c>
    </row>
    <row r="177">
      <c r="H177" s="2" t="str">
        <f>VLOOKUP(B177,SAP!G$1:H$236,2,FALSE())</f>
        <v>Aluminium channels reactangular 1 mm</v>
      </c>
    </row>
    <row r="178">
      <c r="H178" s="2" t="str">
        <f>VLOOKUP(B178,SAP!G$1:H$236,2,FALSE())</f>
        <v>Silicon sealant glue nail free</v>
      </c>
    </row>
    <row r="179">
      <c r="H179" s="2" t="str">
        <f>VLOOKUP(B179,SAP!G$1:H$236,2,FALSE())</f>
        <v>240 LED strip light 5m</v>
      </c>
    </row>
    <row r="180">
      <c r="H180" s="2" t="str">
        <f>VLOOKUP(B180,SAP!G$1:H$236,2,FALSE())</f>
        <v>16X16 Alumnium Angular Profile 3m</v>
      </c>
    </row>
    <row r="181">
      <c r="H181" s="2" t="str">
        <f>VLOOKUP(B181,SAP!G$1:H$236,2,FALSE())</f>
        <v>10 AMP 24V LED Power Adapter</v>
      </c>
    </row>
    <row r="182">
      <c r="H182" s="2" t="str">
        <f>VLOOKUP(B182,SAP!G$1:H$236,2,FALSE())</f>
        <v>Charcoal PS-Cream-Matte-PN 05667</v>
      </c>
      <c r="I182" s="1" t="s">
        <v>334</v>
      </c>
      <c r="J182" s="1">
        <v>20000.0</v>
      </c>
    </row>
    <row r="183">
      <c r="H183" s="2" t="str">
        <f>VLOOKUP(B183,SAP!G$1:H$236,2,FALSE())</f>
        <v>Square box wo backpanel light wood grain</v>
      </c>
      <c r="I183" s="1" t="s">
        <v>6</v>
      </c>
      <c r="J183" s="1">
        <v>14000.0</v>
      </c>
    </row>
    <row r="184">
      <c r="H184" s="2" t="str">
        <f>VLOOKUP(B184,SAP!G$1:H$236,2,FALSE())</f>
        <v>Silicon sealant glue nail free</v>
      </c>
      <c r="I184" s="1" t="s">
        <v>335</v>
      </c>
      <c r="J184" s="1">
        <v>2000.0</v>
      </c>
    </row>
    <row r="185">
      <c r="H185" s="2" t="str">
        <f>VLOOKUP(B185,SAP!G$1:H$236,2,FALSE())</f>
        <v>Charcoal PS-Dark-Wood Grain-PN 03027</v>
      </c>
    </row>
    <row r="186">
      <c r="H186" s="2" t="str">
        <f>VLOOKUP(B186,SAP!G$1:H$236,2,FALSE())</f>
        <v>Silicon sealant glue nail free</v>
      </c>
    </row>
    <row r="187">
      <c r="H187" s="2" t="str">
        <f>VLOOKUP(B187,SAP!G$1:H$236,2,FALSE())</f>
        <v>Charcoal PS-Walnut-Wood Grain-PN 00149</v>
      </c>
    </row>
    <row r="188">
      <c r="H188" s="2" t="str">
        <f>VLOOKUP(B188,SAP!G$1:H$236,2,FALSE())</f>
        <v>PVC board 11 mm (8 X 4)</v>
      </c>
    </row>
    <row r="189">
      <c r="H189" s="2" t="str">
        <f>VLOOKUP(B189,SAP!G$1:H$236,2,FALSE())</f>
        <v>Wall Bidding WPC 03</v>
      </c>
    </row>
    <row r="190">
      <c r="H190" s="2" t="str">
        <f>VLOOKUP(B190,SAP!G$1:H$236,2,FALSE())</f>
        <v>Aluminium channels reactangular 1 mm</v>
      </c>
    </row>
    <row r="191">
      <c r="H191" s="2" t="str">
        <f>VLOOKUP(B191,SAP!G$1:H$236,2,FALSE())</f>
        <v>Silicon sealant glue nail free</v>
      </c>
      <c r="I191" s="1" t="s">
        <v>334</v>
      </c>
      <c r="J191" s="1">
        <v>20000.0</v>
      </c>
    </row>
    <row r="192">
      <c r="H192" s="2" t="str">
        <f>VLOOKUP(B192,SAP!G$1:H$236,2,FALSE())</f>
        <v>240 LED strip light 5m</v>
      </c>
      <c r="I192" s="1" t="s">
        <v>6</v>
      </c>
      <c r="J192" s="1">
        <v>14000.0</v>
      </c>
    </row>
    <row r="193">
      <c r="H193" s="2" t="str">
        <f>VLOOKUP(B193,SAP!G$1:H$236,2,FALSE())</f>
        <v>16X16 Alumnium Angular Profile 3m</v>
      </c>
      <c r="I193" s="1" t="s">
        <v>335</v>
      </c>
      <c r="J193" s="1">
        <v>2000.0</v>
      </c>
    </row>
    <row r="194">
      <c r="H194" s="2" t="str">
        <f>VLOOKUP(B194,SAP!G$1:H$236,2,FALSE())</f>
        <v>10 AMP 24V LED Power Adapter</v>
      </c>
    </row>
    <row r="195">
      <c r="H195" s="2" t="str">
        <f>VLOOKUP(B195,SAP!G$1:H$236,2,FALSE())</f>
        <v>Charcoal PS-White-Matte-PN 00155</v>
      </c>
    </row>
    <row r="196">
      <c r="H196" s="2" t="str">
        <f>VLOOKUP(B196,SAP!G$1:H$236,2,FALSE())</f>
        <v>Square box wo backpanel mid wood grain</v>
      </c>
    </row>
    <row r="197">
      <c r="H197" s="2" t="str">
        <f>VLOOKUP(B197,SAP!G$1:H$236,2,FALSE())</f>
        <v>PVC board 11 mm (8 X 4)</v>
      </c>
    </row>
    <row r="198">
      <c r="H198" s="2" t="str">
        <f>VLOOKUP(B198,SAP!G$1:H$236,2,FALSE())</f>
        <v>Wall Bidding WPC 02</v>
      </c>
    </row>
    <row r="199">
      <c r="H199" s="2" t="str">
        <f>VLOOKUP(B199,SAP!G$1:H$236,2,FALSE())</f>
        <v>Aluminium channels reactangular 1 mm</v>
      </c>
    </row>
    <row r="200">
      <c r="H200" s="2" t="str">
        <f>VLOOKUP(B200,SAP!G$1:H$236,2,FALSE())</f>
        <v>Silicon sealant glue nail free</v>
      </c>
    </row>
    <row r="201">
      <c r="H201" s="2" t="str">
        <f>VLOOKUP(B201,SAP!G$1:H$236,2,FALSE())</f>
        <v>240 LED strip light 5m</v>
      </c>
    </row>
    <row r="202">
      <c r="H202" s="2" t="str">
        <f>VLOOKUP(B202,SAP!G$1:H$236,2,FALSE())</f>
        <v>16X16 Alumnium Angular Profile 3m</v>
      </c>
      <c r="I202" s="1" t="s">
        <v>334</v>
      </c>
      <c r="J202" s="1">
        <v>15000.0</v>
      </c>
    </row>
    <row r="203">
      <c r="H203" s="2" t="str">
        <f>VLOOKUP(B203,SAP!G$1:H$236,2,FALSE())</f>
        <v>10 AMP 24V LED Power Adapter</v>
      </c>
      <c r="I203" s="1" t="s">
        <v>335</v>
      </c>
      <c r="J203" s="1">
        <v>3000.0</v>
      </c>
    </row>
    <row r="204">
      <c r="H204" s="2" t="str">
        <f>VLOOKUP(B204,SAP!G$1:H$236,2,FALSE())</f>
        <v>Charcoal PS-Walnut-Wood Grain-PN 00149</v>
      </c>
    </row>
    <row r="205">
      <c r="H205" s="2" t="str">
        <f>VLOOKUP(B205,SAP!G$1:H$236,2,FALSE())</f>
        <v>Square box wo backpanel mid wood grain</v>
      </c>
    </row>
    <row r="206">
      <c r="H206" s="2" t="str">
        <f>VLOOKUP(B206,SAP!G$1:H$236,2,FALSE())</f>
        <v>Silicon sealant glue nail free</v>
      </c>
      <c r="I206" s="1" t="s">
        <v>334</v>
      </c>
      <c r="J206" s="1">
        <v>15000.0</v>
      </c>
    </row>
    <row r="207">
      <c r="H207" s="2" t="str">
        <f>VLOOKUP(B207,SAP!G$1:H$236,2,FALSE())</f>
        <v>Brown Wooden Decor PN 02314 CPC Panel</v>
      </c>
      <c r="I207" s="1" t="s">
        <v>335</v>
      </c>
      <c r="J207" s="1">
        <v>3000.0</v>
      </c>
    </row>
    <row r="208">
      <c r="H208" s="2" t="str">
        <f>VLOOKUP(B208,SAP!G$1:H$236,2,FALSE())</f>
        <v>PVC board 11 mm (8 X 4)</v>
      </c>
    </row>
    <row r="209">
      <c r="H209" s="2" t="str">
        <f>VLOOKUP(B209,SAP!G$1:H$236,2,FALSE())</f>
        <v>Wall Bidding WPC 02</v>
      </c>
    </row>
    <row r="210">
      <c r="H210" s="2" t="str">
        <f>VLOOKUP(B210,SAP!G$1:H$236,2,FALSE())</f>
        <v>Aluminium channels reactangular 1 mm</v>
      </c>
      <c r="I210" s="1" t="s">
        <v>334</v>
      </c>
      <c r="J210" s="1">
        <v>30000.0</v>
      </c>
    </row>
    <row r="211">
      <c r="H211" s="2" t="str">
        <f>VLOOKUP(B211,SAP!G$1:H$236,2,FALSE())</f>
        <v>Silicon sealant glue nail free</v>
      </c>
      <c r="I211" s="1" t="s">
        <v>6</v>
      </c>
      <c r="J211" s="1">
        <v>10500.0</v>
      </c>
    </row>
    <row r="212">
      <c r="H212" s="2" t="str">
        <f>VLOOKUP(B212,SAP!G$1:H$236,2,FALSE())</f>
        <v>240 LED strip light 5m</v>
      </c>
      <c r="I212" s="1" t="s">
        <v>335</v>
      </c>
      <c r="J212" s="1">
        <v>3000.0</v>
      </c>
    </row>
    <row r="213">
      <c r="H213" s="2" t="str">
        <f>VLOOKUP(B213,SAP!G$1:H$236,2,FALSE())</f>
        <v>16X16 Alumnium Angular Profile 3m</v>
      </c>
    </row>
    <row r="214">
      <c r="H214" s="2" t="str">
        <f>VLOOKUP(B214,SAP!G$1:H$236,2,FALSE())</f>
        <v>10 AMP 24V LED Power Adapter</v>
      </c>
    </row>
    <row r="215">
      <c r="H215" s="2" t="str">
        <f>VLOOKUP(B215,SAP!G$1:H$236,2,FALSE())</f>
        <v>Charcoal PS-White-Matte-PN 00155</v>
      </c>
    </row>
    <row r="216">
      <c r="H216" s="2" t="str">
        <f>VLOOKUP(B216,SAP!G$1:H$236,2,FALSE())</f>
        <v>Rangular box wo backpanel mid wood grain</v>
      </c>
    </row>
    <row r="217">
      <c r="H217" s="2" t="str">
        <f>VLOOKUP(B217,SAP!G$1:H$236,2,FALSE())</f>
        <v>PVC board 11 mm (8 X 4)</v>
      </c>
    </row>
    <row r="218">
      <c r="H218" s="2" t="str">
        <f>VLOOKUP(B218,SAP!G$1:H$236,2,FALSE())</f>
        <v>Wall Bidding WPC 02</v>
      </c>
    </row>
    <row r="219">
      <c r="H219" s="2" t="str">
        <f>VLOOKUP(B219,SAP!G$1:H$236,2,FALSE())</f>
        <v>Aluminium channels reactangular 1 mm</v>
      </c>
    </row>
    <row r="220">
      <c r="H220" s="2" t="str">
        <f>VLOOKUP(B220,SAP!G$1:H$236,2,FALSE())</f>
        <v>Silicon sealant glue nail free</v>
      </c>
    </row>
    <row r="221">
      <c r="H221" s="2" t="str">
        <f>VLOOKUP(B221,SAP!G$1:H$236,2,FALSE())</f>
        <v>240 LED strip light 5m</v>
      </c>
      <c r="I221" s="1" t="s">
        <v>334</v>
      </c>
      <c r="J221" s="1" t="s">
        <v>48</v>
      </c>
    </row>
    <row r="222">
      <c r="H222" s="2" t="str">
        <f>VLOOKUP(B222,SAP!G$1:H$236,2,FALSE())</f>
        <v>16X16 Alumnium Angular Profile 3m</v>
      </c>
    </row>
    <row r="223">
      <c r="H223" s="2" t="str">
        <f>VLOOKUP(B223,SAP!G$1:H$236,2,FALSE())</f>
        <v>10 AMP 24V LED Power Adapter</v>
      </c>
    </row>
    <row r="224">
      <c r="H224" s="2" t="str">
        <f>VLOOKUP(B224,SAP!G$1:H$236,2,FALSE())</f>
        <v>Charcoal PS-Medium-Wood Grain-PN 03214</v>
      </c>
    </row>
    <row r="225">
      <c r="H225" s="2" t="str">
        <f>VLOOKUP(B225,SAP!G$1:H$236,2,FALSE())</f>
        <v>Rangular box wo backpanel solid dark</v>
      </c>
    </row>
    <row r="226">
      <c r="H226" s="2" t="str">
        <f>VLOOKUP(B226,SAP!G$1:H$236,2,FALSE())</f>
        <v>PVC board 11 mm (8 X 4)</v>
      </c>
    </row>
    <row r="227">
      <c r="H227" s="2" t="str">
        <f>VLOOKUP(B227,SAP!G$1:H$236,2,FALSE())</f>
        <v>Wall Bidding WPC 01</v>
      </c>
    </row>
    <row r="228">
      <c r="H228" s="2" t="str">
        <f>VLOOKUP(B228,SAP!G$1:H$236,2,FALSE())</f>
        <v>Aluminium channels reactangular 1 mm</v>
      </c>
    </row>
    <row r="229">
      <c r="H229" s="2" t="str">
        <f>VLOOKUP(B229,SAP!G$1:H$236,2,FALSE())</f>
        <v>Silicon sealant glue nail free</v>
      </c>
    </row>
    <row r="230">
      <c r="H230" s="2" t="str">
        <f>VLOOKUP(B230,SAP!G$1:H$236,2,FALSE())</f>
        <v>240 LED strip light 5m</v>
      </c>
    </row>
    <row r="231">
      <c r="H231" s="2" t="str">
        <f>VLOOKUP(B231,SAP!G$1:H$236,2,FALSE())</f>
        <v>16X16 Alumnium Angular Profile 3m</v>
      </c>
    </row>
    <row r="232">
      <c r="H232" s="2" t="str">
        <f>VLOOKUP(B232,SAP!G$1:H$236,2,FALSE())</f>
        <v>10 AMP 24V LED Power Adapter</v>
      </c>
    </row>
    <row r="233">
      <c r="H233" s="2" t="str">
        <f>VLOOKUP(B233,SAP!G$1:H$236,2,FALSE())</f>
        <v>Charcoal PS-Walnut-Wood Grain-PN 04598</v>
      </c>
    </row>
    <row r="234">
      <c r="H234" s="2" t="str">
        <f>VLOOKUP(B234,SAP!G$1:H$236,2,FALSE())</f>
        <v>Square box wo backpanel light wood grain</v>
      </c>
    </row>
    <row r="235">
      <c r="H235" s="2" t="str">
        <f>VLOOKUP(B235,SAP!G$1:H$236,2,FALSE())</f>
        <v>PVC board 11 mm (8 X 4)</v>
      </c>
    </row>
    <row r="236">
      <c r="H236" s="2" t="str">
        <f>VLOOKUP(B236,SAP!G$1:H$236,2,FALSE())</f>
        <v>Wall Bidding WPC 01</v>
      </c>
    </row>
    <row r="237">
      <c r="H237" s="2" t="str">
        <f>VLOOKUP(B237,SAP!G$1:H$236,2,FALSE())</f>
        <v>Aluminium channels reactangular 1 mm</v>
      </c>
    </row>
    <row r="238">
      <c r="H238" s="2" t="str">
        <f>VLOOKUP(B238,SAP!G$1:H$236,2,FALSE())</f>
        <v>240 LED strip light 5m</v>
      </c>
    </row>
    <row r="239">
      <c r="H239" s="2" t="str">
        <f>VLOOKUP(B239,SAP!G$1:H$236,2,FALSE())</f>
        <v>16X16 Alumnium Angular Profile 3m</v>
      </c>
    </row>
    <row r="240">
      <c r="H240" s="2" t="str">
        <f>VLOOKUP(B240,SAP!G$1:H$236,2,FALSE())</f>
        <v>10 AMP 24V LED Power Adapter</v>
      </c>
    </row>
    <row r="241">
      <c r="H241" s="2" t="str">
        <f>VLOOKUP(B241,SAP!G$1:H$236,2,FALSE())</f>
        <v>Charcoal PS-Pine-Wood Grain-PN 03865</v>
      </c>
    </row>
    <row r="242">
      <c r="H242" s="2" t="str">
        <f>VLOOKUP(B242,SAP!G$1:H$236,2,FALSE())</f>
        <v>Square box wo backpanel solid dark</v>
      </c>
    </row>
    <row r="243">
      <c r="H243" s="2" t="str">
        <f>VLOOKUP(B243,SAP!G$1:H$236,2,FALSE())</f>
        <v>Silicon sealant glue nail free</v>
      </c>
    </row>
    <row r="244">
      <c r="H244" s="2" t="str">
        <f>VLOOKUP(B244,SAP!G$1:H$236,2,FALSE())</f>
        <v>Silicon sealant glue nail free</v>
      </c>
    </row>
    <row r="245">
      <c r="H245" s="2" t="str">
        <f>VLOOKUP(B245,SAP!G$1:H$236,2,FALSE())</f>
        <v>Silicon sealant glue nail free</v>
      </c>
    </row>
    <row r="246">
      <c r="H246" s="2" t="str">
        <f>VLOOKUP(B246,SAP!G$1:H$236,2,FALSE())</f>
        <v>Wall Bidding WPC 10</v>
      </c>
    </row>
    <row r="247">
      <c r="H247" s="2" t="str">
        <f>VLOOKUP(B247,SAP!G$1:H$236,2,FALSE())</f>
        <v>Silicon sealant glue nail free</v>
      </c>
    </row>
    <row r="248">
      <c r="H248" s="2" t="str">
        <f>VLOOKUP(B248,SAP!G$1:H$236,2,FALSE())</f>
        <v>Brown Wooden Louver PN 02307 CPC Panel </v>
      </c>
    </row>
    <row r="249">
      <c r="H249" s="2" t="str">
        <f>VLOOKUP(B249,SAP!G$1:H$236,2,FALSE())</f>
        <v>Wall storage 300mm shelf mid wood grain</v>
      </c>
    </row>
    <row r="250">
      <c r="H250" s="2" t="str">
        <f>VLOOKUP(B250,SAP!G$1:H$236,2,FALSE())</f>
        <v>Wall Trim 6 mm SS: Golden Glossy</v>
      </c>
    </row>
    <row r="251">
      <c r="H251" s="2" t="str">
        <f>VLOOKUP(B251,SAP!G$1:H$236,2,FALSE())</f>
        <v>Wall Bidding WPC 01</v>
      </c>
    </row>
    <row r="252">
      <c r="H252" s="2" t="str">
        <f>VLOOKUP(B252,SAP!G$1:H$236,2,FALSE())</f>
        <v>Silicon sealant glue nail free</v>
      </c>
      <c r="I252" s="1" t="s">
        <v>334</v>
      </c>
      <c r="J252" s="1">
        <v>52500.0</v>
      </c>
    </row>
    <row r="253">
      <c r="H253" s="2" t="str">
        <f>VLOOKUP(B253,SAP!G$1:H$236,2,FALSE())</f>
        <v>Brown Wooden Louver PN 02313 CPC Panel </v>
      </c>
      <c r="I253" s="1" t="s">
        <v>6</v>
      </c>
      <c r="J253" s="1">
        <v>10500.0</v>
      </c>
    </row>
    <row r="254">
      <c r="H254" s="2" t="str">
        <f>VLOOKUP(B254,SAP!G$1:H$236,2,FALSE())</f>
        <v>Wall storage 300mm shelf light woodgrain</v>
      </c>
      <c r="I254" s="1" t="s">
        <v>335</v>
      </c>
      <c r="J254" s="1">
        <v>3000.0</v>
      </c>
    </row>
    <row r="255">
      <c r="H255" s="2" t="str">
        <f>VLOOKUP(B255,SAP!G$1:H$236,2,FALSE())</f>
        <v>Wall Trim 6 mm SS: Golden Glossy</v>
      </c>
    </row>
    <row r="256">
      <c r="H256" s="2" t="str">
        <f>VLOOKUP(B256,SAP!G$1:H$236,2,FALSE())</f>
        <v>PVC board 11 mm (8 X 4)</v>
      </c>
    </row>
    <row r="257">
      <c r="H257" s="2" t="str">
        <f>VLOOKUP(B257,SAP!G$1:H$236,2,FALSE())</f>
        <v>Wall Bidding WPC 10</v>
      </c>
    </row>
    <row r="258">
      <c r="H258" s="2" t="str">
        <f>VLOOKUP(B258,SAP!G$1:H$236,2,FALSE())</f>
        <v>Aluminium channels reactangular 1 mm</v>
      </c>
    </row>
    <row r="259">
      <c r="H259" s="2" t="str">
        <f>VLOOKUP(B259,SAP!G$1:H$236,2,FALSE())</f>
        <v>Silicon sealant glue nail free</v>
      </c>
    </row>
    <row r="260">
      <c r="H260" s="2" t="str">
        <f>VLOOKUP(B260,SAP!G$1:H$236,2,FALSE())</f>
        <v>240 LED strip light 5m</v>
      </c>
    </row>
    <row r="261">
      <c r="H261" s="2" t="str">
        <f>VLOOKUP(B261,SAP!G$1:H$236,2,FALSE())</f>
        <v>16X16 Alumnium Angular Profile 3m</v>
      </c>
    </row>
    <row r="262">
      <c r="H262" s="2" t="str">
        <f>VLOOKUP(B262,SAP!G$1:H$236,2,FALSE())</f>
        <v>10 AMP 24V LED Power Adapter</v>
      </c>
    </row>
    <row r="263">
      <c r="H263" s="2" t="str">
        <f>VLOOKUP(B263,SAP!G$1:H$236,2,FALSE())</f>
        <v>Charcoal PS-Medium-Wood Grain-PN 05514</v>
      </c>
      <c r="I263" s="1" t="s">
        <v>334</v>
      </c>
      <c r="J263" s="1">
        <v>33500.0</v>
      </c>
    </row>
    <row r="264">
      <c r="H264" s="2" t="str">
        <f>VLOOKUP(B264,SAP!G$1:H$236,2,FALSE())</f>
        <v>Wall storage 300mm shelf mid wood grain</v>
      </c>
      <c r="I264" s="1" t="s">
        <v>335</v>
      </c>
      <c r="J264" s="1">
        <v>5000.0</v>
      </c>
    </row>
    <row r="265">
      <c r="H265" s="2" t="str">
        <f>VLOOKUP(B265,SAP!G$1:H$236,2,FALSE())</f>
        <v>Rangular box wo backpanel mid wood grain</v>
      </c>
    </row>
    <row r="266">
      <c r="H266" s="2" t="str">
        <f>VLOOKUP(B266,SAP!G$1:H$236,2,FALSE())</f>
        <v>Square box wo backpanel mid wood grain</v>
      </c>
    </row>
    <row r="267">
      <c r="H267" s="2" t="str">
        <f>VLOOKUP(B267,SAP!G$1:H$236,2,FALSE())</f>
        <v>Wall Bidding WPC 03</v>
      </c>
    </row>
    <row r="268">
      <c r="H268" s="2" t="str">
        <f>VLOOKUP(B268,SAP!G$1:H$236,2,FALSE())</f>
        <v>Silicon sealant glue nail free</v>
      </c>
      <c r="I268" s="1" t="s">
        <v>334</v>
      </c>
      <c r="J268" s="1">
        <v>46500.0</v>
      </c>
    </row>
    <row r="269">
      <c r="H269" s="2" t="str">
        <f>VLOOKUP(B269,SAP!G$1:H$236,2,FALSE())</f>
        <v>Wall storage 300mm shelf mid wood grain</v>
      </c>
    </row>
    <row r="270">
      <c r="H270" s="2" t="str">
        <f>VLOOKUP(B270,SAP!G$1:H$236,2,FALSE())</f>
        <v>Rangular box wo backpanel mid wood grain</v>
      </c>
    </row>
    <row r="271">
      <c r="H271" s="2" t="str">
        <f>VLOOKUP(B271,SAP!G$1:H$236,2,FALSE())</f>
        <v>Square box wo backpanel mid wood grain</v>
      </c>
    </row>
    <row r="272">
      <c r="H272" s="2" t="str">
        <f>VLOOKUP(B272,SAP!G$1:H$236,2,FALSE())</f>
        <v>Silicon sealant glue nail free</v>
      </c>
    </row>
    <row r="273">
      <c r="H273" s="2" t="str">
        <f>VLOOKUP(B273,SAP!G$1:H$236,2,FALSE())</f>
        <v>Silicon sealant glue nail free</v>
      </c>
      <c r="I273" s="1" t="s">
        <v>334</v>
      </c>
      <c r="J273" s="1">
        <v>24500.0</v>
      </c>
    </row>
    <row r="274">
      <c r="H274" s="2" t="str">
        <f>VLOOKUP(B274,SAP!G$1:H$236,2,FALSE())</f>
        <v>Silicon sealant glue nail free</v>
      </c>
      <c r="I274" s="1" t="s">
        <v>6</v>
      </c>
      <c r="J274" s="1">
        <v>14500.0</v>
      </c>
    </row>
    <row r="275">
      <c r="H275" s="2" t="str">
        <f>VLOOKUP(B275,SAP!G$1:H$236,2,FALSE())</f>
        <v>Silicon sealant glue nail free</v>
      </c>
      <c r="I275" s="1" t="s">
        <v>335</v>
      </c>
      <c r="J275" s="1">
        <v>3000.0</v>
      </c>
    </row>
    <row r="276">
      <c r="H276" s="2" t="str">
        <f>VLOOKUP(B276,SAP!G$1:H$236,2,FALSE())</f>
        <v>Silicon sealant glue nail free</v>
      </c>
    </row>
    <row r="277">
      <c r="H277" s="2" t="str">
        <f>VLOOKUP(B277,SAP!G$1:H$236,2,FALSE())</f>
        <v>Silicon sealant glue nail free</v>
      </c>
    </row>
    <row r="278">
      <c r="H278" s="2" t="str">
        <f>VLOOKUP(B278,SAP!G$1:H$236,2,FALSE())</f>
        <v>Silicon sealant glue nail free</v>
      </c>
    </row>
    <row r="279">
      <c r="H279" s="2" t="str">
        <f>VLOOKUP(B279,SAP!G$1:H$236,2,FALSE())</f>
        <v>Silicon sealant glue nail free</v>
      </c>
    </row>
    <row r="280">
      <c r="H280" s="2" t="str">
        <f>VLOOKUP(B280,SAP!G$1:H$236,2,FALSE())</f>
        <v>Silicon sealant glue nail free</v>
      </c>
    </row>
    <row r="281">
      <c r="H281" s="2" t="str">
        <f>VLOOKUP(B281,SAP!G$1:H$236,2,FALSE())</f>
        <v>Brown Wooden Decor PN 02314 CPC Panel</v>
      </c>
    </row>
    <row r="282">
      <c r="H282" s="2" t="str">
        <f>VLOOKUP(B282,SAP!G$1:H$236,2,FALSE())</f>
        <v>Beige Fabric Louver PN 02327 CPC Panel </v>
      </c>
    </row>
    <row r="283">
      <c r="H283" s="2" t="str">
        <f>VLOOKUP(B283,SAP!G$1:H$236,2,FALSE())</f>
        <v>Rangular box wo backpanel mid wood grain</v>
      </c>
    </row>
    <row r="284">
      <c r="H284" s="2" t="str">
        <f>VLOOKUP(B284,SAP!G$1:H$236,2,FALSE())</f>
        <v>Wall Bidding WPC 08</v>
      </c>
    </row>
    <row r="285">
      <c r="H285" s="2" t="str">
        <f>VLOOKUP(B285,SAP!G$1:H$236,2,FALSE())</f>
        <v>Silicon sealant glue nail free</v>
      </c>
    </row>
    <row r="286">
      <c r="H286" s="2" t="str">
        <f>VLOOKUP(B286,SAP!G$1:H$236,2,FALSE())</f>
        <v>Beige Fabric Decor PN 02326 CPC Panel</v>
      </c>
      <c r="I286" s="1" t="s">
        <v>334</v>
      </c>
      <c r="J286" s="1" t="s">
        <v>48</v>
      </c>
    </row>
    <row r="287">
      <c r="H287" s="2" t="str">
        <f>VLOOKUP(B287,SAP!G$1:H$236,2,FALSE())</f>
        <v>Charcoal PS-Brown-Wood Grain-PN 05662</v>
      </c>
    </row>
    <row r="288">
      <c r="H288" s="2" t="str">
        <f>VLOOKUP(B288,SAP!G$1:H$236,2,FALSE())</f>
        <v>Wall storage 300mm shelf mid wood grain</v>
      </c>
    </row>
    <row r="289">
      <c r="H289" s="2" t="str">
        <f>VLOOKUP(B289,SAP!G$1:H$236,2,FALSE())</f>
        <v>Wall storage 600 mm shelf mid wood grain</v>
      </c>
      <c r="I289" s="1" t="s">
        <v>334</v>
      </c>
      <c r="J289" s="1">
        <v>52500.0</v>
      </c>
    </row>
    <row r="290">
      <c r="H290" s="2" t="str">
        <f>VLOOKUP(B290,SAP!G$1:H$236,2,FALSE())</f>
        <v>Wall Trim 6 mm SS: Black Glossy</v>
      </c>
      <c r="I290" s="1" t="s">
        <v>6</v>
      </c>
      <c r="J290" s="1">
        <v>13000.0</v>
      </c>
    </row>
    <row r="291">
      <c r="H291" s="2" t="str">
        <f>VLOOKUP(B291,SAP!G$1:H$236,2,FALSE())</f>
        <v>Silicon sealant glue nail free</v>
      </c>
      <c r="I291" s="1" t="s">
        <v>335</v>
      </c>
      <c r="J291" s="1">
        <v>2000.0</v>
      </c>
    </row>
    <row r="292">
      <c r="H292" s="2" t="str">
        <f>VLOOKUP(B292,SAP!G$1:H$236,2,FALSE())</f>
        <v>White Marble Louver PN 02304 CPC Panel </v>
      </c>
      <c r="I292" s="1" t="s">
        <v>338</v>
      </c>
      <c r="J292" s="1">
        <v>15000.0</v>
      </c>
    </row>
    <row r="293">
      <c r="H293" s="2" t="str">
        <f>VLOOKUP(B293,SAP!G$1:H$236,2,FALSE())</f>
        <v>Charcoal PS-Beige-Matte-PN 03851</v>
      </c>
    </row>
    <row r="294">
      <c r="H294" s="2" t="str">
        <f>VLOOKUP(B294,SAP!G$1:H$236,2,FALSE())</f>
        <v>Rangular box wo backpanel mid wood grain</v>
      </c>
    </row>
    <row r="295">
      <c r="H295" s="2" t="str">
        <f>VLOOKUP(B295,SAP!G$1:H$236,2,FALSE())</f>
        <v>Wall Trim 6 mm SS: Golden Glossy</v>
      </c>
    </row>
    <row r="296">
      <c r="H296" s="2" t="str">
        <f>VLOOKUP(B296,SAP!G$1:H$236,2,FALSE())</f>
        <v>Silicon sealant glue nail free</v>
      </c>
    </row>
    <row r="297">
      <c r="H297" s="2" t="str">
        <f>VLOOKUP(B297,SAP!G$1:H$236,2,FALSE())</f>
        <v>Silicon sealant glue nail free</v>
      </c>
    </row>
    <row r="298">
      <c r="H298" s="2" t="str">
        <f>VLOOKUP(B298,SAP!G$1:H$236,2,FALSE())</f>
        <v>Grey Stone Louver PN 02322 - CPC Panel</v>
      </c>
    </row>
    <row r="299">
      <c r="H299" s="2" t="str">
        <f>VLOOKUP(B299,SAP!G$1:H$236,2,FALSE())</f>
        <v>Grey Stone Louver PN 02324 - CPC Panel </v>
      </c>
    </row>
    <row r="300">
      <c r="H300" s="2" t="str">
        <f>VLOOKUP(B300,SAP!G$1:H$236,2,FALSE())</f>
        <v>Wall storage 300mm shelf light woodgrain</v>
      </c>
      <c r="I300" s="1" t="s">
        <v>334</v>
      </c>
      <c r="J300" s="1">
        <v>45000.0</v>
      </c>
    </row>
    <row r="301">
      <c r="H301" s="2" t="str">
        <f>VLOOKUP(B301,SAP!G$1:H$236,2,FALSE())</f>
        <v>Rangular box wo backpanel lightwoodgrain</v>
      </c>
      <c r="I301" s="1" t="s">
        <v>335</v>
      </c>
      <c r="J301" s="1">
        <v>2000.0</v>
      </c>
    </row>
    <row r="302">
      <c r="H302" s="2" t="str">
        <f>VLOOKUP(B302,SAP!G$1:H$236,2,FALSE())</f>
        <v>Wall Trim 6 mm SS: Black Glossy</v>
      </c>
      <c r="I302" s="1" t="s">
        <v>339</v>
      </c>
      <c r="J302" s="1">
        <v>15000.0</v>
      </c>
    </row>
    <row r="303">
      <c r="H303" s="2" t="str">
        <f>VLOOKUP(B303,SAP!G$1:H$236,2,FALSE())</f>
        <v>Silicon sealant glue nail free</v>
      </c>
    </row>
    <row r="304">
      <c r="H304" s="2" t="str">
        <f>VLOOKUP(B304,SAP!G$1:H$236,2,FALSE())</f>
        <v>Silicon sealant glue nail free</v>
      </c>
    </row>
    <row r="305">
      <c r="H305" s="2" t="str">
        <f>VLOOKUP(B305,SAP!G$1:H$236,2,FALSE())</f>
        <v>Silicon sealant glue nail free</v>
      </c>
    </row>
    <row r="306">
      <c r="H306" s="2" t="str">
        <f>VLOOKUP(B306,SAP!G$1:H$236,2,FALSE())</f>
        <v>Silicon sealant glue nail free</v>
      </c>
    </row>
    <row r="307">
      <c r="H307" s="2" t="str">
        <f>VLOOKUP(B307,SAP!G$1:H$236,2,FALSE())</f>
        <v>Brown Wooden Louver PN 02313 CPC Panel </v>
      </c>
      <c r="I307" s="1" t="s">
        <v>334</v>
      </c>
      <c r="J307" s="1" t="s">
        <v>48</v>
      </c>
    </row>
    <row r="308">
      <c r="H308" s="2" t="str">
        <f>VLOOKUP(B308,SAP!G$1:H$236,2,FALSE())</f>
        <v>Charcoal PS-Medium-Wood Grain-PN 05514</v>
      </c>
    </row>
    <row r="309">
      <c r="H309" s="2" t="str">
        <f>VLOOKUP(B309,SAP!G$1:H$236,2,FALSE())</f>
        <v>Wall storage 450mm shelf light woodgrain</v>
      </c>
    </row>
    <row r="310">
      <c r="H310" s="2" t="str">
        <f>VLOOKUP(B310,SAP!G$1:H$236,2,FALSE())</f>
        <v>Rangular box wo backpanel lightwoodgrain</v>
      </c>
    </row>
    <row r="311">
      <c r="H311" s="2" t="str">
        <f>VLOOKUP(B311,SAP!G$1:H$236,2,FALSE())</f>
        <v>Square box wo backpanel light wood grain</v>
      </c>
      <c r="I311" s="1" t="s">
        <v>334</v>
      </c>
      <c r="J311" s="1">
        <v>22500.0</v>
      </c>
    </row>
    <row r="312">
      <c r="H312" s="2" t="str">
        <f>VLOOKUP(B312,SAP!G$1:H$236,2,FALSE())</f>
        <v>Wall Trim 6 mm SS: Black Glossy</v>
      </c>
      <c r="I312" s="1" t="s">
        <v>339</v>
      </c>
      <c r="J312" s="1">
        <v>15000.0</v>
      </c>
    </row>
    <row r="313">
      <c r="H313" s="2" t="str">
        <f>VLOOKUP(B313,SAP!G$1:H$236,2,FALSE())</f>
        <v>Silicon sealant glue nail free</v>
      </c>
    </row>
    <row r="314">
      <c r="H314" s="2" t="str">
        <f>VLOOKUP(B314,SAP!G$1:H$236,2,FALSE())</f>
        <v>Silicon sealant glue nail free</v>
      </c>
    </row>
    <row r="315">
      <c r="H315" s="2" t="str">
        <f>VLOOKUP(B315,SAP!G$1:H$236,2,FALSE())</f>
        <v>Grey Stone Louver PN 02322 - CPC Panel</v>
      </c>
      <c r="I315" s="1" t="s">
        <v>334</v>
      </c>
      <c r="J315" s="1">
        <v>48000.0</v>
      </c>
    </row>
    <row r="316">
      <c r="H316" s="2" t="str">
        <f>VLOOKUP(B316,SAP!G$1:H$236,2,FALSE())</f>
        <v>Brown Wooden Louver PN 02313 CPC Panel </v>
      </c>
      <c r="I316" s="1" t="s">
        <v>6</v>
      </c>
      <c r="J316" s="1">
        <v>10500.0</v>
      </c>
    </row>
    <row r="317">
      <c r="H317" s="2" t="str">
        <f>VLOOKUP(B317,SAP!G$1:H$236,2,FALSE())</f>
        <v>Wall storage 600mm shelf light woodgrain</v>
      </c>
      <c r="I317" s="1" t="s">
        <v>335</v>
      </c>
      <c r="J317" s="1">
        <v>3000.0</v>
      </c>
    </row>
    <row r="318">
      <c r="H318" s="2" t="str">
        <f>VLOOKUP(B318,SAP!G$1:H$236,2,FALSE())</f>
        <v>Rangular box wo backpanel lightwoodgrain</v>
      </c>
      <c r="I318" s="1" t="s">
        <v>339</v>
      </c>
      <c r="J318" s="1">
        <v>15000.0</v>
      </c>
    </row>
    <row r="319">
      <c r="H319" s="2" t="str">
        <f>VLOOKUP(B319,SAP!G$1:H$236,2,FALSE())</f>
        <v>Wall Trim 6 mm SS: Black Glossy</v>
      </c>
    </row>
    <row r="320">
      <c r="H320" s="2" t="str">
        <f>VLOOKUP(B320,SAP!G$1:H$236,2,FALSE())</f>
        <v>Silicon sealant glue nail free</v>
      </c>
    </row>
    <row r="321">
      <c r="H321" s="2" t="str">
        <f>VLOOKUP(B321,SAP!G$1:H$236,2,FALSE())</f>
        <v>Silicon sealant glue nail free</v>
      </c>
    </row>
    <row r="322">
      <c r="H322" s="2" t="str">
        <f>VLOOKUP(B322,SAP!G$1:H$236,2,FALSE())</f>
        <v>Grey Stone Louver PN 02322 - CPC Panel</v>
      </c>
    </row>
    <row r="323">
      <c r="H323" s="2" t="str">
        <f>VLOOKUP(B323,SAP!G$1:H$236,2,FALSE())</f>
        <v>Charcoal PS-Medium-Wood Grain-PN 03914</v>
      </c>
    </row>
    <row r="324">
      <c r="H324" s="2" t="str">
        <f>VLOOKUP(B324,SAP!G$1:H$236,2,FALSE())</f>
        <v>Rangular box wo backpanel mid wood grain</v>
      </c>
    </row>
    <row r="325">
      <c r="H325" s="2" t="str">
        <f>VLOOKUP(B325,SAP!G$1:H$236,2,FALSE())</f>
        <v>Wall Trim 6 mm SS: Golden Glossy</v>
      </c>
    </row>
    <row r="326">
      <c r="H326" s="2" t="str">
        <f>VLOOKUP(B326,SAP!G$1:H$236,2,FALSE())</f>
        <v>Silicon sealant glue nail free</v>
      </c>
    </row>
    <row r="327">
      <c r="H327" s="2" t="str">
        <f>VLOOKUP(B327,SAP!G$1:H$236,2,FALSE())</f>
        <v>Silicon sealant glue nail free</v>
      </c>
    </row>
    <row r="328">
      <c r="H328" s="2" t="str">
        <f>VLOOKUP(B328,SAP!G$1:H$236,2,FALSE())</f>
        <v>Silicon sealant glue nail free</v>
      </c>
    </row>
    <row r="329">
      <c r="H329" s="2" t="str">
        <f>VLOOKUP(B329,SAP!G$1:H$236,2,FALSE())</f>
        <v>Beige Fabric Louver PN 02327 CPC Panel </v>
      </c>
    </row>
    <row r="330">
      <c r="H330" s="2" t="str">
        <f>VLOOKUP(B330,SAP!G$1:H$236,2,FALSE())</f>
        <v>Charcoal PS-Grey-Matte-PN 03210</v>
      </c>
    </row>
    <row r="331">
      <c r="H331" s="2" t="str">
        <f>VLOOKUP(B331,SAP!G$1:H$236,2,FALSE())</f>
        <v>Rangular box backpanel dark woodgrain</v>
      </c>
    </row>
    <row r="332">
      <c r="H332" s="2" t="str">
        <f>VLOOKUP(B332,SAP!G$1:H$236,2,FALSE())</f>
        <v>Square box backpanel dark wood grain</v>
      </c>
    </row>
    <row r="333">
      <c r="H333" s="2" t="str">
        <f>VLOOKUP(B333,SAP!G$1:H$236,2,FALSE())</f>
        <v>Wall Trim 6 mm SS: Black Glossy</v>
      </c>
    </row>
    <row r="334">
      <c r="H334" s="2" t="str">
        <f>VLOOKUP(B334,SAP!G$1:H$236,2,FALSE())</f>
        <v>Silicon sealant glue nail free</v>
      </c>
    </row>
    <row r="335">
      <c r="H335" s="2" t="str">
        <f>VLOOKUP(B335,SAP!G$1:H$236,2,FALSE())</f>
        <v>Silicon sealant glue nail free</v>
      </c>
    </row>
    <row r="336">
      <c r="H336" s="2" t="str">
        <f>VLOOKUP(B336,SAP!G$1:H$236,2,FALSE())</f>
        <v>Silicon sealant glue nail free</v>
      </c>
    </row>
    <row r="337">
      <c r="H337" s="2" t="str">
        <f>VLOOKUP(B337,SAP!G$1:H$236,2,FALSE())</f>
        <v>Charcoal PS-Ivory-Matte-PN 02750</v>
      </c>
    </row>
    <row r="338">
      <c r="H338" s="2" t="str">
        <f>VLOOKUP(B338,SAP!G$1:H$236,2,FALSE())</f>
        <v>Charcoal PS-Medium-Wood Grain-PN 03214</v>
      </c>
    </row>
    <row r="339">
      <c r="H339" s="2" t="str">
        <f>VLOOKUP(B339,SAP!G$1:H$236,2,FALSE())</f>
        <v>Rangular box backpanel solid dark</v>
      </c>
    </row>
    <row r="340">
      <c r="H340" s="2" t="str">
        <f>VLOOKUP(B340,SAP!G$1:H$236,2,FALSE())</f>
        <v>Silicon sealant glue nail free</v>
      </c>
    </row>
    <row r="341">
      <c r="H341" s="2" t="str">
        <f>VLOOKUP(B341,SAP!G$1:H$236,2,FALSE())</f>
        <v>Beige Pattern Louver PN 02327 B CPCPanel</v>
      </c>
    </row>
    <row r="342">
      <c r="H342" s="2" t="str">
        <f>VLOOKUP(B342,SAP!G$1:H$236,2,FALSE())</f>
        <v>Beige Fabric Louver PN 02327 CPC Panel </v>
      </c>
    </row>
    <row r="343">
      <c r="H343" s="2" t="str">
        <f>VLOOKUP(B343,SAP!G$1:H$236,2,FALSE())</f>
        <v>Charcoal PS-Medium-Wood Grain-PN 05514</v>
      </c>
    </row>
    <row r="344">
      <c r="H344" s="2" t="str">
        <f>VLOOKUP(B344,SAP!G$1:H$236,2,FALSE())</f>
        <v>Wall storage 600 mm shelf mid wood grain</v>
      </c>
    </row>
    <row r="345">
      <c r="H345" s="2" t="str">
        <f>VLOOKUP(B345,SAP!G$1:H$236,2,FALSE())</f>
        <v>Rangular box wo backpanel mid wood grain</v>
      </c>
    </row>
    <row r="346">
      <c r="H346" s="2" t="str">
        <f>VLOOKUP(B346,SAP!G$1:H$236,2,FALSE())</f>
        <v>Square box wo backpanel mid wood grain</v>
      </c>
    </row>
    <row r="347">
      <c r="H347" s="2" t="str">
        <f>VLOOKUP(B347,SAP!G$1:H$236,2,FALSE())</f>
        <v>Wall Trim 6 mm SS: Black Glossy</v>
      </c>
    </row>
    <row r="348">
      <c r="H348" s="2" t="str">
        <f>VLOOKUP(B348,SAP!G$1:H$236,2,FALSE())</f>
        <v>Silicon sealant glue nail free</v>
      </c>
    </row>
    <row r="349">
      <c r="H349" s="2" t="str">
        <f>VLOOKUP(B349,SAP!G$1:H$236,2,FALSE())</f>
        <v>Silicon sealant glue nail free</v>
      </c>
    </row>
    <row r="350">
      <c r="H350" s="2" t="str">
        <f>VLOOKUP(B350,SAP!G$1:H$236,2,FALSE())</f>
        <v>Brown Wooden Louver PN 02307 CPC Panel </v>
      </c>
    </row>
    <row r="351">
      <c r="H351" s="2" t="str">
        <f>VLOOKUP(B351,SAP!G$1:H$236,2,FALSE())</f>
        <v>Charcoal PS-Light-Wood Grain-PN 06277</v>
      </c>
    </row>
    <row r="352">
      <c r="H352" s="2" t="str">
        <f>VLOOKUP(B352,SAP!G$1:H$236,2,FALSE())</f>
        <v>Wall storage 450 mm shelf mid wood grain</v>
      </c>
    </row>
    <row r="353">
      <c r="H353" s="2" t="str">
        <f>VLOOKUP(B353,SAP!G$1:H$236,2,FALSE())</f>
        <v>Wall Trim 6 mm SS: Golden Glossy</v>
      </c>
    </row>
    <row r="354">
      <c r="H354" s="2" t="str">
        <f>VLOOKUP(B354,SAP!G$1:H$236,2,FALSE())</f>
        <v>Wall Bidding PVC 02</v>
      </c>
    </row>
    <row r="355">
      <c r="H355" s="2" t="str">
        <f>VLOOKUP(B355,SAP!G$1:H$236,2,FALSE())</f>
        <v>Silicon sealant glue nail free</v>
      </c>
    </row>
    <row r="356">
      <c r="H356" s="2" t="str">
        <f>VLOOKUP(B356,SAP!G$1:H$236,2,FALSE())</f>
        <v>Wall storage 300mm shelf mid wood grain</v>
      </c>
    </row>
    <row r="357">
      <c r="H357" s="2" t="str">
        <f>VLOOKUP(B357,SAP!G$1:H$236,2,FALSE())</f>
        <v>PVC board 11 mm (8 X 4)</v>
      </c>
    </row>
    <row r="358">
      <c r="H358" s="2" t="str">
        <f>VLOOKUP(B358,SAP!G$1:H$236,2,FALSE())</f>
        <v>Wall Bidding WPC 02</v>
      </c>
    </row>
    <row r="359">
      <c r="H359" s="2" t="str">
        <f>VLOOKUP(B359,SAP!G$1:H$236,2,FALSE())</f>
        <v>Aluminium channels reactangular 1 mm</v>
      </c>
    </row>
    <row r="360">
      <c r="H360" s="2" t="str">
        <f>VLOOKUP(B360,SAP!G$1:H$236,2,FALSE())</f>
        <v>Silicon sealant glue nail free</v>
      </c>
    </row>
    <row r="361">
      <c r="H361" s="2" t="str">
        <f>VLOOKUP(B361,SAP!G$1:H$236,2,FALSE())</f>
        <v>240 LED strip light 5m</v>
      </c>
    </row>
    <row r="362">
      <c r="H362" s="2" t="str">
        <f>VLOOKUP(B362,SAP!G$1:H$236,2,FALSE())</f>
        <v>16X16 Alumnium Angular Profile 3m</v>
      </c>
    </row>
    <row r="363">
      <c r="H363" s="2" t="str">
        <f>VLOOKUP(B363,SAP!G$1:H$236,2,FALSE())</f>
        <v>10 AMP 24V LED Power Adapter</v>
      </c>
    </row>
    <row r="364">
      <c r="H364" s="2" t="str">
        <f>VLOOKUP(B364,SAP!G$1:H$236,2,FALSE())</f>
        <v>Brown Wooden Louver PN 02307 CPC Panel </v>
      </c>
    </row>
    <row r="365">
      <c r="H365" s="2" t="str">
        <f>VLOOKUP(B365,SAP!G$1:H$236,2,FALSE())</f>
        <v>Charcoal PS-Cream-Matte-PN 06167</v>
      </c>
    </row>
    <row r="366">
      <c r="H366" s="2" t="str">
        <f>VLOOKUP(B366,SAP!G$1:H$236,2,FALSE())</f>
        <v>Wall storage 300mm shelf dark wood grain</v>
      </c>
    </row>
    <row r="367">
      <c r="H367" s="2" t="str">
        <f>VLOOKUP(B367,SAP!G$1:H$236,2,FALSE())</f>
        <v>PVC board 11 mm (8 X 4)</v>
      </c>
    </row>
    <row r="368">
      <c r="H368" s="2" t="str">
        <f>VLOOKUP(B368,SAP!G$1:H$236,2,FALSE())</f>
        <v>Aluminium channels reactangular 1 mm</v>
      </c>
    </row>
    <row r="369">
      <c r="H369" s="2" t="str">
        <f>VLOOKUP(B369,SAP!G$1:H$236,2,FALSE())</f>
        <v>Silicon sealant glue nail free</v>
      </c>
    </row>
    <row r="370">
      <c r="H370" s="2" t="str">
        <f>VLOOKUP(B370,SAP!G$1:H$236,2,FALSE())</f>
        <v>240 LED strip light 5m</v>
      </c>
    </row>
    <row r="371">
      <c r="H371" s="2" t="str">
        <f>VLOOKUP(B371,SAP!G$1:H$236,2,FALSE())</f>
        <v>16X16 Alumnium Angular Profile 3m</v>
      </c>
    </row>
    <row r="372">
      <c r="H372" s="2" t="str">
        <f>VLOOKUP(B372,SAP!G$1:H$236,2,FALSE())</f>
        <v>10 AMP 24V LED Power Adapter</v>
      </c>
    </row>
    <row r="373">
      <c r="H373" s="2" t="str">
        <f>VLOOKUP(B373,SAP!G$1:H$236,2,FALSE())</f>
        <v>Grey Stone Louver PN 02324 - CPC Panel </v>
      </c>
    </row>
    <row r="374">
      <c r="H374" s="2" t="str">
        <f>VLOOKUP(B374,SAP!G$1:H$236,2,FALSE())</f>
        <v>Charcoal PS-Dark-Wood Grain-PN 05484</v>
      </c>
    </row>
    <row r="375">
      <c r="H375" s="2" t="str">
        <f>VLOOKUP(B375,SAP!G$1:H$236,2,FALSE())</f>
        <v>Wall storage 300mm shelf mid wood grain</v>
      </c>
    </row>
    <row r="376">
      <c r="H376" s="2" t="str">
        <f>VLOOKUP(B376,SAP!G$1:H$236,2,FALSE())</f>
        <v>Rangular box backpanel mid woodgrain</v>
      </c>
    </row>
    <row r="377">
      <c r="H377" s="2" t="str">
        <f>VLOOKUP(B377,SAP!G$1:H$236,2,FALSE())</f>
        <v>Wall Bidding PVC 02</v>
      </c>
    </row>
    <row r="378">
      <c r="H378" s="2" t="str">
        <f>VLOOKUP(B378,SAP!G$1:H$236,2,FALSE())</f>
        <v>Silicon sealant glue nail free</v>
      </c>
    </row>
    <row r="379">
      <c r="H379" s="2" t="str">
        <f>VLOOKUP(B379,SAP!G$1:H$236,2,FALSE())</f>
        <v>Grey Marble Louver PN 02325 B-CPC Panel</v>
      </c>
    </row>
    <row r="380">
      <c r="H380" s="2" t="str">
        <f>VLOOKUP(B380,SAP!G$1:H$236,2,FALSE())</f>
        <v>Grey Marble Louver PN 02325 - CPC Panel </v>
      </c>
    </row>
    <row r="381">
      <c r="H381" s="2" t="str">
        <f>VLOOKUP(B381,SAP!G$1:H$236,2,FALSE())</f>
        <v>Wall storage 300mm shelf mid wood grain</v>
      </c>
    </row>
    <row r="382">
      <c r="H382" s="2" t="str">
        <f>VLOOKUP(B382,SAP!G$1:H$236,2,FALSE())</f>
        <v>Square box wo backpanel mid wood grain</v>
      </c>
    </row>
    <row r="383">
      <c r="H383" s="2" t="str">
        <f>VLOOKUP(B383,SAP!G$1:H$236,2,FALSE())</f>
        <v>Wall Bidding WPC 05</v>
      </c>
    </row>
    <row r="384">
      <c r="H384" s="2" t="str">
        <f>VLOOKUP(B384,SAP!G$1:H$236,2,FALSE())</f>
        <v>Silicon sealant glue nail free</v>
      </c>
    </row>
    <row r="385">
      <c r="H385" s="2" t="str">
        <f>VLOOKUP(B385,SAP!G$1:H$236,2,FALSE())</f>
        <v>Brown Wooden Louver PN 02312 CPC Panel </v>
      </c>
    </row>
    <row r="386">
      <c r="H386" s="2" t="str">
        <f>VLOOKUP(B386,SAP!G$1:H$236,2,FALSE())</f>
        <v>Charcoal PS-Walnut-Wood Grain-PN 03026</v>
      </c>
    </row>
    <row r="387">
      <c r="H387" s="2" t="str">
        <f>VLOOKUP(B387,SAP!G$1:H$236,2,FALSE())</f>
        <v>Wall Trim 6 mm SS: Golden Glossy</v>
      </c>
    </row>
    <row r="388">
      <c r="H388" s="2" t="str">
        <f>VLOOKUP(B388,SAP!G$1:H$236,2,FALSE())</f>
        <v>PVC board 11 mm (8 X 4)</v>
      </c>
    </row>
    <row r="389">
      <c r="H389" s="2" t="str">
        <f>VLOOKUP(B389,SAP!G$1:H$236,2,FALSE())</f>
        <v>Wall Bidding PVC 06</v>
      </c>
    </row>
    <row r="390">
      <c r="H390" s="2" t="str">
        <f>VLOOKUP(B390,SAP!G$1:H$236,2,FALSE())</f>
        <v>Aluminium channels reactangular 1 mm</v>
      </c>
    </row>
    <row r="391">
      <c r="H391" s="2" t="str">
        <f>VLOOKUP(B391,SAP!G$1:H$236,2,FALSE())</f>
        <v>Silicon sealant glue nail free</v>
      </c>
    </row>
    <row r="392">
      <c r="H392" s="2" t="str">
        <f>VLOOKUP(B392,SAP!G$1:H$236,2,FALSE())</f>
        <v>Wall Bidding WPC 01</v>
      </c>
    </row>
    <row r="393">
      <c r="H393" s="2" t="str">
        <f>VLOOKUP(B393,SAP!G$1:H$236,2,FALSE())</f>
        <v>Silicon sealant glue nail free</v>
      </c>
    </row>
    <row r="394">
      <c r="H394" s="2" t="str">
        <f>VLOOKUP(B394,SAP!G$1:H$236,2,FALSE())</f>
        <v>Brown Wooden Decor PN 02314 CPC Panel</v>
      </c>
    </row>
    <row r="395">
      <c r="H395" s="2" t="str">
        <f>VLOOKUP(B395,SAP!G$1:H$236,2,FALSE())</f>
        <v>Charcoal PS-Grey-Matte-PN 03856</v>
      </c>
    </row>
    <row r="396">
      <c r="H396" s="2" t="str">
        <f>VLOOKUP(B396,SAP!G$1:H$236,2,FALSE())</f>
        <v>PVC board 11 mm (8 X 4)</v>
      </c>
    </row>
    <row r="397">
      <c r="H397" s="2" t="str">
        <f>VLOOKUP(B397,SAP!G$1:H$236,2,FALSE())</f>
        <v>Wall Bidding WPC 10</v>
      </c>
    </row>
    <row r="398">
      <c r="H398" s="2" t="str">
        <f>VLOOKUP(B398,SAP!G$1:H$236,2,FALSE())</f>
        <v>Aluminium channels reactangular 1 mm</v>
      </c>
    </row>
    <row r="399">
      <c r="H399" s="2" t="str">
        <f>VLOOKUP(B399,SAP!G$1:H$236,2,FALSE())</f>
        <v>Silicon sealant glue nail free</v>
      </c>
    </row>
    <row r="400">
      <c r="H400" s="2" t="str">
        <f>VLOOKUP(B400,SAP!G$1:H$236,2,FALSE())</f>
        <v>240 LED strip light 5m</v>
      </c>
    </row>
    <row r="401">
      <c r="H401" s="2" t="str">
        <f>VLOOKUP(B401,SAP!G$1:H$236,2,FALSE())</f>
        <v>16X16 Alumnium Angular Profile 3m</v>
      </c>
    </row>
    <row r="402">
      <c r="H402" s="2" t="str">
        <f>VLOOKUP(B402,SAP!G$1:H$236,2,FALSE())</f>
        <v>10 AMP 24V LED Power Adapter</v>
      </c>
    </row>
    <row r="403">
      <c r="H403" s="2" t="str">
        <f>VLOOKUP(B403,SAP!G$1:H$236,2,FALSE())</f>
        <v>Brown Wooden Louver PN 02312 CPC Panel </v>
      </c>
    </row>
    <row r="404">
      <c r="H404" s="2" t="str">
        <f>VLOOKUP(B404,SAP!G$1:H$236,2,FALSE())</f>
        <v>Charcoal PS-Pine-Wood Grain-PN 04073</v>
      </c>
    </row>
    <row r="405">
      <c r="H405" s="2" t="str">
        <f>VLOOKUP(B405,SAP!G$1:H$236,2,FALSE())</f>
        <v>Wall storage 300mm shelf light woodgrain</v>
      </c>
    </row>
    <row r="406">
      <c r="H406" s="2" t="str">
        <f>VLOOKUP(B406,SAP!G$1:H$236,2,FALSE())</f>
        <v>Rangular box wo backpanel lightwoodgrain</v>
      </c>
    </row>
    <row r="407">
      <c r="H407" s="2" t="str">
        <f>VLOOKUP(B407,SAP!G$1:H$236,2,FALSE())</f>
        <v>Wall Trim 6 mm SS: Black Glossy</v>
      </c>
    </row>
    <row r="408">
      <c r="H408" s="2" t="str">
        <f>VLOOKUP(B408,SAP!G$1:H$236,2,FALSE())</f>
        <v>Wall Bidding WPC 07</v>
      </c>
    </row>
    <row r="409">
      <c r="H409" s="2" t="str">
        <f>VLOOKUP(B409,SAP!G$1:H$236,2,FALSE())</f>
        <v>Silicon sealant glue nail free</v>
      </c>
    </row>
    <row r="410">
      <c r="H410" s="2" t="str">
        <f>VLOOKUP(B410,SAP!G$1:H$236,2,FALSE())</f>
        <v>Grey Stone Louver PN 02324 - CPC Panel </v>
      </c>
    </row>
    <row r="411">
      <c r="H411" s="2" t="str">
        <f>VLOOKUP(B411,SAP!G$1:H$236,2,FALSE())</f>
        <v>Beige Fabric Louver PN 02327 CPC Panel </v>
      </c>
    </row>
    <row r="412">
      <c r="H412" s="2" t="str">
        <f>VLOOKUP(B412,SAP!G$1:H$236,2,FALSE())</f>
        <v>Wall Trim 6 mm SS: Golden Glossy</v>
      </c>
    </row>
    <row r="413">
      <c r="H413" s="2" t="str">
        <f>VLOOKUP(B413,SAP!G$1:H$236,2,FALSE())</f>
        <v>PVC board 11 mm (8 X 4)</v>
      </c>
    </row>
    <row r="414">
      <c r="H414" s="2" t="str">
        <f>VLOOKUP(B414,SAP!G$1:H$236,2,FALSE())</f>
        <v>Aluminium channels reactangular 1 mm</v>
      </c>
    </row>
    <row r="415">
      <c r="H415" s="2" t="str">
        <f>VLOOKUP(B415,SAP!G$1:H$236,2,FALSE())</f>
        <v>Silicon sealant glue nail free</v>
      </c>
    </row>
    <row r="416">
      <c r="H416" s="2" t="str">
        <f>VLOOKUP(B416,SAP!G$1:H$236,2,FALSE())</f>
        <v>240 LED strip light 5m</v>
      </c>
    </row>
    <row r="417">
      <c r="H417" s="2" t="str">
        <f>VLOOKUP(B417,SAP!G$1:H$236,2,FALSE())</f>
        <v>16X16 Alumnium Angular Profile 3m</v>
      </c>
    </row>
    <row r="418">
      <c r="H418" s="2" t="str">
        <f>VLOOKUP(B418,SAP!G$1:H$236,2,FALSE())</f>
        <v>10 AMP 24V LED Power Adapter</v>
      </c>
    </row>
    <row r="419">
      <c r="H419" s="2" t="str">
        <f>VLOOKUP(B419,SAP!G$1:H$236,2,FALSE())</f>
        <v>Beige Fabric Louver PN 02327 CPC Panel </v>
      </c>
    </row>
    <row r="420">
      <c r="H420" s="2" t="str">
        <f>VLOOKUP(B420,SAP!G$1:H$236,2,FALSE())</f>
        <v>Charcoal PS-Medium-Wood Grain-PN 05514</v>
      </c>
    </row>
    <row r="421">
      <c r="H421" s="2" t="str">
        <f>VLOOKUP(B421,SAP!G$1:H$236,2,FALSE())</f>
        <v>PVC board 11 mm (8 X 4)</v>
      </c>
    </row>
    <row r="422">
      <c r="H422" s="2" t="str">
        <f>VLOOKUP(B422,SAP!G$1:H$236,2,FALSE())</f>
        <v>Wall Bidding WPC 08</v>
      </c>
    </row>
    <row r="423">
      <c r="H423" s="2" t="str">
        <f>VLOOKUP(B423,SAP!G$1:H$236,2,FALSE())</f>
        <v>Wall Bidding WPC 10</v>
      </c>
    </row>
    <row r="424">
      <c r="H424" s="2" t="str">
        <f>VLOOKUP(B424,SAP!G$1:H$236,2,FALSE())</f>
        <v>Aluminium channels reactangular 1 mm</v>
      </c>
    </row>
    <row r="425">
      <c r="H425" s="2" t="str">
        <f>VLOOKUP(B425,SAP!G$1:H$236,2,FALSE())</f>
        <v>Silicon sealant glue nail free</v>
      </c>
    </row>
    <row r="426">
      <c r="H426" s="2" t="str">
        <f>VLOOKUP(B426,SAP!G$1:H$236,2,FALSE())</f>
        <v>240 LED strip light 5m</v>
      </c>
    </row>
    <row r="427">
      <c r="H427" s="2" t="str">
        <f>VLOOKUP(B427,SAP!G$1:H$236,2,FALSE())</f>
        <v>16X16 Alumnium Angular Profile 3m</v>
      </c>
    </row>
    <row r="428">
      <c r="H428" s="2" t="str">
        <f>VLOOKUP(B428,SAP!G$1:H$236,2,FALSE())</f>
        <v>10 AMP 24V LED Power Adapter</v>
      </c>
    </row>
    <row r="429">
      <c r="H429" s="2" t="str">
        <f>VLOOKUP(B429,SAP!G$1:H$236,2,FALSE())</f>
        <v>White Marble Louver PN 02304 CPC Panel </v>
      </c>
    </row>
    <row r="430">
      <c r="H430" s="2" t="str">
        <f>VLOOKUP(B430,SAP!G$1:H$236,2,FALSE())</f>
        <v>Brown Wooden PN 02305 CPC Panel </v>
      </c>
    </row>
    <row r="431">
      <c r="H431" s="2" t="str">
        <f>VLOOKUP(B431,SAP!G$1:H$236,2,FALSE())</f>
        <v>Silicon sealant glue nail free</v>
      </c>
    </row>
    <row r="432">
      <c r="H432" s="2" t="str">
        <f>VLOOKUP(B432,SAP!G$1:H$236,2,FALSE())</f>
        <v>PVC board 11 mm (8 X 4)</v>
      </c>
    </row>
    <row r="433">
      <c r="H433" s="2" t="str">
        <f>VLOOKUP(B433,SAP!G$1:H$236,2,FALSE())</f>
        <v>Aluminium channels reactangular 1 mm</v>
      </c>
    </row>
    <row r="434">
      <c r="H434" s="2" t="str">
        <f>VLOOKUP(B434,SAP!G$1:H$236,2,FALSE())</f>
        <v>Silicon sealant glue nail free</v>
      </c>
    </row>
    <row r="435">
      <c r="H435" s="2" t="str">
        <f>VLOOKUP(B435,SAP!G$1:H$236,2,FALSE())</f>
        <v>240 LED strip light 5m</v>
      </c>
    </row>
    <row r="436">
      <c r="H436" s="2" t="str">
        <f>VLOOKUP(B436,SAP!G$1:H$236,2,FALSE())</f>
        <v>16X16 Alumnium Angular Profile 3m</v>
      </c>
    </row>
    <row r="437">
      <c r="H437" s="2" t="str">
        <f>VLOOKUP(B437,SAP!G$1:H$236,2,FALSE())</f>
        <v>10 AMP 24V LED Power Adapter</v>
      </c>
    </row>
    <row r="438">
      <c r="H438" s="2" t="str">
        <f>VLOOKUP(B438,SAP!G$1:H$236,2,FALSE())</f>
        <v>Grey Marble Louver PN 02325 - CPC Panel </v>
      </c>
    </row>
    <row r="439">
      <c r="H439" s="2" t="str">
        <f>VLOOKUP(B439,SAP!G$1:H$236,2,FALSE())</f>
        <v>Silicon sealant glue nail free</v>
      </c>
    </row>
    <row r="440">
      <c r="H440" s="2" t="str">
        <f>VLOOKUP(B440,SAP!G$1:H$236,2,FALSE())</f>
        <v>Grey Stone Louver PN 02322 - CPC Panel</v>
      </c>
    </row>
    <row r="441">
      <c r="H441" s="2" t="str">
        <f>VLOOKUP(B441,SAP!G$1:H$236,2,FALSE())</f>
        <v>Brown Louver PN 02328 B - CPC Panel</v>
      </c>
    </row>
    <row r="442">
      <c r="H442" s="2" t="str">
        <f>VLOOKUP(B442,SAP!G$1:H$236,2,FALSE())</f>
        <v>Wall Trim 6 mm SS: Black Glossy</v>
      </c>
    </row>
    <row r="443">
      <c r="H443" s="2" t="str">
        <f>VLOOKUP(B443,SAP!G$1:H$236,2,FALSE())</f>
        <v>Wall Bidding WPC 05</v>
      </c>
    </row>
    <row r="444">
      <c r="H444" s="2" t="str">
        <f>VLOOKUP(B444,SAP!G$1:H$236,2,FALSE())</f>
        <v>Silicon sealant glue nail free</v>
      </c>
    </row>
    <row r="445">
      <c r="H445" s="2" t="str">
        <f>VLOOKUP(B445,SAP!G$1:H$236,2,FALSE())</f>
        <v>White Marble Louver PN 02304 CPC Panel </v>
      </c>
    </row>
    <row r="446">
      <c r="H446" s="2" t="str">
        <f>VLOOKUP(B446,SAP!G$1:H$236,2,FALSE())</f>
        <v>Brown Plain Louver PN 02312 B CPC Panel </v>
      </c>
    </row>
    <row r="447">
      <c r="H447" s="2" t="str">
        <f>VLOOKUP(B447,SAP!G$1:H$236,2,FALSE())</f>
        <v>Wall Trim 6 mm SS: Black Glossy</v>
      </c>
    </row>
    <row r="448">
      <c r="H448" s="2" t="str">
        <f>VLOOKUP(B448,SAP!G$1:H$236,2,FALSE())</f>
        <v>PVC board 11 mm (8 X 4)</v>
      </c>
    </row>
    <row r="449">
      <c r="H449" s="2" t="str">
        <f>VLOOKUP(B449,SAP!G$1:H$236,2,FALSE())</f>
        <v>Wall Bidding WPC 02</v>
      </c>
    </row>
    <row r="450">
      <c r="H450" s="2" t="str">
        <f>VLOOKUP(B450,SAP!G$1:H$236,2,FALSE())</f>
        <v>Aluminium channels reactangular 1 mm</v>
      </c>
    </row>
    <row r="451">
      <c r="H451" s="2" t="str">
        <f>VLOOKUP(B451,SAP!G$1:H$236,2,FALSE())</f>
        <v>Silicon sealant glue nail free</v>
      </c>
    </row>
    <row r="452">
      <c r="H452" s="2" t="str">
        <f>VLOOKUP(B452,SAP!G$1:H$236,2,FALSE())</f>
        <v>240 LED strip light 5m</v>
      </c>
    </row>
    <row r="453">
      <c r="H453" s="2" t="str">
        <f>VLOOKUP(B453,SAP!G$1:H$236,2,FALSE())</f>
        <v>16X16 Alumnium Angular Profile 3m</v>
      </c>
    </row>
    <row r="454">
      <c r="H454" s="2" t="str">
        <f>VLOOKUP(B454,SAP!G$1:H$236,2,FALSE())</f>
        <v>10 AMP 24V LED Power Adapter</v>
      </c>
    </row>
    <row r="455">
      <c r="H455" s="2" t="str">
        <f>VLOOKUP(B455,SAP!G$1:H$236,2,FALSE())</f>
        <v>Brown Wooden Louver PN 02307 CPC Panel </v>
      </c>
    </row>
    <row r="456">
      <c r="H456" s="2" t="str">
        <f>VLOOKUP(B456,SAP!G$1:H$236,2,FALSE())</f>
        <v>Beige Fabric Decor PN 02326 CPC Panel</v>
      </c>
    </row>
    <row r="457">
      <c r="H457" s="2" t="str">
        <f>VLOOKUP(B457,SAP!G$1:H$236,2,FALSE())</f>
        <v>Wall Trim 6 mm SS: Black Glossy</v>
      </c>
    </row>
    <row r="458">
      <c r="H458" s="2" t="str">
        <f>VLOOKUP(B458,SAP!G$1:H$236,2,FALSE())</f>
        <v>Silicon sealant glue nail free</v>
      </c>
    </row>
    <row r="459">
      <c r="H459" s="2" t="str">
        <f>VLOOKUP(B459,SAP!G$1:H$236,2,FALSE())</f>
        <v>Wall Bidding WPC 07</v>
      </c>
    </row>
    <row r="460">
      <c r="H460" s="2" t="str">
        <f>VLOOKUP(B460,SAP!G$1:H$236,2,FALSE())</f>
        <v>Silicon sealant glue nail free</v>
      </c>
    </row>
    <row r="461">
      <c r="H461" s="2" t="str">
        <f>VLOOKUP(B461,SAP!G$1:H$236,2,FALSE())</f>
        <v>Grey Stone Louver PN 02324 - CPC Panel </v>
      </c>
    </row>
    <row r="462">
      <c r="H462" s="2" t="str">
        <f>VLOOKUP(B462,SAP!G$1:H$236,2,FALSE())</f>
        <v>Wall Bidding PVC 02</v>
      </c>
    </row>
    <row r="463">
      <c r="H463" s="2" t="str">
        <f>VLOOKUP(B463,SAP!G$1:H$236,2,FALSE())</f>
        <v>Silicon sealant glue nail free</v>
      </c>
    </row>
    <row r="464">
      <c r="H464" s="2" t="str">
        <f>VLOOKUP(B464,SAP!G$1:H$236,2,FALSE())</f>
        <v>Brown Wooden Louver PN 02313 CPC Panel </v>
      </c>
    </row>
    <row r="465">
      <c r="H465" s="2" t="str">
        <f>VLOOKUP(B465,SAP!G$1:H$236,2,FALSE())</f>
        <v>Charcoal PS-Pine-Wood Grain-PN 03865</v>
      </c>
    </row>
    <row r="466">
      <c r="H466" s="2" t="str">
        <f>VLOOKUP(B466,SAP!G$1:H$236,2,FALSE())</f>
        <v>Wall Trim 6 mm SS: Black Glossy</v>
      </c>
    </row>
    <row r="467">
      <c r="H467" s="2" t="str">
        <f>VLOOKUP(B467,SAP!G$1:H$236,2,FALSE())</f>
        <v>Wall Trim 6 mm SS: Golden Glossy</v>
      </c>
    </row>
    <row r="468">
      <c r="H468" s="2" t="str">
        <f>VLOOKUP(B468,SAP!G$1:H$236,2,FALSE())</f>
        <v>Wall Bidding WPC 01</v>
      </c>
    </row>
    <row r="469">
      <c r="H469" s="2" t="str">
        <f>VLOOKUP(B469,SAP!G$1:H$236,2,FALSE())</f>
        <v>Silicon sealant glue nail free</v>
      </c>
    </row>
    <row r="470">
      <c r="H470" s="2" t="str">
        <f>VLOOKUP(B470,SAP!G$1:H$236,2,FALSE())</f>
        <v>Grey Marble Louver PN 02325 B-CPC Panel</v>
      </c>
    </row>
    <row r="471">
      <c r="H471" s="2" t="str">
        <f>VLOOKUP(B471,SAP!G$1:H$236,2,FALSE())</f>
        <v>Grey Marble Louver PN 02325 - CPC Panel </v>
      </c>
    </row>
    <row r="472">
      <c r="H472" s="2" t="str">
        <f>VLOOKUP(B472,SAP!G$1:H$236,2,FALSE())</f>
        <v>Brown Wooden Louver PN 02313 CPC Panel </v>
      </c>
    </row>
    <row r="473">
      <c r="H473" s="2" t="str">
        <f>VLOOKUP(B473,SAP!G$1:H$236,2,FALSE())</f>
        <v>Wall Trim 6 mm SS: Golden Glossy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38"/>
    <col customWidth="1" min="8" max="8" width="36.25"/>
  </cols>
  <sheetData>
    <row r="1">
      <c r="A1" s="35" t="s">
        <v>342</v>
      </c>
      <c r="B1" s="35" t="s">
        <v>343</v>
      </c>
      <c r="C1" s="35" t="s">
        <v>344</v>
      </c>
      <c r="D1" s="35" t="s">
        <v>345</v>
      </c>
      <c r="E1" s="35" t="s">
        <v>346</v>
      </c>
      <c r="F1" s="35" t="s">
        <v>347</v>
      </c>
      <c r="G1" s="36" t="s">
        <v>348</v>
      </c>
      <c r="H1" s="35" t="s">
        <v>349</v>
      </c>
      <c r="I1" s="35" t="s">
        <v>347</v>
      </c>
      <c r="J1" s="35" t="s">
        <v>350</v>
      </c>
      <c r="K1" s="35" t="s">
        <v>351</v>
      </c>
      <c r="L1" s="35" t="s">
        <v>352</v>
      </c>
      <c r="M1" s="35" t="s">
        <v>353</v>
      </c>
      <c r="N1" s="35" t="s">
        <v>354</v>
      </c>
      <c r="O1" s="35" t="s">
        <v>355</v>
      </c>
      <c r="P1" s="35" t="s">
        <v>356</v>
      </c>
      <c r="Q1" s="35" t="s">
        <v>357</v>
      </c>
      <c r="R1" s="35" t="s">
        <v>358</v>
      </c>
      <c r="S1" s="35" t="s">
        <v>359</v>
      </c>
      <c r="T1" s="37" t="s">
        <v>360</v>
      </c>
      <c r="U1" s="35" t="s">
        <v>361</v>
      </c>
      <c r="V1" s="1" t="s">
        <v>362</v>
      </c>
    </row>
    <row r="2">
      <c r="A2" s="30" t="s">
        <v>363</v>
      </c>
      <c r="B2" s="30" t="s">
        <v>364</v>
      </c>
      <c r="C2" s="30" t="s">
        <v>365</v>
      </c>
      <c r="D2" s="30"/>
      <c r="E2" s="30"/>
      <c r="F2" s="30"/>
      <c r="G2" s="23" t="s">
        <v>366</v>
      </c>
      <c r="H2" s="30" t="s">
        <v>367</v>
      </c>
      <c r="I2" s="38">
        <f t="shared" ref="I2:I236" si="1">len(H2)</f>
        <v>40</v>
      </c>
      <c r="J2" s="39" t="s">
        <v>368</v>
      </c>
      <c r="K2" s="30" t="s">
        <v>369</v>
      </c>
      <c r="L2" s="39" t="str">
        <f t="shared" ref="L2:L111" si="2">K2</f>
        <v>3048 x 254 x 6</v>
      </c>
      <c r="M2" s="38">
        <v>2.5</v>
      </c>
      <c r="N2" s="38">
        <v>2.5</v>
      </c>
      <c r="O2" s="38">
        <v>3.925909E7</v>
      </c>
      <c r="P2" s="38">
        <v>1.0</v>
      </c>
      <c r="Q2" s="39" t="s">
        <v>370</v>
      </c>
      <c r="R2" s="40">
        <v>1043.322033898305</v>
      </c>
      <c r="S2" s="41">
        <f>2500</f>
        <v>2500</v>
      </c>
      <c r="T2" s="42"/>
      <c r="U2" s="30"/>
      <c r="V2" s="30" t="s">
        <v>371</v>
      </c>
    </row>
    <row r="3">
      <c r="A3" s="30" t="s">
        <v>363</v>
      </c>
      <c r="B3" s="30" t="s">
        <v>364</v>
      </c>
      <c r="C3" s="30" t="s">
        <v>365</v>
      </c>
      <c r="D3" s="30"/>
      <c r="E3" s="30"/>
      <c r="F3" s="30"/>
      <c r="G3" s="23" t="s">
        <v>372</v>
      </c>
      <c r="H3" s="30" t="s">
        <v>373</v>
      </c>
      <c r="I3" s="38">
        <f t="shared" si="1"/>
        <v>40</v>
      </c>
      <c r="J3" s="39" t="s">
        <v>368</v>
      </c>
      <c r="K3" s="30" t="s">
        <v>369</v>
      </c>
      <c r="L3" s="39" t="str">
        <f t="shared" si="2"/>
        <v>3048 x 254 x 6</v>
      </c>
      <c r="M3" s="38">
        <v>2.5</v>
      </c>
      <c r="N3" s="38">
        <v>2.5</v>
      </c>
      <c r="O3" s="38">
        <v>3.925909E7</v>
      </c>
      <c r="P3" s="38">
        <v>1.0</v>
      </c>
      <c r="Q3" s="39" t="s">
        <v>370</v>
      </c>
      <c r="R3" s="40">
        <v>335.60169491525426</v>
      </c>
      <c r="S3" s="19">
        <f>700</f>
        <v>700</v>
      </c>
      <c r="T3" s="42"/>
      <c r="U3" s="30"/>
      <c r="V3" s="30" t="s">
        <v>374</v>
      </c>
    </row>
    <row r="4">
      <c r="A4" s="30" t="s">
        <v>363</v>
      </c>
      <c r="B4" s="30" t="s">
        <v>364</v>
      </c>
      <c r="C4" s="30" t="s">
        <v>365</v>
      </c>
      <c r="D4" s="30"/>
      <c r="E4" s="30"/>
      <c r="F4" s="30"/>
      <c r="G4" s="23" t="s">
        <v>375</v>
      </c>
      <c r="H4" s="30" t="s">
        <v>376</v>
      </c>
      <c r="I4" s="38">
        <f t="shared" si="1"/>
        <v>36</v>
      </c>
      <c r="J4" s="39" t="s">
        <v>368</v>
      </c>
      <c r="K4" s="30" t="s">
        <v>377</v>
      </c>
      <c r="L4" s="39" t="str">
        <f t="shared" si="2"/>
        <v>2895.6 x 127 x 12</v>
      </c>
      <c r="M4" s="38">
        <v>4.0</v>
      </c>
      <c r="N4" s="38">
        <v>4.0</v>
      </c>
      <c r="O4" s="38">
        <v>3.925909E7</v>
      </c>
      <c r="P4" s="38">
        <v>1.0</v>
      </c>
      <c r="Q4" s="39" t="s">
        <v>370</v>
      </c>
      <c r="R4" s="40">
        <v>648.8050847457628</v>
      </c>
      <c r="S4" s="19">
        <f t="shared" ref="S4:S6" si="3">1500</f>
        <v>1500</v>
      </c>
      <c r="T4" s="42"/>
      <c r="U4" s="30"/>
      <c r="V4" s="30" t="s">
        <v>378</v>
      </c>
    </row>
    <row r="5">
      <c r="A5" s="30" t="s">
        <v>363</v>
      </c>
      <c r="B5" s="30" t="s">
        <v>364</v>
      </c>
      <c r="C5" s="30" t="s">
        <v>365</v>
      </c>
      <c r="D5" s="30"/>
      <c r="E5" s="30"/>
      <c r="F5" s="30"/>
      <c r="G5" s="23" t="s">
        <v>379</v>
      </c>
      <c r="H5" s="30" t="s">
        <v>380</v>
      </c>
      <c r="I5" s="38">
        <f t="shared" si="1"/>
        <v>32</v>
      </c>
      <c r="J5" s="39" t="s">
        <v>368</v>
      </c>
      <c r="K5" s="30" t="s">
        <v>377</v>
      </c>
      <c r="L5" s="39" t="str">
        <f t="shared" si="2"/>
        <v>2895.6 x 127 x 12</v>
      </c>
      <c r="M5" s="38">
        <v>4.0</v>
      </c>
      <c r="N5" s="38">
        <v>4.0</v>
      </c>
      <c r="O5" s="38">
        <v>3.925909E7</v>
      </c>
      <c r="P5" s="38">
        <v>1.0</v>
      </c>
      <c r="Q5" s="39" t="s">
        <v>370</v>
      </c>
      <c r="R5" s="40">
        <v>648.8050847457628</v>
      </c>
      <c r="S5" s="19">
        <f t="shared" si="3"/>
        <v>1500</v>
      </c>
      <c r="T5" s="42"/>
      <c r="U5" s="30"/>
      <c r="V5" s="30" t="s">
        <v>381</v>
      </c>
    </row>
    <row r="6">
      <c r="A6" s="30" t="s">
        <v>363</v>
      </c>
      <c r="B6" s="30" t="s">
        <v>364</v>
      </c>
      <c r="C6" s="30" t="s">
        <v>365</v>
      </c>
      <c r="D6" s="30"/>
      <c r="E6" s="30"/>
      <c r="F6" s="30"/>
      <c r="G6" s="23" t="s">
        <v>382</v>
      </c>
      <c r="H6" s="30" t="s">
        <v>383</v>
      </c>
      <c r="I6" s="38">
        <f t="shared" si="1"/>
        <v>24</v>
      </c>
      <c r="J6" s="39" t="s">
        <v>368</v>
      </c>
      <c r="K6" s="30" t="s">
        <v>377</v>
      </c>
      <c r="L6" s="39" t="str">
        <f t="shared" si="2"/>
        <v>2895.6 x 127 x 12</v>
      </c>
      <c r="M6" s="38">
        <v>4.0</v>
      </c>
      <c r="N6" s="38">
        <v>4.0</v>
      </c>
      <c r="O6" s="38">
        <v>3.925909E7</v>
      </c>
      <c r="P6" s="38">
        <v>1.0</v>
      </c>
      <c r="Q6" s="39" t="s">
        <v>370</v>
      </c>
      <c r="R6" s="40">
        <v>648.8050847457628</v>
      </c>
      <c r="S6" s="19">
        <f t="shared" si="3"/>
        <v>1500</v>
      </c>
      <c r="T6" s="42"/>
      <c r="U6" s="30"/>
      <c r="V6" s="30" t="s">
        <v>384</v>
      </c>
    </row>
    <row r="7">
      <c r="A7" s="30" t="s">
        <v>363</v>
      </c>
      <c r="B7" s="30" t="s">
        <v>364</v>
      </c>
      <c r="C7" s="30" t="s">
        <v>365</v>
      </c>
      <c r="D7" s="30"/>
      <c r="E7" s="30"/>
      <c r="F7" s="30"/>
      <c r="G7" s="23" t="s">
        <v>253</v>
      </c>
      <c r="H7" s="30" t="s">
        <v>385</v>
      </c>
      <c r="I7" s="38">
        <f t="shared" si="1"/>
        <v>32</v>
      </c>
      <c r="J7" s="39" t="s">
        <v>368</v>
      </c>
      <c r="K7" s="30" t="s">
        <v>386</v>
      </c>
      <c r="L7" s="39" t="str">
        <f t="shared" si="2"/>
        <v>2895.6 x 152.4 x 10</v>
      </c>
      <c r="M7" s="38">
        <v>1.5</v>
      </c>
      <c r="N7" s="38">
        <v>1.5</v>
      </c>
      <c r="O7" s="38">
        <v>3.9269099E7</v>
      </c>
      <c r="P7" s="38">
        <v>1.0</v>
      </c>
      <c r="Q7" s="39" t="s">
        <v>370</v>
      </c>
      <c r="R7" s="40">
        <v>648.8050847457628</v>
      </c>
      <c r="S7" s="19">
        <v>1500.0</v>
      </c>
      <c r="T7" s="42"/>
      <c r="U7" s="30"/>
      <c r="V7" s="30" t="s">
        <v>387</v>
      </c>
    </row>
    <row r="8">
      <c r="A8" s="30" t="s">
        <v>363</v>
      </c>
      <c r="B8" s="30" t="s">
        <v>364</v>
      </c>
      <c r="C8" s="30" t="s">
        <v>365</v>
      </c>
      <c r="D8" s="30"/>
      <c r="E8" s="30"/>
      <c r="F8" s="30"/>
      <c r="G8" s="23" t="s">
        <v>271</v>
      </c>
      <c r="H8" s="30" t="s">
        <v>388</v>
      </c>
      <c r="I8" s="38">
        <f t="shared" si="1"/>
        <v>31</v>
      </c>
      <c r="J8" s="39" t="s">
        <v>368</v>
      </c>
      <c r="K8" s="30" t="s">
        <v>386</v>
      </c>
      <c r="L8" s="39" t="str">
        <f t="shared" si="2"/>
        <v>2895.6 x 152.4 x 10</v>
      </c>
      <c r="M8" s="38">
        <v>1.5</v>
      </c>
      <c r="N8" s="38">
        <v>1.5</v>
      </c>
      <c r="O8" s="38">
        <v>3.9269099E7</v>
      </c>
      <c r="P8" s="38">
        <v>1.0</v>
      </c>
      <c r="Q8" s="39" t="s">
        <v>370</v>
      </c>
      <c r="R8" s="40">
        <v>745.0169491525425</v>
      </c>
      <c r="S8" s="19">
        <f>1500</f>
        <v>1500</v>
      </c>
      <c r="T8" s="42"/>
      <c r="U8" s="30"/>
      <c r="V8" s="30" t="s">
        <v>389</v>
      </c>
    </row>
    <row r="9">
      <c r="A9" s="30" t="s">
        <v>363</v>
      </c>
      <c r="B9" s="30" t="s">
        <v>364</v>
      </c>
      <c r="C9" s="30" t="s">
        <v>365</v>
      </c>
      <c r="D9" s="30"/>
      <c r="E9" s="30"/>
      <c r="F9" s="30"/>
      <c r="G9" s="23" t="s">
        <v>390</v>
      </c>
      <c r="H9" s="30" t="s">
        <v>391</v>
      </c>
      <c r="I9" s="38">
        <f t="shared" si="1"/>
        <v>38</v>
      </c>
      <c r="J9" s="39" t="s">
        <v>368</v>
      </c>
      <c r="K9" s="30" t="s">
        <v>386</v>
      </c>
      <c r="L9" s="39" t="str">
        <f t="shared" si="2"/>
        <v>2895.6 x 152.4 x 10</v>
      </c>
      <c r="M9" s="38">
        <v>1.5</v>
      </c>
      <c r="N9" s="38">
        <v>1.5</v>
      </c>
      <c r="O9" s="38">
        <v>3.9269099E7</v>
      </c>
      <c r="P9" s="38">
        <v>1.0</v>
      </c>
      <c r="Q9" s="39" t="s">
        <v>370</v>
      </c>
      <c r="R9" s="40">
        <v>819.5932203389831</v>
      </c>
      <c r="S9" s="19">
        <f t="shared" ref="S9:S10" si="4">2000</f>
        <v>2000</v>
      </c>
      <c r="T9" s="42"/>
      <c r="U9" s="30"/>
      <c r="V9" s="30" t="s">
        <v>392</v>
      </c>
    </row>
    <row r="10">
      <c r="A10" s="30" t="s">
        <v>363</v>
      </c>
      <c r="B10" s="30" t="s">
        <v>364</v>
      </c>
      <c r="C10" s="30" t="s">
        <v>365</v>
      </c>
      <c r="D10" s="30"/>
      <c r="E10" s="30"/>
      <c r="F10" s="30"/>
      <c r="G10" s="23" t="s">
        <v>280</v>
      </c>
      <c r="H10" s="30" t="s">
        <v>393</v>
      </c>
      <c r="I10" s="38">
        <f t="shared" si="1"/>
        <v>36</v>
      </c>
      <c r="J10" s="39" t="s">
        <v>368</v>
      </c>
      <c r="K10" s="30" t="s">
        <v>386</v>
      </c>
      <c r="L10" s="39" t="str">
        <f t="shared" si="2"/>
        <v>2895.6 x 152.4 x 10</v>
      </c>
      <c r="M10" s="38">
        <v>1.5</v>
      </c>
      <c r="N10" s="38">
        <v>1.5</v>
      </c>
      <c r="O10" s="38">
        <v>3.9269099E7</v>
      </c>
      <c r="P10" s="38">
        <v>1.0</v>
      </c>
      <c r="Q10" s="39" t="s">
        <v>370</v>
      </c>
      <c r="R10" s="40">
        <v>819.5932203389831</v>
      </c>
      <c r="S10" s="19">
        <f t="shared" si="4"/>
        <v>2000</v>
      </c>
      <c r="T10" s="42"/>
      <c r="U10" s="30"/>
      <c r="V10" s="30" t="s">
        <v>394</v>
      </c>
    </row>
    <row r="11">
      <c r="A11" s="30" t="s">
        <v>363</v>
      </c>
      <c r="B11" s="30" t="s">
        <v>364</v>
      </c>
      <c r="C11" s="30" t="s">
        <v>365</v>
      </c>
      <c r="D11" s="30"/>
      <c r="E11" s="30"/>
      <c r="F11" s="30"/>
      <c r="G11" s="23" t="s">
        <v>395</v>
      </c>
      <c r="H11" s="30" t="s">
        <v>396</v>
      </c>
      <c r="I11" s="38">
        <f t="shared" si="1"/>
        <v>36</v>
      </c>
      <c r="J11" s="39" t="s">
        <v>368</v>
      </c>
      <c r="K11" s="30" t="s">
        <v>397</v>
      </c>
      <c r="L11" s="39" t="str">
        <f t="shared" si="2"/>
        <v>2438.4 x 127 x 12</v>
      </c>
      <c r="M11" s="38">
        <v>1.5</v>
      </c>
      <c r="N11" s="38">
        <v>1.5</v>
      </c>
      <c r="O11" s="38">
        <v>3.9269099E7</v>
      </c>
      <c r="P11" s="38">
        <v>1.0</v>
      </c>
      <c r="Q11" s="39" t="s">
        <v>370</v>
      </c>
      <c r="R11" s="40">
        <v>670.4406779661017</v>
      </c>
      <c r="S11" s="19">
        <v>1500.0</v>
      </c>
      <c r="T11" s="42"/>
      <c r="U11" s="30"/>
      <c r="V11" s="30" t="s">
        <v>398</v>
      </c>
    </row>
    <row r="12">
      <c r="A12" s="30" t="s">
        <v>363</v>
      </c>
      <c r="B12" s="30" t="s">
        <v>364</v>
      </c>
      <c r="C12" s="30" t="s">
        <v>365</v>
      </c>
      <c r="D12" s="30"/>
      <c r="E12" s="30"/>
      <c r="F12" s="30"/>
      <c r="G12" s="23" t="s">
        <v>399</v>
      </c>
      <c r="H12" s="30" t="s">
        <v>400</v>
      </c>
      <c r="I12" s="38">
        <f t="shared" si="1"/>
        <v>31</v>
      </c>
      <c r="J12" s="39" t="s">
        <v>368</v>
      </c>
      <c r="K12" s="30" t="s">
        <v>397</v>
      </c>
      <c r="L12" s="39" t="str">
        <f t="shared" si="2"/>
        <v>2438.4 x 127 x 12</v>
      </c>
      <c r="M12" s="38">
        <v>1.5</v>
      </c>
      <c r="N12" s="38">
        <v>1.5</v>
      </c>
      <c r="O12" s="38">
        <v>392690.0</v>
      </c>
      <c r="P12" s="38">
        <v>1.0</v>
      </c>
      <c r="Q12" s="39" t="s">
        <v>370</v>
      </c>
      <c r="R12" s="40">
        <v>819.5932203389831</v>
      </c>
      <c r="S12" s="19">
        <f>2000</f>
        <v>2000</v>
      </c>
      <c r="T12" s="42"/>
      <c r="U12" s="30"/>
      <c r="V12" s="30" t="s">
        <v>401</v>
      </c>
    </row>
    <row r="13">
      <c r="A13" s="30" t="s">
        <v>363</v>
      </c>
      <c r="B13" s="30" t="s">
        <v>364</v>
      </c>
      <c r="C13" s="30" t="s">
        <v>365</v>
      </c>
      <c r="D13" s="30"/>
      <c r="E13" s="30"/>
      <c r="F13" s="30"/>
      <c r="G13" s="23" t="s">
        <v>402</v>
      </c>
      <c r="H13" s="30" t="s">
        <v>403</v>
      </c>
      <c r="I13" s="38">
        <f t="shared" si="1"/>
        <v>38</v>
      </c>
      <c r="J13" s="39" t="s">
        <v>368</v>
      </c>
      <c r="K13" s="30" t="s">
        <v>397</v>
      </c>
      <c r="L13" s="39" t="str">
        <f t="shared" si="2"/>
        <v>2438.4 x 127 x 12</v>
      </c>
      <c r="M13" s="38">
        <v>1.5</v>
      </c>
      <c r="N13" s="38">
        <v>1.5</v>
      </c>
      <c r="O13" s="38">
        <v>3.9269099E7</v>
      </c>
      <c r="P13" s="38">
        <v>1.0</v>
      </c>
      <c r="Q13" s="39" t="s">
        <v>370</v>
      </c>
      <c r="R13" s="40">
        <v>670.4406779661017</v>
      </c>
      <c r="S13" s="19">
        <v>1500.0</v>
      </c>
      <c r="T13" s="42"/>
      <c r="U13" s="30"/>
      <c r="V13" s="30" t="s">
        <v>404</v>
      </c>
    </row>
    <row r="14">
      <c r="A14" s="30" t="s">
        <v>363</v>
      </c>
      <c r="B14" s="30" t="s">
        <v>364</v>
      </c>
      <c r="C14" s="30" t="s">
        <v>365</v>
      </c>
      <c r="D14" s="30"/>
      <c r="E14" s="30"/>
      <c r="F14" s="30"/>
      <c r="G14" s="23" t="s">
        <v>405</v>
      </c>
      <c r="H14" s="30" t="s">
        <v>406</v>
      </c>
      <c r="I14" s="38">
        <f t="shared" si="1"/>
        <v>37</v>
      </c>
      <c r="J14" s="39" t="s">
        <v>368</v>
      </c>
      <c r="K14" s="30" t="s">
        <v>407</v>
      </c>
      <c r="L14" s="39" t="str">
        <f t="shared" si="2"/>
        <v>2438.4 x 127 x 11</v>
      </c>
      <c r="M14" s="38">
        <v>1.5</v>
      </c>
      <c r="N14" s="38">
        <v>1.5</v>
      </c>
      <c r="O14" s="38">
        <v>3.9269099E7</v>
      </c>
      <c r="P14" s="38">
        <v>1.0</v>
      </c>
      <c r="Q14" s="39" t="s">
        <v>370</v>
      </c>
      <c r="R14" s="40">
        <v>1192.4745762711864</v>
      </c>
      <c r="S14" s="19">
        <f>2500</f>
        <v>2500</v>
      </c>
      <c r="T14" s="42"/>
      <c r="U14" s="30"/>
      <c r="V14" s="30" t="s">
        <v>408</v>
      </c>
    </row>
    <row r="15">
      <c r="A15" s="30" t="s">
        <v>363</v>
      </c>
      <c r="B15" s="30" t="s">
        <v>364</v>
      </c>
      <c r="C15" s="30" t="s">
        <v>365</v>
      </c>
      <c r="D15" s="30"/>
      <c r="E15" s="30"/>
      <c r="F15" s="30"/>
      <c r="G15" s="23" t="s">
        <v>409</v>
      </c>
      <c r="H15" s="30" t="s">
        <v>410</v>
      </c>
      <c r="I15" s="38">
        <f t="shared" si="1"/>
        <v>36</v>
      </c>
      <c r="J15" s="39" t="s">
        <v>368</v>
      </c>
      <c r="K15" s="30" t="s">
        <v>407</v>
      </c>
      <c r="L15" s="39" t="str">
        <f t="shared" si="2"/>
        <v>2438.4 x 127 x 11</v>
      </c>
      <c r="M15" s="38">
        <v>1.5</v>
      </c>
      <c r="N15" s="38">
        <v>1.5</v>
      </c>
      <c r="O15" s="38">
        <v>3.9269099E7</v>
      </c>
      <c r="P15" s="38">
        <v>1.0</v>
      </c>
      <c r="Q15" s="39" t="s">
        <v>370</v>
      </c>
      <c r="R15" s="40">
        <v>1084.0677966101696</v>
      </c>
      <c r="S15" s="19">
        <v>2500.0</v>
      </c>
      <c r="T15" s="42"/>
      <c r="U15" s="30"/>
      <c r="V15" s="30" t="s">
        <v>411</v>
      </c>
    </row>
    <row r="16">
      <c r="A16" s="30" t="s">
        <v>363</v>
      </c>
      <c r="B16" s="30" t="s">
        <v>364</v>
      </c>
      <c r="C16" s="30" t="s">
        <v>365</v>
      </c>
      <c r="D16" s="30"/>
      <c r="E16" s="30"/>
      <c r="F16" s="30"/>
      <c r="G16" s="23" t="s">
        <v>412</v>
      </c>
      <c r="H16" s="30" t="s">
        <v>413</v>
      </c>
      <c r="I16" s="38">
        <f t="shared" si="1"/>
        <v>36</v>
      </c>
      <c r="J16" s="39" t="s">
        <v>368</v>
      </c>
      <c r="K16" s="30" t="s">
        <v>407</v>
      </c>
      <c r="L16" s="39" t="str">
        <f t="shared" si="2"/>
        <v>2438.4 x 127 x 11</v>
      </c>
      <c r="M16" s="38">
        <v>1.5</v>
      </c>
      <c r="N16" s="38">
        <v>1.5</v>
      </c>
      <c r="O16" s="38">
        <v>3.9269099E7</v>
      </c>
      <c r="P16" s="38">
        <v>1.0</v>
      </c>
      <c r="Q16" s="39" t="s">
        <v>370</v>
      </c>
      <c r="R16" s="40">
        <v>1192.4745762711864</v>
      </c>
      <c r="S16" s="19">
        <f>2500</f>
        <v>2500</v>
      </c>
      <c r="T16" s="42"/>
      <c r="U16" s="30"/>
      <c r="V16" s="30" t="s">
        <v>414</v>
      </c>
    </row>
    <row r="17">
      <c r="A17" s="30" t="s">
        <v>363</v>
      </c>
      <c r="B17" s="30" t="s">
        <v>364</v>
      </c>
      <c r="C17" s="30" t="s">
        <v>365</v>
      </c>
      <c r="D17" s="30"/>
      <c r="E17" s="30"/>
      <c r="F17" s="30"/>
      <c r="G17" s="23" t="s">
        <v>415</v>
      </c>
      <c r="H17" s="30" t="s">
        <v>416</v>
      </c>
      <c r="I17" s="38">
        <f t="shared" si="1"/>
        <v>32</v>
      </c>
      <c r="J17" s="39" t="s">
        <v>368</v>
      </c>
      <c r="K17" s="30" t="s">
        <v>407</v>
      </c>
      <c r="L17" s="39" t="str">
        <f t="shared" si="2"/>
        <v>2438.4 x 127 x 11</v>
      </c>
      <c r="M17" s="38">
        <v>1.5</v>
      </c>
      <c r="N17" s="38">
        <v>1.5</v>
      </c>
      <c r="O17" s="38">
        <v>3.9269099E7</v>
      </c>
      <c r="P17" s="38">
        <v>1.0</v>
      </c>
      <c r="Q17" s="39" t="s">
        <v>370</v>
      </c>
      <c r="R17" s="40">
        <v>1084.0677966101696</v>
      </c>
      <c r="S17" s="19">
        <v>2500.0</v>
      </c>
      <c r="T17" s="42"/>
      <c r="U17" s="30"/>
      <c r="V17" s="30" t="s">
        <v>417</v>
      </c>
    </row>
    <row r="18">
      <c r="A18" s="30" t="s">
        <v>363</v>
      </c>
      <c r="B18" s="30" t="s">
        <v>364</v>
      </c>
      <c r="C18" s="30" t="s">
        <v>365</v>
      </c>
      <c r="D18" s="30"/>
      <c r="E18" s="30"/>
      <c r="F18" s="30"/>
      <c r="G18" s="23" t="s">
        <v>217</v>
      </c>
      <c r="H18" s="30" t="s">
        <v>418</v>
      </c>
      <c r="I18" s="38">
        <f t="shared" si="1"/>
        <v>32</v>
      </c>
      <c r="J18" s="39" t="s">
        <v>368</v>
      </c>
      <c r="K18" s="30" t="s">
        <v>407</v>
      </c>
      <c r="L18" s="39" t="str">
        <f t="shared" si="2"/>
        <v>2438.4 x 127 x 11</v>
      </c>
      <c r="M18" s="38">
        <v>1.5</v>
      </c>
      <c r="N18" s="38">
        <v>1.5</v>
      </c>
      <c r="O18" s="38">
        <v>3.9269099E7</v>
      </c>
      <c r="P18" s="38">
        <v>1.0</v>
      </c>
      <c r="Q18" s="39" t="s">
        <v>370</v>
      </c>
      <c r="R18" s="40">
        <v>1084.0677966101696</v>
      </c>
      <c r="S18" s="19">
        <v>2500.0</v>
      </c>
      <c r="T18" s="42"/>
      <c r="U18" s="30"/>
      <c r="V18" s="30" t="s">
        <v>419</v>
      </c>
    </row>
    <row r="19">
      <c r="A19" s="30" t="s">
        <v>363</v>
      </c>
      <c r="B19" s="30" t="s">
        <v>364</v>
      </c>
      <c r="C19" s="30" t="s">
        <v>365</v>
      </c>
      <c r="D19" s="30"/>
      <c r="E19" s="30"/>
      <c r="F19" s="30"/>
      <c r="G19" s="23" t="s">
        <v>420</v>
      </c>
      <c r="H19" s="30" t="s">
        <v>421</v>
      </c>
      <c r="I19" s="38">
        <f t="shared" si="1"/>
        <v>32</v>
      </c>
      <c r="J19" s="39" t="s">
        <v>368</v>
      </c>
      <c r="K19" s="30" t="s">
        <v>407</v>
      </c>
      <c r="L19" s="39" t="str">
        <f t="shared" si="2"/>
        <v>2438.4 x 127 x 11</v>
      </c>
      <c r="M19" s="38">
        <v>1.5</v>
      </c>
      <c r="N19" s="38">
        <v>1.5</v>
      </c>
      <c r="O19" s="38">
        <v>3.9269099E7</v>
      </c>
      <c r="P19" s="38">
        <v>1.0</v>
      </c>
      <c r="Q19" s="39" t="s">
        <v>370</v>
      </c>
      <c r="R19" s="40">
        <v>1084.0677966101696</v>
      </c>
      <c r="S19" s="19">
        <v>2500.0</v>
      </c>
      <c r="T19" s="42"/>
      <c r="U19" s="30"/>
      <c r="V19" s="30" t="s">
        <v>422</v>
      </c>
    </row>
    <row r="20">
      <c r="A20" s="30" t="s">
        <v>363</v>
      </c>
      <c r="B20" s="30" t="s">
        <v>364</v>
      </c>
      <c r="C20" s="30" t="s">
        <v>365</v>
      </c>
      <c r="D20" s="30"/>
      <c r="E20" s="30"/>
      <c r="F20" s="30"/>
      <c r="G20" s="23" t="s">
        <v>423</v>
      </c>
      <c r="H20" s="30" t="s">
        <v>424</v>
      </c>
      <c r="I20" s="38">
        <f t="shared" si="1"/>
        <v>36</v>
      </c>
      <c r="J20" s="39" t="s">
        <v>368</v>
      </c>
      <c r="K20" s="30" t="s">
        <v>407</v>
      </c>
      <c r="L20" s="39" t="str">
        <f t="shared" si="2"/>
        <v>2438.4 x 127 x 11</v>
      </c>
      <c r="M20" s="38">
        <v>1.5</v>
      </c>
      <c r="N20" s="38">
        <v>1.5</v>
      </c>
      <c r="O20" s="38">
        <v>3.9269099E7</v>
      </c>
      <c r="P20" s="38">
        <v>1.0</v>
      </c>
      <c r="Q20" s="39" t="s">
        <v>370</v>
      </c>
      <c r="R20" s="40">
        <v>595.8644067796611</v>
      </c>
      <c r="S20" s="19">
        <v>1500.0</v>
      </c>
      <c r="T20" s="42"/>
      <c r="U20" s="30"/>
      <c r="V20" s="30" t="s">
        <v>425</v>
      </c>
    </row>
    <row r="21">
      <c r="A21" s="30" t="s">
        <v>363</v>
      </c>
      <c r="B21" s="30" t="s">
        <v>364</v>
      </c>
      <c r="C21" s="30" t="s">
        <v>365</v>
      </c>
      <c r="D21" s="30"/>
      <c r="E21" s="30"/>
      <c r="F21" s="30"/>
      <c r="G21" s="23" t="s">
        <v>218</v>
      </c>
      <c r="H21" s="30" t="s">
        <v>426</v>
      </c>
      <c r="I21" s="38">
        <f t="shared" si="1"/>
        <v>36</v>
      </c>
      <c r="J21" s="39" t="s">
        <v>368</v>
      </c>
      <c r="K21" s="30" t="s">
        <v>407</v>
      </c>
      <c r="L21" s="39" t="str">
        <f t="shared" si="2"/>
        <v>2438.4 x 127 x 11</v>
      </c>
      <c r="M21" s="38">
        <v>1.5</v>
      </c>
      <c r="N21" s="38">
        <v>1.5</v>
      </c>
      <c r="O21" s="38">
        <v>3.9269099E7</v>
      </c>
      <c r="P21" s="38">
        <v>1.0</v>
      </c>
      <c r="Q21" s="39" t="s">
        <v>370</v>
      </c>
      <c r="R21" s="40">
        <v>595.8644067796611</v>
      </c>
      <c r="S21" s="19">
        <v>1500.0</v>
      </c>
      <c r="T21" s="42"/>
      <c r="U21" s="30"/>
      <c r="V21" s="30" t="s">
        <v>427</v>
      </c>
    </row>
    <row r="22">
      <c r="A22" s="30" t="s">
        <v>363</v>
      </c>
      <c r="B22" s="30" t="s">
        <v>364</v>
      </c>
      <c r="C22" s="30" t="s">
        <v>365</v>
      </c>
      <c r="D22" s="30"/>
      <c r="E22" s="30"/>
      <c r="F22" s="30"/>
      <c r="G22" s="23" t="s">
        <v>227</v>
      </c>
      <c r="H22" s="30" t="s">
        <v>428</v>
      </c>
      <c r="I22" s="38">
        <f t="shared" si="1"/>
        <v>38</v>
      </c>
      <c r="J22" s="39" t="s">
        <v>368</v>
      </c>
      <c r="K22" s="30" t="s">
        <v>407</v>
      </c>
      <c r="L22" s="39" t="str">
        <f t="shared" si="2"/>
        <v>2438.4 x 127 x 11</v>
      </c>
      <c r="M22" s="38">
        <v>1.5</v>
      </c>
      <c r="N22" s="38">
        <v>1.5</v>
      </c>
      <c r="O22" s="38">
        <v>3.9269099E7</v>
      </c>
      <c r="P22" s="38">
        <v>1.0</v>
      </c>
      <c r="Q22" s="39" t="s">
        <v>370</v>
      </c>
      <c r="R22" s="40">
        <v>595.8644067796611</v>
      </c>
      <c r="S22" s="19">
        <v>1500.0</v>
      </c>
      <c r="T22" s="42"/>
      <c r="U22" s="30"/>
      <c r="V22" s="30" t="s">
        <v>429</v>
      </c>
    </row>
    <row r="23">
      <c r="A23" s="30" t="s">
        <v>363</v>
      </c>
      <c r="B23" s="30" t="s">
        <v>364</v>
      </c>
      <c r="C23" s="30" t="s">
        <v>365</v>
      </c>
      <c r="D23" s="30"/>
      <c r="E23" s="30"/>
      <c r="F23" s="30"/>
      <c r="G23" s="23" t="s">
        <v>430</v>
      </c>
      <c r="H23" s="30" t="s">
        <v>431</v>
      </c>
      <c r="I23" s="38">
        <f t="shared" si="1"/>
        <v>36</v>
      </c>
      <c r="J23" s="39" t="s">
        <v>368</v>
      </c>
      <c r="K23" s="30" t="s">
        <v>407</v>
      </c>
      <c r="L23" s="39" t="str">
        <f t="shared" si="2"/>
        <v>2438.4 x 127 x 11</v>
      </c>
      <c r="M23" s="38">
        <v>1.5</v>
      </c>
      <c r="N23" s="38">
        <v>1.5</v>
      </c>
      <c r="O23" s="38">
        <v>3.9269099E7</v>
      </c>
      <c r="P23" s="38">
        <v>1.0</v>
      </c>
      <c r="Q23" s="39" t="s">
        <v>370</v>
      </c>
      <c r="R23" s="40">
        <v>595.8644067796611</v>
      </c>
      <c r="S23" s="19">
        <v>1500.0</v>
      </c>
      <c r="T23" s="42"/>
      <c r="U23" s="30"/>
      <c r="V23" s="30" t="s">
        <v>432</v>
      </c>
    </row>
    <row r="24">
      <c r="A24" s="30" t="s">
        <v>363</v>
      </c>
      <c r="B24" s="30" t="s">
        <v>364</v>
      </c>
      <c r="C24" s="30" t="s">
        <v>365</v>
      </c>
      <c r="D24" s="30"/>
      <c r="E24" s="30"/>
      <c r="F24" s="30"/>
      <c r="G24" s="23" t="s">
        <v>287</v>
      </c>
      <c r="H24" s="30" t="s">
        <v>433</v>
      </c>
      <c r="I24" s="38">
        <f t="shared" si="1"/>
        <v>31</v>
      </c>
      <c r="J24" s="39" t="s">
        <v>368</v>
      </c>
      <c r="K24" s="30" t="s">
        <v>407</v>
      </c>
      <c r="L24" s="39" t="str">
        <f t="shared" si="2"/>
        <v>2438.4 x 127 x 11</v>
      </c>
      <c r="M24" s="38">
        <v>1.5</v>
      </c>
      <c r="N24" s="38">
        <v>1.5</v>
      </c>
      <c r="O24" s="38">
        <v>3.9269099E7</v>
      </c>
      <c r="P24" s="38">
        <v>1.0</v>
      </c>
      <c r="Q24" s="39" t="s">
        <v>370</v>
      </c>
      <c r="R24" s="40">
        <v>595.8644067796611</v>
      </c>
      <c r="S24" s="19">
        <v>1500.0</v>
      </c>
      <c r="T24" s="42"/>
      <c r="U24" s="30"/>
      <c r="V24" s="30" t="s">
        <v>434</v>
      </c>
    </row>
    <row r="25">
      <c r="A25" s="30" t="s">
        <v>363</v>
      </c>
      <c r="B25" s="30" t="s">
        <v>364</v>
      </c>
      <c r="C25" s="30" t="s">
        <v>365</v>
      </c>
      <c r="D25" s="30"/>
      <c r="E25" s="30"/>
      <c r="F25" s="30"/>
      <c r="G25" s="23" t="s">
        <v>435</v>
      </c>
      <c r="H25" s="30" t="s">
        <v>436</v>
      </c>
      <c r="I25" s="38">
        <f t="shared" si="1"/>
        <v>35</v>
      </c>
      <c r="J25" s="39" t="s">
        <v>368</v>
      </c>
      <c r="K25" s="30" t="s">
        <v>407</v>
      </c>
      <c r="L25" s="39" t="str">
        <f t="shared" si="2"/>
        <v>2438.4 x 127 x 11</v>
      </c>
      <c r="M25" s="38">
        <v>1.5</v>
      </c>
      <c r="N25" s="38">
        <v>1.5</v>
      </c>
      <c r="O25" s="38">
        <v>3.9269099E7</v>
      </c>
      <c r="P25" s="38">
        <v>1.0</v>
      </c>
      <c r="Q25" s="39" t="s">
        <v>370</v>
      </c>
      <c r="R25" s="40">
        <v>670.4406779661017</v>
      </c>
      <c r="S25" s="19">
        <v>1500.0</v>
      </c>
      <c r="T25" s="42"/>
      <c r="U25" s="30"/>
      <c r="V25" s="30" t="s">
        <v>437</v>
      </c>
    </row>
    <row r="26">
      <c r="A26" s="30" t="s">
        <v>363</v>
      </c>
      <c r="B26" s="30" t="s">
        <v>364</v>
      </c>
      <c r="C26" s="30" t="s">
        <v>365</v>
      </c>
      <c r="D26" s="30"/>
      <c r="E26" s="30"/>
      <c r="F26" s="30"/>
      <c r="G26" s="23" t="s">
        <v>230</v>
      </c>
      <c r="H26" s="30" t="s">
        <v>438</v>
      </c>
      <c r="I26" s="38">
        <f t="shared" si="1"/>
        <v>36</v>
      </c>
      <c r="J26" s="39" t="s">
        <v>368</v>
      </c>
      <c r="K26" s="30" t="s">
        <v>407</v>
      </c>
      <c r="L26" s="39" t="str">
        <f t="shared" si="2"/>
        <v>2438.4 x 127 x 11</v>
      </c>
      <c r="M26" s="38">
        <v>1.5</v>
      </c>
      <c r="N26" s="38">
        <v>1.5</v>
      </c>
      <c r="O26" s="38">
        <v>392690.0</v>
      </c>
      <c r="P26" s="38">
        <v>1.0</v>
      </c>
      <c r="Q26" s="39" t="s">
        <v>370</v>
      </c>
      <c r="R26" s="40">
        <v>819.5932203389831</v>
      </c>
      <c r="S26" s="19">
        <f>2000</f>
        <v>2000</v>
      </c>
      <c r="T26" s="42"/>
      <c r="U26" s="30"/>
      <c r="V26" s="30" t="s">
        <v>439</v>
      </c>
    </row>
    <row r="27">
      <c r="A27" s="30" t="s">
        <v>363</v>
      </c>
      <c r="B27" s="30" t="s">
        <v>364</v>
      </c>
      <c r="C27" s="30" t="s">
        <v>365</v>
      </c>
      <c r="D27" s="30"/>
      <c r="E27" s="30"/>
      <c r="F27" s="30"/>
      <c r="G27" s="23" t="s">
        <v>440</v>
      </c>
      <c r="H27" s="30" t="s">
        <v>441</v>
      </c>
      <c r="I27" s="38">
        <f t="shared" si="1"/>
        <v>36</v>
      </c>
      <c r="J27" s="39" t="s">
        <v>368</v>
      </c>
      <c r="K27" s="30" t="s">
        <v>407</v>
      </c>
      <c r="L27" s="39" t="str">
        <f t="shared" si="2"/>
        <v>2438.4 x 127 x 11</v>
      </c>
      <c r="M27" s="38">
        <v>1.5</v>
      </c>
      <c r="N27" s="38">
        <v>1.5</v>
      </c>
      <c r="O27" s="38">
        <v>3.9269099E7</v>
      </c>
      <c r="P27" s="38">
        <v>1.0</v>
      </c>
      <c r="Q27" s="39" t="s">
        <v>370</v>
      </c>
      <c r="R27" s="40">
        <v>595.8644067796611</v>
      </c>
      <c r="S27" s="19">
        <v>1500.0</v>
      </c>
      <c r="T27" s="42"/>
      <c r="U27" s="30"/>
      <c r="V27" s="30" t="s">
        <v>442</v>
      </c>
    </row>
    <row r="28">
      <c r="A28" s="30" t="s">
        <v>363</v>
      </c>
      <c r="B28" s="30" t="s">
        <v>364</v>
      </c>
      <c r="C28" s="30" t="s">
        <v>365</v>
      </c>
      <c r="D28" s="30"/>
      <c r="E28" s="30"/>
      <c r="F28" s="30"/>
      <c r="G28" s="23" t="s">
        <v>443</v>
      </c>
      <c r="H28" s="30" t="s">
        <v>444</v>
      </c>
      <c r="I28" s="38">
        <f t="shared" si="1"/>
        <v>38</v>
      </c>
      <c r="J28" s="39" t="s">
        <v>368</v>
      </c>
      <c r="K28" s="30" t="s">
        <v>407</v>
      </c>
      <c r="L28" s="39" t="str">
        <f t="shared" si="2"/>
        <v>2438.4 x 127 x 11</v>
      </c>
      <c r="M28" s="38">
        <v>1.5</v>
      </c>
      <c r="N28" s="38">
        <v>1.5</v>
      </c>
      <c r="O28" s="38">
        <v>3.9269099E7</v>
      </c>
      <c r="P28" s="38">
        <v>1.0</v>
      </c>
      <c r="Q28" s="39" t="s">
        <v>370</v>
      </c>
      <c r="R28" s="40">
        <v>595.8644067796611</v>
      </c>
      <c r="S28" s="19">
        <v>1500.0</v>
      </c>
      <c r="T28" s="42"/>
      <c r="U28" s="30"/>
      <c r="V28" s="30" t="s">
        <v>445</v>
      </c>
    </row>
    <row r="29">
      <c r="A29" s="30" t="s">
        <v>363</v>
      </c>
      <c r="B29" s="30" t="s">
        <v>364</v>
      </c>
      <c r="C29" s="30" t="s">
        <v>365</v>
      </c>
      <c r="D29" s="30"/>
      <c r="E29" s="30"/>
      <c r="F29" s="30"/>
      <c r="G29" s="23" t="s">
        <v>446</v>
      </c>
      <c r="H29" s="30" t="s">
        <v>447</v>
      </c>
      <c r="I29" s="38">
        <f t="shared" si="1"/>
        <v>37</v>
      </c>
      <c r="J29" s="39" t="s">
        <v>368</v>
      </c>
      <c r="K29" s="30" t="s">
        <v>407</v>
      </c>
      <c r="L29" s="39" t="str">
        <f t="shared" si="2"/>
        <v>2438.4 x 127 x 11</v>
      </c>
      <c r="M29" s="38">
        <v>1.5</v>
      </c>
      <c r="N29" s="38">
        <v>1.5</v>
      </c>
      <c r="O29" s="38">
        <v>3.9269099E7</v>
      </c>
      <c r="P29" s="38">
        <v>1.0</v>
      </c>
      <c r="Q29" s="39" t="s">
        <v>370</v>
      </c>
      <c r="R29" s="40">
        <v>745.0169491525425</v>
      </c>
      <c r="S29" s="19">
        <f>1500</f>
        <v>1500</v>
      </c>
      <c r="T29" s="42"/>
      <c r="U29" s="30"/>
      <c r="V29" s="30" t="s">
        <v>448</v>
      </c>
    </row>
    <row r="30">
      <c r="A30" s="30" t="s">
        <v>363</v>
      </c>
      <c r="B30" s="30" t="s">
        <v>364</v>
      </c>
      <c r="C30" s="30" t="s">
        <v>365</v>
      </c>
      <c r="D30" s="30"/>
      <c r="E30" s="30"/>
      <c r="F30" s="30"/>
      <c r="G30" s="23" t="s">
        <v>234</v>
      </c>
      <c r="H30" s="30" t="s">
        <v>449</v>
      </c>
      <c r="I30" s="38">
        <f t="shared" si="1"/>
        <v>32</v>
      </c>
      <c r="J30" s="39" t="s">
        <v>368</v>
      </c>
      <c r="K30" s="30" t="s">
        <v>407</v>
      </c>
      <c r="L30" s="39" t="str">
        <f t="shared" si="2"/>
        <v>2438.4 x 127 x 11</v>
      </c>
      <c r="M30" s="38">
        <v>1.5</v>
      </c>
      <c r="N30" s="38">
        <v>1.5</v>
      </c>
      <c r="O30" s="38">
        <v>3.9269099E7</v>
      </c>
      <c r="P30" s="38">
        <v>1.0</v>
      </c>
      <c r="Q30" s="39" t="s">
        <v>370</v>
      </c>
      <c r="R30" s="40">
        <v>670.4406779661017</v>
      </c>
      <c r="S30" s="19">
        <v>1500.0</v>
      </c>
      <c r="T30" s="42"/>
      <c r="U30" s="30"/>
      <c r="V30" s="30" t="s">
        <v>450</v>
      </c>
    </row>
    <row r="31">
      <c r="A31" s="30" t="s">
        <v>363</v>
      </c>
      <c r="B31" s="30" t="s">
        <v>364</v>
      </c>
      <c r="C31" s="30" t="s">
        <v>365</v>
      </c>
      <c r="D31" s="30"/>
      <c r="E31" s="30"/>
      <c r="F31" s="30"/>
      <c r="G31" s="23" t="s">
        <v>274</v>
      </c>
      <c r="H31" s="30" t="s">
        <v>451</v>
      </c>
      <c r="I31" s="38">
        <f t="shared" si="1"/>
        <v>38</v>
      </c>
      <c r="J31" s="39" t="s">
        <v>368</v>
      </c>
      <c r="K31" s="30" t="s">
        <v>407</v>
      </c>
      <c r="L31" s="39" t="str">
        <f t="shared" si="2"/>
        <v>2438.4 x 127 x 11</v>
      </c>
      <c r="M31" s="38">
        <v>1.5</v>
      </c>
      <c r="N31" s="38">
        <v>1.5</v>
      </c>
      <c r="O31" s="38">
        <v>3.9269099E7</v>
      </c>
      <c r="P31" s="38">
        <v>1.0</v>
      </c>
      <c r="Q31" s="39" t="s">
        <v>370</v>
      </c>
      <c r="R31" s="40">
        <v>595.8644067796611</v>
      </c>
      <c r="S31" s="19">
        <v>1500.0</v>
      </c>
      <c r="T31" s="42"/>
      <c r="U31" s="30"/>
      <c r="V31" s="30" t="s">
        <v>452</v>
      </c>
    </row>
    <row r="32">
      <c r="A32" s="30" t="s">
        <v>363</v>
      </c>
      <c r="B32" s="30" t="s">
        <v>364</v>
      </c>
      <c r="C32" s="30" t="s">
        <v>365</v>
      </c>
      <c r="D32" s="30"/>
      <c r="E32" s="30"/>
      <c r="F32" s="30"/>
      <c r="G32" s="23" t="s">
        <v>453</v>
      </c>
      <c r="H32" s="30" t="s">
        <v>454</v>
      </c>
      <c r="I32" s="38">
        <f t="shared" si="1"/>
        <v>36</v>
      </c>
      <c r="J32" s="39" t="s">
        <v>368</v>
      </c>
      <c r="K32" s="30" t="s">
        <v>407</v>
      </c>
      <c r="L32" s="39" t="str">
        <f t="shared" si="2"/>
        <v>2438.4 x 127 x 11</v>
      </c>
      <c r="M32" s="38">
        <v>1.5</v>
      </c>
      <c r="N32" s="38">
        <v>1.5</v>
      </c>
      <c r="O32" s="38">
        <v>3.9269099E7</v>
      </c>
      <c r="P32" s="38">
        <v>1.0</v>
      </c>
      <c r="Q32" s="39" t="s">
        <v>370</v>
      </c>
      <c r="R32" s="40">
        <v>677.2881355932204</v>
      </c>
      <c r="S32" s="19">
        <f>1500</f>
        <v>1500</v>
      </c>
      <c r="T32" s="42"/>
      <c r="U32" s="30"/>
      <c r="V32" s="30" t="s">
        <v>455</v>
      </c>
    </row>
    <row r="33">
      <c r="A33" s="30" t="s">
        <v>363</v>
      </c>
      <c r="B33" s="30" t="s">
        <v>364</v>
      </c>
      <c r="C33" s="30" t="s">
        <v>365</v>
      </c>
      <c r="D33" s="30"/>
      <c r="E33" s="30"/>
      <c r="F33" s="30"/>
      <c r="G33" s="23" t="s">
        <v>265</v>
      </c>
      <c r="H33" s="30" t="s">
        <v>456</v>
      </c>
      <c r="I33" s="38">
        <f t="shared" si="1"/>
        <v>36</v>
      </c>
      <c r="J33" s="39" t="s">
        <v>368</v>
      </c>
      <c r="K33" s="30" t="s">
        <v>407</v>
      </c>
      <c r="L33" s="39" t="str">
        <f t="shared" si="2"/>
        <v>2438.4 x 127 x 11</v>
      </c>
      <c r="M33" s="38">
        <v>1.5</v>
      </c>
      <c r="N33" s="38">
        <v>1.5</v>
      </c>
      <c r="O33" s="38">
        <v>3.9269099E7</v>
      </c>
      <c r="P33" s="38">
        <v>1.0</v>
      </c>
      <c r="Q33" s="39" t="s">
        <v>370</v>
      </c>
      <c r="R33" s="40">
        <v>595.8644067796611</v>
      </c>
      <c r="S33" s="19">
        <v>1500.0</v>
      </c>
      <c r="T33" s="42"/>
      <c r="U33" s="30"/>
      <c r="V33" s="30" t="s">
        <v>457</v>
      </c>
    </row>
    <row r="34">
      <c r="A34" s="30" t="s">
        <v>363</v>
      </c>
      <c r="B34" s="30" t="s">
        <v>364</v>
      </c>
      <c r="C34" s="30" t="s">
        <v>365</v>
      </c>
      <c r="D34" s="30"/>
      <c r="E34" s="30"/>
      <c r="F34" s="30"/>
      <c r="G34" s="23" t="s">
        <v>254</v>
      </c>
      <c r="H34" s="30" t="s">
        <v>458</v>
      </c>
      <c r="I34" s="38">
        <f t="shared" si="1"/>
        <v>36</v>
      </c>
      <c r="J34" s="39" t="s">
        <v>368</v>
      </c>
      <c r="K34" s="30" t="s">
        <v>407</v>
      </c>
      <c r="L34" s="39" t="str">
        <f t="shared" si="2"/>
        <v>2438.4 x 127 x 11</v>
      </c>
      <c r="M34" s="38">
        <v>1.5</v>
      </c>
      <c r="N34" s="38">
        <v>1.5</v>
      </c>
      <c r="O34" s="38">
        <v>3.9269099E7</v>
      </c>
      <c r="P34" s="38">
        <v>1.0</v>
      </c>
      <c r="Q34" s="39" t="s">
        <v>370</v>
      </c>
      <c r="R34" s="40">
        <v>670.4406779661017</v>
      </c>
      <c r="S34" s="19">
        <v>1500.0</v>
      </c>
      <c r="T34" s="42"/>
      <c r="U34" s="30"/>
      <c r="V34" s="30" t="s">
        <v>459</v>
      </c>
    </row>
    <row r="35">
      <c r="A35" s="30" t="s">
        <v>363</v>
      </c>
      <c r="B35" s="30" t="s">
        <v>364</v>
      </c>
      <c r="C35" s="30" t="s">
        <v>365</v>
      </c>
      <c r="D35" s="30"/>
      <c r="E35" s="30"/>
      <c r="F35" s="30"/>
      <c r="G35" s="23" t="s">
        <v>460</v>
      </c>
      <c r="H35" s="30" t="s">
        <v>461</v>
      </c>
      <c r="I35" s="38">
        <f t="shared" si="1"/>
        <v>35</v>
      </c>
      <c r="J35" s="39" t="s">
        <v>368</v>
      </c>
      <c r="K35" s="30" t="s">
        <v>407</v>
      </c>
      <c r="L35" s="39" t="str">
        <f t="shared" si="2"/>
        <v>2438.4 x 127 x 11</v>
      </c>
      <c r="M35" s="38">
        <v>1.5</v>
      </c>
      <c r="N35" s="38">
        <v>1.5</v>
      </c>
      <c r="O35" s="38">
        <v>3.9269099E7</v>
      </c>
      <c r="P35" s="38">
        <v>1.0</v>
      </c>
      <c r="Q35" s="39" t="s">
        <v>370</v>
      </c>
      <c r="R35" s="40">
        <v>670.4406779661017</v>
      </c>
      <c r="S35" s="19">
        <v>1500.0</v>
      </c>
      <c r="T35" s="42"/>
      <c r="U35" s="30"/>
      <c r="V35" s="30" t="s">
        <v>462</v>
      </c>
    </row>
    <row r="36">
      <c r="A36" s="30" t="s">
        <v>363</v>
      </c>
      <c r="B36" s="30" t="s">
        <v>364</v>
      </c>
      <c r="C36" s="30" t="s">
        <v>365</v>
      </c>
      <c r="D36" s="30"/>
      <c r="E36" s="30"/>
      <c r="F36" s="30"/>
      <c r="G36" s="23" t="s">
        <v>256</v>
      </c>
      <c r="H36" s="30" t="s">
        <v>463</v>
      </c>
      <c r="I36" s="38">
        <f t="shared" si="1"/>
        <v>36</v>
      </c>
      <c r="J36" s="39" t="s">
        <v>368</v>
      </c>
      <c r="K36" s="30" t="s">
        <v>464</v>
      </c>
      <c r="L36" s="39" t="str">
        <f t="shared" si="2"/>
        <v>2438.4 x 609.6 x 10</v>
      </c>
      <c r="M36" s="38">
        <v>10.0</v>
      </c>
      <c r="N36" s="38">
        <v>10.0</v>
      </c>
      <c r="O36" s="38">
        <v>3.9269099E7</v>
      </c>
      <c r="P36" s="38">
        <v>1.0</v>
      </c>
      <c r="Q36" s="39" t="s">
        <v>370</v>
      </c>
      <c r="R36" s="40">
        <v>1117.8983050847457</v>
      </c>
      <c r="S36" s="19">
        <v>2500.0</v>
      </c>
      <c r="T36" s="42"/>
      <c r="U36" s="30"/>
      <c r="V36" s="30" t="s">
        <v>465</v>
      </c>
    </row>
    <row r="37">
      <c r="A37" s="30" t="s">
        <v>363</v>
      </c>
      <c r="B37" s="30" t="s">
        <v>364</v>
      </c>
      <c r="C37" s="30" t="s">
        <v>365</v>
      </c>
      <c r="D37" s="30"/>
      <c r="E37" s="30"/>
      <c r="F37" s="30"/>
      <c r="G37" s="23" t="s">
        <v>235</v>
      </c>
      <c r="H37" s="30" t="s">
        <v>466</v>
      </c>
      <c r="I37" s="38">
        <f t="shared" si="1"/>
        <v>38</v>
      </c>
      <c r="J37" s="39" t="s">
        <v>368</v>
      </c>
      <c r="K37" s="30" t="s">
        <v>464</v>
      </c>
      <c r="L37" s="39" t="str">
        <f t="shared" si="2"/>
        <v>2438.4 x 609.6 x 10</v>
      </c>
      <c r="M37" s="38">
        <v>10.0</v>
      </c>
      <c r="N37" s="38">
        <v>10.0</v>
      </c>
      <c r="O37" s="38">
        <v>3.9269099E7</v>
      </c>
      <c r="P37" s="38">
        <v>1.0</v>
      </c>
      <c r="Q37" s="39" t="s">
        <v>370</v>
      </c>
      <c r="R37" s="40">
        <v>1117.8983050847457</v>
      </c>
      <c r="S37" s="19">
        <v>2500.0</v>
      </c>
      <c r="T37" s="42"/>
      <c r="U37" s="30"/>
      <c r="V37" s="30" t="s">
        <v>467</v>
      </c>
    </row>
    <row r="38">
      <c r="A38" s="30" t="s">
        <v>363</v>
      </c>
      <c r="B38" s="30" t="s">
        <v>364</v>
      </c>
      <c r="C38" s="30" t="s">
        <v>365</v>
      </c>
      <c r="D38" s="30"/>
      <c r="E38" s="30"/>
      <c r="F38" s="30"/>
      <c r="G38" s="23" t="s">
        <v>468</v>
      </c>
      <c r="H38" s="30" t="s">
        <v>469</v>
      </c>
      <c r="I38" s="38">
        <f t="shared" si="1"/>
        <v>31</v>
      </c>
      <c r="J38" s="39" t="s">
        <v>368</v>
      </c>
      <c r="K38" s="30" t="s">
        <v>464</v>
      </c>
      <c r="L38" s="39" t="str">
        <f t="shared" si="2"/>
        <v>2438.4 x 609.6 x 10</v>
      </c>
      <c r="M38" s="38">
        <v>10.0</v>
      </c>
      <c r="N38" s="38">
        <v>10.0</v>
      </c>
      <c r="O38" s="38">
        <v>3.9269099E7</v>
      </c>
      <c r="P38" s="38">
        <v>1.0</v>
      </c>
      <c r="Q38" s="39" t="s">
        <v>370</v>
      </c>
      <c r="R38" s="40">
        <v>1016.2711864406781</v>
      </c>
      <c r="S38" s="19">
        <v>2500.0</v>
      </c>
      <c r="T38" s="42"/>
      <c r="U38" s="30"/>
      <c r="V38" s="30" t="s">
        <v>470</v>
      </c>
    </row>
    <row r="39">
      <c r="A39" s="30" t="s">
        <v>363</v>
      </c>
      <c r="B39" s="30" t="s">
        <v>364</v>
      </c>
      <c r="C39" s="30" t="s">
        <v>365</v>
      </c>
      <c r="D39" s="30"/>
      <c r="E39" s="30"/>
      <c r="F39" s="30"/>
      <c r="G39" s="23" t="s">
        <v>471</v>
      </c>
      <c r="H39" s="30" t="s">
        <v>472</v>
      </c>
      <c r="I39" s="38">
        <f t="shared" si="1"/>
        <v>34</v>
      </c>
      <c r="J39" s="39" t="s">
        <v>368</v>
      </c>
      <c r="K39" s="30" t="s">
        <v>464</v>
      </c>
      <c r="L39" s="39" t="str">
        <f t="shared" si="2"/>
        <v>2438.4 x 609.6 x 10</v>
      </c>
      <c r="M39" s="38">
        <v>10.0</v>
      </c>
      <c r="N39" s="38">
        <v>10.0</v>
      </c>
      <c r="O39" s="38">
        <v>3.9269099E7</v>
      </c>
      <c r="P39" s="38">
        <v>1.0</v>
      </c>
      <c r="Q39" s="39" t="s">
        <v>370</v>
      </c>
      <c r="R39" s="40">
        <v>670.4406779661017</v>
      </c>
      <c r="S39" s="19">
        <v>1500.0</v>
      </c>
      <c r="T39" s="42"/>
      <c r="U39" s="30"/>
      <c r="V39" s="30" t="s">
        <v>473</v>
      </c>
    </row>
    <row r="40">
      <c r="A40" s="30" t="s">
        <v>363</v>
      </c>
      <c r="B40" s="30" t="s">
        <v>364</v>
      </c>
      <c r="C40" s="30" t="s">
        <v>365</v>
      </c>
      <c r="D40" s="30"/>
      <c r="E40" s="30"/>
      <c r="F40" s="30"/>
      <c r="G40" s="23" t="s">
        <v>474</v>
      </c>
      <c r="H40" s="30" t="s">
        <v>475</v>
      </c>
      <c r="I40" s="38">
        <f t="shared" si="1"/>
        <v>32</v>
      </c>
      <c r="J40" s="39" t="s">
        <v>368</v>
      </c>
      <c r="K40" s="30" t="s">
        <v>464</v>
      </c>
      <c r="L40" s="39" t="str">
        <f t="shared" si="2"/>
        <v>2438.4 x 609.6 x 10</v>
      </c>
      <c r="M40" s="38">
        <v>10.0</v>
      </c>
      <c r="N40" s="38">
        <v>10.0</v>
      </c>
      <c r="O40" s="38">
        <v>3.9269099E7</v>
      </c>
      <c r="P40" s="38">
        <v>1.0</v>
      </c>
      <c r="Q40" s="39" t="s">
        <v>370</v>
      </c>
      <c r="R40" s="40">
        <v>670.4406779661017</v>
      </c>
      <c r="S40" s="19">
        <v>1500.0</v>
      </c>
      <c r="T40" s="42"/>
      <c r="U40" s="30"/>
      <c r="V40" s="30" t="s">
        <v>476</v>
      </c>
    </row>
    <row r="41">
      <c r="A41" s="30" t="s">
        <v>363</v>
      </c>
      <c r="B41" s="30" t="s">
        <v>364</v>
      </c>
      <c r="C41" s="30" t="s">
        <v>365</v>
      </c>
      <c r="D41" s="30"/>
      <c r="E41" s="30"/>
      <c r="F41" s="30"/>
      <c r="G41" s="23" t="s">
        <v>477</v>
      </c>
      <c r="H41" s="30" t="s">
        <v>478</v>
      </c>
      <c r="I41" s="38">
        <f t="shared" si="1"/>
        <v>37</v>
      </c>
      <c r="J41" s="39" t="s">
        <v>368</v>
      </c>
      <c r="K41" s="30" t="s">
        <v>479</v>
      </c>
      <c r="L41" s="39" t="str">
        <f t="shared" si="2"/>
        <v>2895.6 x 121.92 x 12</v>
      </c>
      <c r="M41" s="38">
        <v>1.5</v>
      </c>
      <c r="N41" s="38">
        <v>1.5</v>
      </c>
      <c r="O41" s="38">
        <v>3.9269099E7</v>
      </c>
      <c r="P41" s="38">
        <v>1.0</v>
      </c>
      <c r="Q41" s="39" t="s">
        <v>370</v>
      </c>
      <c r="R41" s="40">
        <v>670.4406779661017</v>
      </c>
      <c r="S41" s="19">
        <v>1500.0</v>
      </c>
      <c r="T41" s="42"/>
      <c r="U41" s="30"/>
      <c r="V41" s="30" t="s">
        <v>480</v>
      </c>
    </row>
    <row r="42">
      <c r="A42" s="30" t="s">
        <v>363</v>
      </c>
      <c r="B42" s="30" t="s">
        <v>364</v>
      </c>
      <c r="C42" s="30" t="s">
        <v>365</v>
      </c>
      <c r="D42" s="30"/>
      <c r="E42" s="30"/>
      <c r="F42" s="30"/>
      <c r="G42" s="23" t="s">
        <v>275</v>
      </c>
      <c r="H42" s="30" t="s">
        <v>481</v>
      </c>
      <c r="I42" s="38">
        <f t="shared" si="1"/>
        <v>38</v>
      </c>
      <c r="J42" s="39" t="s">
        <v>368</v>
      </c>
      <c r="K42" s="30" t="s">
        <v>479</v>
      </c>
      <c r="L42" s="39" t="str">
        <f t="shared" si="2"/>
        <v>2895.6 x 121.92 x 12</v>
      </c>
      <c r="M42" s="38">
        <v>1.5</v>
      </c>
      <c r="N42" s="38">
        <v>1.5</v>
      </c>
      <c r="O42" s="38">
        <v>3.9269099E7</v>
      </c>
      <c r="P42" s="38">
        <v>1.0</v>
      </c>
      <c r="Q42" s="39" t="s">
        <v>370</v>
      </c>
      <c r="R42" s="40">
        <v>670.4406779661017</v>
      </c>
      <c r="S42" s="19">
        <v>1500.0</v>
      </c>
      <c r="T42" s="42"/>
      <c r="U42" s="30"/>
      <c r="V42" s="30" t="s">
        <v>482</v>
      </c>
    </row>
    <row r="43">
      <c r="A43" s="30" t="s">
        <v>363</v>
      </c>
      <c r="B43" s="30" t="s">
        <v>364</v>
      </c>
      <c r="C43" s="30" t="s">
        <v>365</v>
      </c>
      <c r="D43" s="30"/>
      <c r="E43" s="30"/>
      <c r="F43" s="30"/>
      <c r="G43" s="23" t="s">
        <v>226</v>
      </c>
      <c r="H43" s="30" t="s">
        <v>483</v>
      </c>
      <c r="I43" s="38">
        <f t="shared" si="1"/>
        <v>36</v>
      </c>
      <c r="J43" s="39" t="s">
        <v>368</v>
      </c>
      <c r="K43" s="30" t="s">
        <v>479</v>
      </c>
      <c r="L43" s="39" t="str">
        <f t="shared" si="2"/>
        <v>2895.6 x 121.92 x 12</v>
      </c>
      <c r="M43" s="38">
        <v>1.5</v>
      </c>
      <c r="N43" s="38">
        <v>1.5</v>
      </c>
      <c r="O43" s="38">
        <v>3.925909E7</v>
      </c>
      <c r="P43" s="38">
        <v>1.0</v>
      </c>
      <c r="Q43" s="39" t="s">
        <v>370</v>
      </c>
      <c r="R43" s="40">
        <v>819.5932203389831</v>
      </c>
      <c r="S43" s="19">
        <f>2000</f>
        <v>2000</v>
      </c>
      <c r="T43" s="42"/>
      <c r="U43" s="30"/>
      <c r="V43" s="30" t="s">
        <v>484</v>
      </c>
    </row>
    <row r="44">
      <c r="A44" s="30" t="s">
        <v>363</v>
      </c>
      <c r="B44" s="30" t="s">
        <v>364</v>
      </c>
      <c r="C44" s="30" t="s">
        <v>365</v>
      </c>
      <c r="D44" s="30"/>
      <c r="E44" s="30"/>
      <c r="F44" s="30"/>
      <c r="G44" s="23" t="s">
        <v>290</v>
      </c>
      <c r="H44" s="30" t="s">
        <v>485</v>
      </c>
      <c r="I44" s="38">
        <f t="shared" si="1"/>
        <v>32</v>
      </c>
      <c r="J44" s="39" t="s">
        <v>368</v>
      </c>
      <c r="K44" s="30" t="s">
        <v>479</v>
      </c>
      <c r="L44" s="39" t="str">
        <f t="shared" si="2"/>
        <v>2895.6 x 121.92 x 12</v>
      </c>
      <c r="M44" s="38">
        <v>1.5</v>
      </c>
      <c r="N44" s="38">
        <v>1.5</v>
      </c>
      <c r="O44" s="38">
        <v>3.925909E7</v>
      </c>
      <c r="P44" s="38">
        <v>1.0</v>
      </c>
      <c r="Q44" s="39" t="s">
        <v>370</v>
      </c>
      <c r="R44" s="40">
        <v>745.0847457627119</v>
      </c>
      <c r="S44" s="19">
        <f>1500</f>
        <v>1500</v>
      </c>
      <c r="T44" s="42"/>
      <c r="U44" s="30"/>
      <c r="V44" s="30" t="s">
        <v>486</v>
      </c>
    </row>
    <row r="45">
      <c r="A45" s="30" t="s">
        <v>363</v>
      </c>
      <c r="B45" s="30" t="s">
        <v>364</v>
      </c>
      <c r="C45" s="30" t="s">
        <v>365</v>
      </c>
      <c r="D45" s="30"/>
      <c r="E45" s="30"/>
      <c r="F45" s="30"/>
      <c r="G45" s="23" t="s">
        <v>487</v>
      </c>
      <c r="H45" s="30" t="s">
        <v>488</v>
      </c>
      <c r="I45" s="38">
        <f t="shared" si="1"/>
        <v>36</v>
      </c>
      <c r="J45" s="39" t="s">
        <v>368</v>
      </c>
      <c r="K45" s="30" t="s">
        <v>479</v>
      </c>
      <c r="L45" s="39" t="str">
        <f t="shared" si="2"/>
        <v>2895.6 x 121.92 x 12</v>
      </c>
      <c r="M45" s="38">
        <v>1.5</v>
      </c>
      <c r="N45" s="38">
        <v>1.5</v>
      </c>
      <c r="O45" s="38">
        <v>392111.0</v>
      </c>
      <c r="P45" s="38">
        <v>1.0</v>
      </c>
      <c r="Q45" s="39" t="s">
        <v>370</v>
      </c>
      <c r="R45" s="40">
        <v>968.7457627118644</v>
      </c>
      <c r="S45" s="19">
        <f>2000</f>
        <v>2000</v>
      </c>
      <c r="T45" s="42"/>
      <c r="U45" s="30"/>
      <c r="V45" s="30" t="s">
        <v>489</v>
      </c>
    </row>
    <row r="46">
      <c r="A46" s="30" t="s">
        <v>363</v>
      </c>
      <c r="B46" s="30" t="s">
        <v>364</v>
      </c>
      <c r="C46" s="30" t="s">
        <v>365</v>
      </c>
      <c r="D46" s="30"/>
      <c r="E46" s="30"/>
      <c r="F46" s="30"/>
      <c r="G46" s="23" t="s">
        <v>490</v>
      </c>
      <c r="H46" s="30" t="s">
        <v>491</v>
      </c>
      <c r="I46" s="38">
        <f t="shared" si="1"/>
        <v>31</v>
      </c>
      <c r="J46" s="39" t="s">
        <v>368</v>
      </c>
      <c r="K46" s="30" t="s">
        <v>479</v>
      </c>
      <c r="L46" s="39" t="str">
        <f t="shared" si="2"/>
        <v>2895.6 x 121.92 x 12</v>
      </c>
      <c r="M46" s="38">
        <v>1.5</v>
      </c>
      <c r="N46" s="38">
        <v>1.5</v>
      </c>
      <c r="O46" s="38">
        <v>3.9269099E7</v>
      </c>
      <c r="P46" s="38">
        <v>1.0</v>
      </c>
      <c r="Q46" s="39" t="s">
        <v>370</v>
      </c>
      <c r="R46" s="40">
        <v>595.8644067796611</v>
      </c>
      <c r="S46" s="19">
        <v>1500.0</v>
      </c>
      <c r="T46" s="42"/>
      <c r="U46" s="30"/>
      <c r="V46" s="30" t="s">
        <v>492</v>
      </c>
    </row>
    <row r="47">
      <c r="A47" s="30" t="s">
        <v>363</v>
      </c>
      <c r="B47" s="30" t="s">
        <v>364</v>
      </c>
      <c r="C47" s="30" t="s">
        <v>365</v>
      </c>
      <c r="D47" s="30"/>
      <c r="E47" s="30"/>
      <c r="F47" s="30"/>
      <c r="G47" s="23" t="s">
        <v>493</v>
      </c>
      <c r="H47" s="30" t="s">
        <v>494</v>
      </c>
      <c r="I47" s="38">
        <f t="shared" si="1"/>
        <v>36</v>
      </c>
      <c r="J47" s="39" t="s">
        <v>368</v>
      </c>
      <c r="K47" s="30" t="s">
        <v>479</v>
      </c>
      <c r="L47" s="39" t="str">
        <f t="shared" si="2"/>
        <v>2895.6 x 121.92 x 12</v>
      </c>
      <c r="M47" s="38">
        <v>1.5</v>
      </c>
      <c r="N47" s="38">
        <v>1.5</v>
      </c>
      <c r="O47" s="38">
        <v>3.9269099E7</v>
      </c>
      <c r="P47" s="38">
        <v>1.0</v>
      </c>
      <c r="Q47" s="39" t="s">
        <v>370</v>
      </c>
      <c r="R47" s="40">
        <v>1043.322033898305</v>
      </c>
      <c r="S47" s="19">
        <v>2500.0</v>
      </c>
      <c r="T47" s="42"/>
      <c r="U47" s="30"/>
      <c r="V47" s="30" t="s">
        <v>495</v>
      </c>
    </row>
    <row r="48">
      <c r="A48" s="30" t="s">
        <v>363</v>
      </c>
      <c r="B48" s="30" t="s">
        <v>364</v>
      </c>
      <c r="C48" s="30" t="s">
        <v>365</v>
      </c>
      <c r="D48" s="30"/>
      <c r="E48" s="30"/>
      <c r="F48" s="30"/>
      <c r="G48" s="23" t="s">
        <v>496</v>
      </c>
      <c r="H48" s="30" t="s">
        <v>497</v>
      </c>
      <c r="I48" s="38">
        <f t="shared" si="1"/>
        <v>38</v>
      </c>
      <c r="J48" s="39" t="s">
        <v>368</v>
      </c>
      <c r="K48" s="30" t="s">
        <v>397</v>
      </c>
      <c r="L48" s="39" t="str">
        <f t="shared" si="2"/>
        <v>2438.4 x 127 x 12</v>
      </c>
      <c r="M48" s="38">
        <v>1.5</v>
      </c>
      <c r="N48" s="38">
        <v>1.5</v>
      </c>
      <c r="O48" s="38">
        <v>3.9269099E7</v>
      </c>
      <c r="P48" s="38">
        <v>1.0</v>
      </c>
      <c r="Q48" s="39" t="s">
        <v>370</v>
      </c>
      <c r="R48" s="40">
        <v>1043.322033898305</v>
      </c>
      <c r="S48" s="19">
        <v>2500.0</v>
      </c>
      <c r="T48" s="42"/>
      <c r="U48" s="30"/>
      <c r="V48" s="30" t="s">
        <v>498</v>
      </c>
    </row>
    <row r="49">
      <c r="A49" s="30" t="s">
        <v>363</v>
      </c>
      <c r="B49" s="30" t="s">
        <v>364</v>
      </c>
      <c r="C49" s="30" t="s">
        <v>365</v>
      </c>
      <c r="D49" s="30"/>
      <c r="E49" s="30"/>
      <c r="F49" s="30"/>
      <c r="G49" s="23" t="s">
        <v>499</v>
      </c>
      <c r="H49" s="30" t="s">
        <v>500</v>
      </c>
      <c r="I49" s="38">
        <f t="shared" si="1"/>
        <v>31</v>
      </c>
      <c r="J49" s="39" t="s">
        <v>368</v>
      </c>
      <c r="K49" s="30" t="s">
        <v>397</v>
      </c>
      <c r="L49" s="39" t="str">
        <f t="shared" si="2"/>
        <v>2438.4 x 127 x 12</v>
      </c>
      <c r="M49" s="38">
        <v>1.5</v>
      </c>
      <c r="N49" s="38">
        <v>1.5</v>
      </c>
      <c r="O49" s="38">
        <v>3.9269099E7</v>
      </c>
      <c r="P49" s="38">
        <v>1.0</v>
      </c>
      <c r="Q49" s="39" t="s">
        <v>370</v>
      </c>
      <c r="R49" s="40">
        <v>677.2881355932204</v>
      </c>
      <c r="S49" s="19">
        <f>1500</f>
        <v>1500</v>
      </c>
      <c r="T49" s="42"/>
      <c r="U49" s="30"/>
      <c r="V49" s="30" t="s">
        <v>501</v>
      </c>
    </row>
    <row r="50">
      <c r="A50" s="30" t="s">
        <v>363</v>
      </c>
      <c r="B50" s="30" t="s">
        <v>364</v>
      </c>
      <c r="C50" s="30" t="s">
        <v>365</v>
      </c>
      <c r="D50" s="30"/>
      <c r="E50" s="30"/>
      <c r="F50" s="30"/>
      <c r="G50" s="23" t="s">
        <v>502</v>
      </c>
      <c r="H50" s="30" t="s">
        <v>503</v>
      </c>
      <c r="I50" s="38">
        <f t="shared" si="1"/>
        <v>37</v>
      </c>
      <c r="J50" s="39" t="s">
        <v>368</v>
      </c>
      <c r="K50" s="30" t="s">
        <v>397</v>
      </c>
      <c r="L50" s="39" t="str">
        <f t="shared" si="2"/>
        <v>2438.4 x 127 x 12</v>
      </c>
      <c r="M50" s="38">
        <v>1.5</v>
      </c>
      <c r="N50" s="38">
        <v>1.5</v>
      </c>
      <c r="O50" s="38">
        <v>3.9269099E7</v>
      </c>
      <c r="P50" s="38">
        <v>1.0</v>
      </c>
      <c r="Q50" s="39" t="s">
        <v>370</v>
      </c>
      <c r="R50" s="40">
        <v>595.8644067796611</v>
      </c>
      <c r="S50" s="19">
        <v>1500.0</v>
      </c>
      <c r="T50" s="42"/>
      <c r="U50" s="30"/>
      <c r="V50" s="30" t="s">
        <v>504</v>
      </c>
    </row>
    <row r="51">
      <c r="A51" s="30" t="s">
        <v>363</v>
      </c>
      <c r="B51" s="30" t="s">
        <v>364</v>
      </c>
      <c r="C51" s="30" t="s">
        <v>365</v>
      </c>
      <c r="D51" s="30"/>
      <c r="E51" s="30"/>
      <c r="F51" s="30"/>
      <c r="G51" s="23" t="s">
        <v>505</v>
      </c>
      <c r="H51" s="30" t="s">
        <v>506</v>
      </c>
      <c r="I51" s="38">
        <f t="shared" si="1"/>
        <v>36</v>
      </c>
      <c r="J51" s="39" t="s">
        <v>368</v>
      </c>
      <c r="K51" s="30" t="s">
        <v>407</v>
      </c>
      <c r="L51" s="39" t="str">
        <f t="shared" si="2"/>
        <v>2438.4 x 127 x 11</v>
      </c>
      <c r="M51" s="38">
        <v>1.5</v>
      </c>
      <c r="N51" s="38">
        <v>1.5</v>
      </c>
      <c r="O51" s="38">
        <v>3.9269099E7</v>
      </c>
      <c r="P51" s="38">
        <v>1.0</v>
      </c>
      <c r="Q51" s="39" t="s">
        <v>370</v>
      </c>
      <c r="R51" s="40">
        <v>595.8644067796611</v>
      </c>
      <c r="S51" s="19">
        <v>1500.0</v>
      </c>
      <c r="T51" s="42"/>
      <c r="U51" s="30"/>
      <c r="V51" s="30" t="s">
        <v>507</v>
      </c>
    </row>
    <row r="52">
      <c r="A52" s="30" t="s">
        <v>363</v>
      </c>
      <c r="B52" s="30" t="s">
        <v>364</v>
      </c>
      <c r="C52" s="30" t="s">
        <v>365</v>
      </c>
      <c r="D52" s="30"/>
      <c r="E52" s="30"/>
      <c r="F52" s="30"/>
      <c r="G52" s="23" t="s">
        <v>233</v>
      </c>
      <c r="H52" s="30" t="s">
        <v>508</v>
      </c>
      <c r="I52" s="38">
        <f t="shared" si="1"/>
        <v>38</v>
      </c>
      <c r="J52" s="39" t="s">
        <v>368</v>
      </c>
      <c r="K52" s="30" t="s">
        <v>407</v>
      </c>
      <c r="L52" s="39" t="str">
        <f t="shared" si="2"/>
        <v>2438.4 x 127 x 11</v>
      </c>
      <c r="M52" s="38">
        <v>1.5</v>
      </c>
      <c r="N52" s="38">
        <v>1.5</v>
      </c>
      <c r="O52" s="38">
        <v>3.9269099E7</v>
      </c>
      <c r="P52" s="38">
        <v>1.0</v>
      </c>
      <c r="Q52" s="39" t="s">
        <v>370</v>
      </c>
      <c r="R52" s="40">
        <v>670.4406779661017</v>
      </c>
      <c r="S52" s="19">
        <v>1500.0</v>
      </c>
      <c r="T52" s="42"/>
      <c r="U52" s="30"/>
      <c r="V52" s="30" t="s">
        <v>509</v>
      </c>
    </row>
    <row r="53">
      <c r="A53" s="30" t="s">
        <v>363</v>
      </c>
      <c r="B53" s="30" t="s">
        <v>364</v>
      </c>
      <c r="C53" s="30" t="s">
        <v>365</v>
      </c>
      <c r="D53" s="30"/>
      <c r="E53" s="30"/>
      <c r="F53" s="30"/>
      <c r="G53" s="23" t="s">
        <v>510</v>
      </c>
      <c r="H53" s="30" t="s">
        <v>511</v>
      </c>
      <c r="I53" s="38">
        <f t="shared" si="1"/>
        <v>32</v>
      </c>
      <c r="J53" s="39" t="s">
        <v>368</v>
      </c>
      <c r="K53" s="30" t="s">
        <v>407</v>
      </c>
      <c r="L53" s="39" t="str">
        <f t="shared" si="2"/>
        <v>2438.4 x 127 x 11</v>
      </c>
      <c r="M53" s="38">
        <v>1.5</v>
      </c>
      <c r="N53" s="38">
        <v>1.5</v>
      </c>
      <c r="O53" s="38">
        <v>3.9269099E7</v>
      </c>
      <c r="P53" s="38">
        <v>1.0</v>
      </c>
      <c r="Q53" s="39" t="s">
        <v>370</v>
      </c>
      <c r="R53" s="40">
        <v>670.4406779661017</v>
      </c>
      <c r="S53" s="19">
        <v>1500.0</v>
      </c>
      <c r="T53" s="42"/>
      <c r="U53" s="30"/>
      <c r="V53" s="30" t="s">
        <v>512</v>
      </c>
    </row>
    <row r="54">
      <c r="A54" s="30" t="s">
        <v>363</v>
      </c>
      <c r="B54" s="30" t="s">
        <v>364</v>
      </c>
      <c r="C54" s="30" t="s">
        <v>365</v>
      </c>
      <c r="D54" s="30"/>
      <c r="E54" s="30"/>
      <c r="F54" s="30"/>
      <c r="G54" s="23" t="s">
        <v>513</v>
      </c>
      <c r="H54" s="30" t="s">
        <v>514</v>
      </c>
      <c r="I54" s="38">
        <f t="shared" si="1"/>
        <v>37</v>
      </c>
      <c r="J54" s="39" t="s">
        <v>368</v>
      </c>
      <c r="K54" s="30" t="s">
        <v>407</v>
      </c>
      <c r="L54" s="39" t="str">
        <f t="shared" si="2"/>
        <v>2438.4 x 127 x 11</v>
      </c>
      <c r="M54" s="38">
        <v>1.5</v>
      </c>
      <c r="N54" s="38">
        <v>1.5</v>
      </c>
      <c r="O54" s="38">
        <v>3.9269099E7</v>
      </c>
      <c r="P54" s="38">
        <v>1.0</v>
      </c>
      <c r="Q54" s="39" t="s">
        <v>370</v>
      </c>
      <c r="R54" s="40">
        <v>948.4745762711865</v>
      </c>
      <c r="S54" s="19">
        <f>2000</f>
        <v>2000</v>
      </c>
      <c r="T54" s="42"/>
      <c r="U54" s="30"/>
      <c r="V54" s="30" t="s">
        <v>515</v>
      </c>
    </row>
    <row r="55">
      <c r="A55" s="30" t="s">
        <v>363</v>
      </c>
      <c r="B55" s="30" t="s">
        <v>364</v>
      </c>
      <c r="C55" s="30" t="s">
        <v>365</v>
      </c>
      <c r="D55" s="30"/>
      <c r="E55" s="30"/>
      <c r="F55" s="30"/>
      <c r="G55" s="23" t="s">
        <v>516</v>
      </c>
      <c r="H55" s="30" t="s">
        <v>517</v>
      </c>
      <c r="I55" s="38">
        <f t="shared" si="1"/>
        <v>35</v>
      </c>
      <c r="J55" s="39" t="s">
        <v>368</v>
      </c>
      <c r="K55" s="30" t="s">
        <v>407</v>
      </c>
      <c r="L55" s="39" t="str">
        <f t="shared" si="2"/>
        <v>2438.4 x 127 x 11</v>
      </c>
      <c r="M55" s="38">
        <v>1.5</v>
      </c>
      <c r="N55" s="38">
        <v>1.5</v>
      </c>
      <c r="O55" s="38">
        <v>3.9269099E7</v>
      </c>
      <c r="P55" s="38">
        <v>1.0</v>
      </c>
      <c r="Q55" s="39" t="s">
        <v>370</v>
      </c>
      <c r="R55" s="40">
        <v>1043.322033898305</v>
      </c>
      <c r="S55" s="19">
        <v>2500.0</v>
      </c>
      <c r="T55" s="42"/>
      <c r="U55" s="30"/>
      <c r="V55" s="30" t="s">
        <v>518</v>
      </c>
    </row>
    <row r="56">
      <c r="A56" s="30" t="s">
        <v>363</v>
      </c>
      <c r="B56" s="30" t="s">
        <v>364</v>
      </c>
      <c r="C56" s="30" t="s">
        <v>365</v>
      </c>
      <c r="D56" s="30"/>
      <c r="E56" s="30"/>
      <c r="F56" s="30"/>
      <c r="G56" s="23" t="s">
        <v>228</v>
      </c>
      <c r="H56" s="30" t="s">
        <v>519</v>
      </c>
      <c r="I56" s="38">
        <f t="shared" si="1"/>
        <v>38</v>
      </c>
      <c r="J56" s="39" t="s">
        <v>368</v>
      </c>
      <c r="K56" s="30" t="s">
        <v>407</v>
      </c>
      <c r="L56" s="39" t="str">
        <f t="shared" si="2"/>
        <v>2438.4 x 127 x 11</v>
      </c>
      <c r="M56" s="38">
        <v>1.5</v>
      </c>
      <c r="N56" s="38">
        <v>1.5</v>
      </c>
      <c r="O56" s="38">
        <v>392111.0</v>
      </c>
      <c r="P56" s="38">
        <v>1.0</v>
      </c>
      <c r="Q56" s="39" t="s">
        <v>370</v>
      </c>
      <c r="R56" s="40">
        <v>968.7457627118644</v>
      </c>
      <c r="S56" s="19">
        <f t="shared" ref="S56:S58" si="5">2000</f>
        <v>2000</v>
      </c>
      <c r="T56" s="42"/>
      <c r="U56" s="30"/>
      <c r="V56" s="30" t="s">
        <v>520</v>
      </c>
    </row>
    <row r="57">
      <c r="A57" s="30" t="s">
        <v>363</v>
      </c>
      <c r="B57" s="30" t="s">
        <v>364</v>
      </c>
      <c r="C57" s="30" t="s">
        <v>365</v>
      </c>
      <c r="D57" s="30"/>
      <c r="E57" s="30"/>
      <c r="F57" s="30"/>
      <c r="G57" s="23" t="s">
        <v>521</v>
      </c>
      <c r="H57" s="30" t="s">
        <v>522</v>
      </c>
      <c r="I57" s="38">
        <f t="shared" si="1"/>
        <v>38</v>
      </c>
      <c r="J57" s="39" t="s">
        <v>368</v>
      </c>
      <c r="K57" s="30" t="s">
        <v>407</v>
      </c>
      <c r="L57" s="39" t="str">
        <f t="shared" si="2"/>
        <v>2438.4 x 127 x 11</v>
      </c>
      <c r="M57" s="38">
        <v>1.5</v>
      </c>
      <c r="N57" s="38">
        <v>1.5</v>
      </c>
      <c r="O57" s="38">
        <v>392111.0</v>
      </c>
      <c r="P57" s="38">
        <v>1.0</v>
      </c>
      <c r="Q57" s="39" t="s">
        <v>370</v>
      </c>
      <c r="R57" s="40">
        <v>968.7457627118644</v>
      </c>
      <c r="S57" s="19">
        <f t="shared" si="5"/>
        <v>2000</v>
      </c>
      <c r="T57" s="42"/>
      <c r="U57" s="30"/>
      <c r="V57" s="30" t="s">
        <v>523</v>
      </c>
    </row>
    <row r="58">
      <c r="A58" s="30" t="s">
        <v>363</v>
      </c>
      <c r="B58" s="30" t="s">
        <v>364</v>
      </c>
      <c r="C58" s="30" t="s">
        <v>365</v>
      </c>
      <c r="D58" s="30"/>
      <c r="E58" s="30"/>
      <c r="F58" s="30"/>
      <c r="G58" s="23" t="s">
        <v>524</v>
      </c>
      <c r="H58" s="30" t="s">
        <v>525</v>
      </c>
      <c r="I58" s="38">
        <f t="shared" si="1"/>
        <v>37</v>
      </c>
      <c r="J58" s="39" t="s">
        <v>368</v>
      </c>
      <c r="K58" s="30" t="s">
        <v>407</v>
      </c>
      <c r="L58" s="39" t="str">
        <f t="shared" si="2"/>
        <v>2438.4 x 127 x 11</v>
      </c>
      <c r="M58" s="38">
        <v>1.5</v>
      </c>
      <c r="N58" s="38">
        <v>1.5</v>
      </c>
      <c r="O58" s="38">
        <v>392111.0</v>
      </c>
      <c r="P58" s="38">
        <v>1.0</v>
      </c>
      <c r="Q58" s="39" t="s">
        <v>370</v>
      </c>
      <c r="R58" s="40">
        <v>968.7457627118644</v>
      </c>
      <c r="S58" s="19">
        <f t="shared" si="5"/>
        <v>2000</v>
      </c>
      <c r="T58" s="42"/>
      <c r="U58" s="30"/>
      <c r="V58" s="30" t="s">
        <v>526</v>
      </c>
    </row>
    <row r="59">
      <c r="A59" s="30" t="s">
        <v>363</v>
      </c>
      <c r="B59" s="30" t="s">
        <v>364</v>
      </c>
      <c r="C59" s="30" t="s">
        <v>365</v>
      </c>
      <c r="D59" s="30"/>
      <c r="E59" s="30"/>
      <c r="F59" s="30"/>
      <c r="G59" s="23" t="s">
        <v>527</v>
      </c>
      <c r="H59" s="30" t="s">
        <v>528</v>
      </c>
      <c r="I59" s="38">
        <f t="shared" si="1"/>
        <v>35</v>
      </c>
      <c r="J59" s="39" t="s">
        <v>368</v>
      </c>
      <c r="K59" s="30" t="s">
        <v>407</v>
      </c>
      <c r="L59" s="39" t="str">
        <f t="shared" si="2"/>
        <v>2438.4 x 127 x 11</v>
      </c>
      <c r="M59" s="38">
        <v>1.5</v>
      </c>
      <c r="N59" s="38">
        <v>1.5</v>
      </c>
      <c r="O59" s="38">
        <v>392111.0</v>
      </c>
      <c r="P59" s="38">
        <v>1.0</v>
      </c>
      <c r="Q59" s="39" t="s">
        <v>370</v>
      </c>
      <c r="R59" s="40">
        <v>670.4406779661017</v>
      </c>
      <c r="S59" s="19">
        <v>1500.0</v>
      </c>
      <c r="T59" s="42"/>
      <c r="U59" s="30"/>
      <c r="V59" s="30" t="s">
        <v>529</v>
      </c>
    </row>
    <row r="60">
      <c r="A60" s="30" t="s">
        <v>363</v>
      </c>
      <c r="B60" s="30" t="s">
        <v>364</v>
      </c>
      <c r="C60" s="30" t="s">
        <v>365</v>
      </c>
      <c r="D60" s="30"/>
      <c r="E60" s="30"/>
      <c r="F60" s="30"/>
      <c r="G60" s="23" t="s">
        <v>530</v>
      </c>
      <c r="H60" s="30" t="s">
        <v>531</v>
      </c>
      <c r="I60" s="38">
        <f t="shared" si="1"/>
        <v>36</v>
      </c>
      <c r="J60" s="39" t="s">
        <v>368</v>
      </c>
      <c r="K60" s="30" t="s">
        <v>532</v>
      </c>
      <c r="L60" s="39" t="str">
        <f t="shared" si="2"/>
        <v>2438.4 x 203.2 x 14</v>
      </c>
      <c r="M60" s="38">
        <v>1.5</v>
      </c>
      <c r="N60" s="38">
        <v>1.5</v>
      </c>
      <c r="O60" s="38">
        <v>3.9269099E7</v>
      </c>
      <c r="P60" s="38">
        <v>1.0</v>
      </c>
      <c r="Q60" s="39" t="s">
        <v>370</v>
      </c>
      <c r="R60" s="40">
        <v>595.8644067796611</v>
      </c>
      <c r="S60" s="19">
        <v>1500.0</v>
      </c>
      <c r="T60" s="42"/>
      <c r="U60" s="30"/>
      <c r="V60" s="30" t="s">
        <v>533</v>
      </c>
    </row>
    <row r="61">
      <c r="A61" s="30" t="s">
        <v>363</v>
      </c>
      <c r="B61" s="30" t="s">
        <v>364</v>
      </c>
      <c r="C61" s="30" t="s">
        <v>365</v>
      </c>
      <c r="D61" s="30"/>
      <c r="E61" s="30"/>
      <c r="F61" s="30"/>
      <c r="G61" s="23" t="s">
        <v>272</v>
      </c>
      <c r="H61" s="30" t="s">
        <v>534</v>
      </c>
      <c r="I61" s="38">
        <f t="shared" si="1"/>
        <v>36</v>
      </c>
      <c r="J61" s="39" t="s">
        <v>368</v>
      </c>
      <c r="K61" s="30" t="s">
        <v>532</v>
      </c>
      <c r="L61" s="39" t="str">
        <f t="shared" si="2"/>
        <v>2438.4 x 203.2 x 14</v>
      </c>
      <c r="M61" s="38">
        <v>1.5</v>
      </c>
      <c r="N61" s="38">
        <v>1.5</v>
      </c>
      <c r="O61" s="38">
        <v>3.9269099E7</v>
      </c>
      <c r="P61" s="38">
        <v>1.0</v>
      </c>
      <c r="Q61" s="39" t="s">
        <v>370</v>
      </c>
      <c r="R61" s="40">
        <v>677.2881355932204</v>
      </c>
      <c r="S61" s="19">
        <f t="shared" ref="S61:S62" si="6">1500</f>
        <v>1500</v>
      </c>
      <c r="T61" s="42"/>
      <c r="U61" s="30"/>
      <c r="V61" s="30" t="s">
        <v>535</v>
      </c>
    </row>
    <row r="62">
      <c r="A62" s="30" t="s">
        <v>363</v>
      </c>
      <c r="B62" s="30" t="s">
        <v>364</v>
      </c>
      <c r="C62" s="30" t="s">
        <v>365</v>
      </c>
      <c r="D62" s="30"/>
      <c r="E62" s="30"/>
      <c r="F62" s="30"/>
      <c r="G62" s="23" t="s">
        <v>536</v>
      </c>
      <c r="H62" s="30" t="s">
        <v>537</v>
      </c>
      <c r="I62" s="38">
        <f t="shared" si="1"/>
        <v>37</v>
      </c>
      <c r="J62" s="39" t="s">
        <v>368</v>
      </c>
      <c r="K62" s="30" t="s">
        <v>532</v>
      </c>
      <c r="L62" s="39" t="str">
        <f t="shared" si="2"/>
        <v>2438.4 x 203.2 x 14</v>
      </c>
      <c r="M62" s="38">
        <v>1.5</v>
      </c>
      <c r="N62" s="38">
        <v>1.5</v>
      </c>
      <c r="O62" s="38">
        <v>3.9269099E7</v>
      </c>
      <c r="P62" s="38">
        <v>1.0</v>
      </c>
      <c r="Q62" s="39" t="s">
        <v>370</v>
      </c>
      <c r="R62" s="40">
        <v>677.2881355932204</v>
      </c>
      <c r="S62" s="19">
        <f t="shared" si="6"/>
        <v>1500</v>
      </c>
      <c r="T62" s="42"/>
      <c r="U62" s="30"/>
      <c r="V62" s="30" t="s">
        <v>538</v>
      </c>
    </row>
    <row r="63">
      <c r="A63" s="30" t="s">
        <v>363</v>
      </c>
      <c r="B63" s="30" t="s">
        <v>364</v>
      </c>
      <c r="C63" s="30" t="s">
        <v>365</v>
      </c>
      <c r="D63" s="30"/>
      <c r="E63" s="30"/>
      <c r="F63" s="30"/>
      <c r="G63" s="23" t="s">
        <v>539</v>
      </c>
      <c r="H63" s="30" t="s">
        <v>540</v>
      </c>
      <c r="I63" s="38">
        <f t="shared" si="1"/>
        <v>36</v>
      </c>
      <c r="J63" s="39" t="s">
        <v>368</v>
      </c>
      <c r="K63" s="30" t="s">
        <v>541</v>
      </c>
      <c r="L63" s="39" t="str">
        <f t="shared" si="2"/>
        <v>2438.4 x 149.86 x 8</v>
      </c>
      <c r="M63" s="38">
        <v>1.5</v>
      </c>
      <c r="N63" s="38">
        <v>1.5</v>
      </c>
      <c r="O63" s="38">
        <v>3.9269099E7</v>
      </c>
      <c r="P63" s="38">
        <v>1.0</v>
      </c>
      <c r="Q63" s="39" t="s">
        <v>370</v>
      </c>
      <c r="R63" s="40">
        <v>1161.1016949152543</v>
      </c>
      <c r="S63" s="19">
        <f>2500</f>
        <v>2500</v>
      </c>
      <c r="T63" s="42"/>
      <c r="U63" s="30"/>
      <c r="V63" s="30" t="s">
        <v>542</v>
      </c>
    </row>
    <row r="64">
      <c r="A64" s="30" t="s">
        <v>363</v>
      </c>
      <c r="B64" s="30" t="s">
        <v>364</v>
      </c>
      <c r="C64" s="30" t="s">
        <v>365</v>
      </c>
      <c r="D64" s="30"/>
      <c r="E64" s="30"/>
      <c r="F64" s="30"/>
      <c r="G64" s="23" t="s">
        <v>281</v>
      </c>
      <c r="H64" s="30" t="s">
        <v>543</v>
      </c>
      <c r="I64" s="38">
        <f t="shared" si="1"/>
        <v>38</v>
      </c>
      <c r="J64" s="39" t="s">
        <v>368</v>
      </c>
      <c r="K64" s="30" t="s">
        <v>532</v>
      </c>
      <c r="L64" s="39" t="str">
        <f t="shared" si="2"/>
        <v>2438.4 x 203.2 x 14</v>
      </c>
      <c r="M64" s="38">
        <v>1.5</v>
      </c>
      <c r="N64" s="38">
        <v>1.5</v>
      </c>
      <c r="O64" s="38">
        <v>3.9269099E7</v>
      </c>
      <c r="P64" s="38">
        <v>1.0</v>
      </c>
      <c r="Q64" s="39" t="s">
        <v>370</v>
      </c>
      <c r="R64" s="40">
        <v>595.8644067796611</v>
      </c>
      <c r="S64" s="19">
        <v>1500.0</v>
      </c>
      <c r="T64" s="42"/>
      <c r="U64" s="30"/>
      <c r="V64" s="30" t="s">
        <v>544</v>
      </c>
    </row>
    <row r="65">
      <c r="A65" s="30" t="s">
        <v>363</v>
      </c>
      <c r="B65" s="30" t="s">
        <v>364</v>
      </c>
      <c r="C65" s="30" t="s">
        <v>365</v>
      </c>
      <c r="D65" s="30"/>
      <c r="E65" s="30"/>
      <c r="F65" s="30"/>
      <c r="G65" s="23" t="s">
        <v>545</v>
      </c>
      <c r="H65" s="30" t="s">
        <v>546</v>
      </c>
      <c r="I65" s="38">
        <f t="shared" si="1"/>
        <v>32</v>
      </c>
      <c r="J65" s="39" t="s">
        <v>368</v>
      </c>
      <c r="K65" s="30" t="s">
        <v>532</v>
      </c>
      <c r="L65" s="39" t="str">
        <f t="shared" si="2"/>
        <v>2438.4 x 203.2 x 14</v>
      </c>
      <c r="M65" s="38">
        <v>1.5</v>
      </c>
      <c r="N65" s="38">
        <v>1.5</v>
      </c>
      <c r="O65" s="38">
        <v>3.9269099E7</v>
      </c>
      <c r="P65" s="38">
        <v>1.0</v>
      </c>
      <c r="Q65" s="39" t="s">
        <v>370</v>
      </c>
      <c r="R65" s="40">
        <v>609.4915254237288</v>
      </c>
      <c r="S65" s="19">
        <v>1500.0</v>
      </c>
      <c r="T65" s="42"/>
      <c r="U65" s="30"/>
      <c r="V65" s="30" t="s">
        <v>547</v>
      </c>
    </row>
    <row r="66">
      <c r="A66" s="30" t="s">
        <v>363</v>
      </c>
      <c r="B66" s="30" t="s">
        <v>364</v>
      </c>
      <c r="C66" s="30" t="s">
        <v>365</v>
      </c>
      <c r="D66" s="30"/>
      <c r="E66" s="30"/>
      <c r="F66" s="30"/>
      <c r="G66" s="23" t="s">
        <v>548</v>
      </c>
      <c r="H66" s="30" t="s">
        <v>549</v>
      </c>
      <c r="I66" s="38">
        <f t="shared" si="1"/>
        <v>31</v>
      </c>
      <c r="J66" s="39" t="s">
        <v>368</v>
      </c>
      <c r="K66" s="30" t="s">
        <v>532</v>
      </c>
      <c r="L66" s="39" t="str">
        <f t="shared" si="2"/>
        <v>2438.4 x 203.2 x 14</v>
      </c>
      <c r="M66" s="38">
        <v>1.5</v>
      </c>
      <c r="N66" s="38">
        <v>1.5</v>
      </c>
      <c r="O66" s="38">
        <v>3.9269099E7</v>
      </c>
      <c r="P66" s="38">
        <v>1.0</v>
      </c>
      <c r="Q66" s="39" t="s">
        <v>370</v>
      </c>
      <c r="R66" s="40">
        <v>595.8644067796611</v>
      </c>
      <c r="S66" s="19">
        <v>1500.0</v>
      </c>
      <c r="T66" s="42"/>
      <c r="U66" s="30"/>
      <c r="V66" s="30" t="s">
        <v>550</v>
      </c>
    </row>
    <row r="67">
      <c r="A67" s="30" t="s">
        <v>363</v>
      </c>
      <c r="B67" s="30" t="s">
        <v>364</v>
      </c>
      <c r="C67" s="30" t="s">
        <v>365</v>
      </c>
      <c r="D67" s="30"/>
      <c r="E67" s="30"/>
      <c r="F67" s="30"/>
      <c r="G67" s="23" t="s">
        <v>551</v>
      </c>
      <c r="H67" s="30" t="s">
        <v>552</v>
      </c>
      <c r="I67" s="38">
        <f t="shared" si="1"/>
        <v>36</v>
      </c>
      <c r="J67" s="39" t="s">
        <v>368</v>
      </c>
      <c r="K67" s="30" t="s">
        <v>553</v>
      </c>
      <c r="L67" s="39" t="str">
        <f t="shared" si="2"/>
        <v>2895.6 x 203.2 x 14</v>
      </c>
      <c r="M67" s="38">
        <v>1.5</v>
      </c>
      <c r="N67" s="38">
        <v>1.5</v>
      </c>
      <c r="O67" s="38">
        <v>3.9269099E7</v>
      </c>
      <c r="P67" s="38">
        <v>1.0</v>
      </c>
      <c r="Q67" s="39" t="s">
        <v>370</v>
      </c>
      <c r="R67" s="40">
        <v>609.4915254237288</v>
      </c>
      <c r="S67" s="19">
        <v>1500.0</v>
      </c>
      <c r="T67" s="42"/>
      <c r="U67" s="30"/>
      <c r="V67" s="30" t="s">
        <v>554</v>
      </c>
    </row>
    <row r="68">
      <c r="A68" s="30" t="s">
        <v>363</v>
      </c>
      <c r="B68" s="30" t="s">
        <v>364</v>
      </c>
      <c r="C68" s="30" t="s">
        <v>365</v>
      </c>
      <c r="D68" s="30"/>
      <c r="E68" s="30"/>
      <c r="F68" s="30"/>
      <c r="G68" s="23" t="s">
        <v>555</v>
      </c>
      <c r="H68" s="30" t="s">
        <v>556</v>
      </c>
      <c r="I68" s="38">
        <f t="shared" si="1"/>
        <v>32</v>
      </c>
      <c r="J68" s="39" t="s">
        <v>368</v>
      </c>
      <c r="K68" s="30" t="s">
        <v>553</v>
      </c>
      <c r="L68" s="39" t="str">
        <f t="shared" si="2"/>
        <v>2895.6 x 203.2 x 14</v>
      </c>
      <c r="M68" s="38">
        <v>1.5</v>
      </c>
      <c r="N68" s="38">
        <v>1.5</v>
      </c>
      <c r="O68" s="38">
        <v>3.9269099E7</v>
      </c>
      <c r="P68" s="38">
        <v>1.0</v>
      </c>
      <c r="Q68" s="39" t="s">
        <v>370</v>
      </c>
      <c r="R68" s="40">
        <v>595.8644067796611</v>
      </c>
      <c r="S68" s="19">
        <v>1500.0</v>
      </c>
      <c r="T68" s="42"/>
      <c r="U68" s="30"/>
      <c r="V68" s="30" t="s">
        <v>557</v>
      </c>
    </row>
    <row r="69">
      <c r="A69" s="30" t="s">
        <v>363</v>
      </c>
      <c r="B69" s="30" t="s">
        <v>364</v>
      </c>
      <c r="C69" s="30" t="s">
        <v>365</v>
      </c>
      <c r="D69" s="30"/>
      <c r="E69" s="30"/>
      <c r="F69" s="30"/>
      <c r="G69" s="23" t="s">
        <v>558</v>
      </c>
      <c r="H69" s="30" t="s">
        <v>559</v>
      </c>
      <c r="I69" s="38">
        <f t="shared" si="1"/>
        <v>36</v>
      </c>
      <c r="J69" s="39" t="s">
        <v>368</v>
      </c>
      <c r="K69" s="30" t="s">
        <v>553</v>
      </c>
      <c r="L69" s="39" t="str">
        <f t="shared" si="2"/>
        <v>2895.6 x 203.2 x 14</v>
      </c>
      <c r="M69" s="38">
        <v>1.5</v>
      </c>
      <c r="N69" s="38">
        <v>1.5</v>
      </c>
      <c r="O69" s="38">
        <v>3.9269099E7</v>
      </c>
      <c r="P69" s="38">
        <v>1.0</v>
      </c>
      <c r="Q69" s="39" t="s">
        <v>370</v>
      </c>
      <c r="R69" s="40">
        <v>595.8644067796611</v>
      </c>
      <c r="S69" s="19">
        <v>1500.0</v>
      </c>
      <c r="T69" s="42"/>
      <c r="U69" s="30"/>
      <c r="V69" s="30" t="s">
        <v>560</v>
      </c>
    </row>
    <row r="70">
      <c r="A70" s="30" t="s">
        <v>363</v>
      </c>
      <c r="B70" s="30" t="s">
        <v>364</v>
      </c>
      <c r="C70" s="30" t="s">
        <v>365</v>
      </c>
      <c r="D70" s="30"/>
      <c r="E70" s="30"/>
      <c r="F70" s="30"/>
      <c r="G70" s="23" t="s">
        <v>561</v>
      </c>
      <c r="H70" s="30" t="s">
        <v>562</v>
      </c>
      <c r="I70" s="38">
        <f t="shared" si="1"/>
        <v>37</v>
      </c>
      <c r="J70" s="39" t="s">
        <v>368</v>
      </c>
      <c r="K70" s="30" t="s">
        <v>553</v>
      </c>
      <c r="L70" s="39" t="str">
        <f t="shared" si="2"/>
        <v>2895.6 x 203.2 x 14</v>
      </c>
      <c r="M70" s="38">
        <v>1.5</v>
      </c>
      <c r="N70" s="38">
        <v>1.5</v>
      </c>
      <c r="O70" s="38">
        <v>3.9269099E7</v>
      </c>
      <c r="P70" s="38">
        <v>1.0</v>
      </c>
      <c r="Q70" s="39" t="s">
        <v>370</v>
      </c>
      <c r="R70" s="40">
        <v>595.8644067796611</v>
      </c>
      <c r="S70" s="19">
        <v>1500.0</v>
      </c>
      <c r="T70" s="42"/>
      <c r="U70" s="30"/>
      <c r="V70" s="30" t="s">
        <v>563</v>
      </c>
    </row>
    <row r="71">
      <c r="A71" s="30" t="s">
        <v>363</v>
      </c>
      <c r="B71" s="30" t="s">
        <v>364</v>
      </c>
      <c r="C71" s="30" t="s">
        <v>365</v>
      </c>
      <c r="D71" s="30"/>
      <c r="E71" s="30"/>
      <c r="F71" s="30"/>
      <c r="G71" s="23" t="s">
        <v>564</v>
      </c>
      <c r="H71" s="30" t="s">
        <v>565</v>
      </c>
      <c r="I71" s="38">
        <f t="shared" si="1"/>
        <v>36</v>
      </c>
      <c r="J71" s="39" t="s">
        <v>368</v>
      </c>
      <c r="K71" s="30" t="s">
        <v>553</v>
      </c>
      <c r="L71" s="39" t="str">
        <f t="shared" si="2"/>
        <v>2895.6 x 203.2 x 14</v>
      </c>
      <c r="M71" s="38">
        <v>1.5</v>
      </c>
      <c r="N71" s="38">
        <v>1.5</v>
      </c>
      <c r="O71" s="38">
        <v>3.9269099E7</v>
      </c>
      <c r="P71" s="38">
        <v>1.0</v>
      </c>
      <c r="Q71" s="39" t="s">
        <v>370</v>
      </c>
      <c r="R71" s="40">
        <v>1117.8983050847457</v>
      </c>
      <c r="S71" s="19">
        <v>2500.0</v>
      </c>
      <c r="T71" s="42"/>
      <c r="U71" s="30"/>
      <c r="V71" s="30" t="s">
        <v>566</v>
      </c>
    </row>
    <row r="72">
      <c r="A72" s="30" t="s">
        <v>363</v>
      </c>
      <c r="B72" s="30" t="s">
        <v>364</v>
      </c>
      <c r="C72" s="30" t="s">
        <v>365</v>
      </c>
      <c r="D72" s="30"/>
      <c r="E72" s="30"/>
      <c r="F72" s="30"/>
      <c r="G72" s="23" t="s">
        <v>567</v>
      </c>
      <c r="H72" s="30" t="s">
        <v>568</v>
      </c>
      <c r="I72" s="38">
        <f t="shared" si="1"/>
        <v>32</v>
      </c>
      <c r="J72" s="39" t="s">
        <v>368</v>
      </c>
      <c r="K72" s="30" t="s">
        <v>553</v>
      </c>
      <c r="L72" s="39" t="str">
        <f t="shared" si="2"/>
        <v>2895.6 x 203.2 x 14</v>
      </c>
      <c r="M72" s="38">
        <v>1.5</v>
      </c>
      <c r="N72" s="38">
        <v>1.5</v>
      </c>
      <c r="O72" s="38">
        <v>3.925909E7</v>
      </c>
      <c r="P72" s="38">
        <v>1.0</v>
      </c>
      <c r="Q72" s="39" t="s">
        <v>370</v>
      </c>
      <c r="R72" s="40">
        <v>1117.8983050847457</v>
      </c>
      <c r="S72" s="19">
        <v>2500.0</v>
      </c>
      <c r="T72" s="42"/>
      <c r="U72" s="30"/>
      <c r="V72" s="30" t="s">
        <v>569</v>
      </c>
    </row>
    <row r="73">
      <c r="A73" s="30" t="s">
        <v>363</v>
      </c>
      <c r="B73" s="30" t="s">
        <v>364</v>
      </c>
      <c r="C73" s="30" t="s">
        <v>365</v>
      </c>
      <c r="D73" s="30"/>
      <c r="E73" s="30"/>
      <c r="F73" s="30"/>
      <c r="G73" s="23" t="s">
        <v>570</v>
      </c>
      <c r="H73" s="30" t="s">
        <v>571</v>
      </c>
      <c r="I73" s="38">
        <f t="shared" si="1"/>
        <v>32</v>
      </c>
      <c r="J73" s="39" t="s">
        <v>368</v>
      </c>
      <c r="K73" s="30" t="s">
        <v>553</v>
      </c>
      <c r="L73" s="39" t="str">
        <f t="shared" si="2"/>
        <v>2895.6 x 203.2 x 14</v>
      </c>
      <c r="M73" s="38">
        <v>1.5</v>
      </c>
      <c r="N73" s="38">
        <v>1.5</v>
      </c>
      <c r="O73" s="38">
        <v>3.9269099E7</v>
      </c>
      <c r="P73" s="38">
        <v>1.0</v>
      </c>
      <c r="Q73" s="39" t="s">
        <v>370</v>
      </c>
      <c r="R73" s="40">
        <v>595.8644067796611</v>
      </c>
      <c r="S73" s="19">
        <v>1500.0</v>
      </c>
      <c r="T73" s="42"/>
      <c r="U73" s="30"/>
      <c r="V73" s="30" t="s">
        <v>572</v>
      </c>
    </row>
    <row r="74">
      <c r="A74" s="30" t="s">
        <v>363</v>
      </c>
      <c r="B74" s="30" t="s">
        <v>364</v>
      </c>
      <c r="C74" s="30" t="s">
        <v>365</v>
      </c>
      <c r="D74" s="30"/>
      <c r="E74" s="30"/>
      <c r="F74" s="30"/>
      <c r="G74" s="23" t="s">
        <v>573</v>
      </c>
      <c r="H74" s="30" t="s">
        <v>574</v>
      </c>
      <c r="I74" s="38">
        <f t="shared" si="1"/>
        <v>37</v>
      </c>
      <c r="J74" s="39" t="s">
        <v>368</v>
      </c>
      <c r="K74" s="30" t="s">
        <v>397</v>
      </c>
      <c r="L74" s="39" t="str">
        <f t="shared" si="2"/>
        <v>2438.4 x 127 x 12</v>
      </c>
      <c r="M74" s="38">
        <v>1.5</v>
      </c>
      <c r="N74" s="38">
        <v>1.5</v>
      </c>
      <c r="O74" s="38">
        <v>3.925909E7</v>
      </c>
      <c r="P74" s="38">
        <v>1.0</v>
      </c>
      <c r="Q74" s="39" t="s">
        <v>370</v>
      </c>
      <c r="R74" s="40">
        <v>745.0847457627119</v>
      </c>
      <c r="S74" s="19">
        <f t="shared" ref="S74:S75" si="7">1500</f>
        <v>1500</v>
      </c>
      <c r="T74" s="42"/>
      <c r="U74" s="30"/>
      <c r="V74" s="30" t="s">
        <v>575</v>
      </c>
    </row>
    <row r="75">
      <c r="A75" s="30" t="s">
        <v>363</v>
      </c>
      <c r="B75" s="30" t="s">
        <v>364</v>
      </c>
      <c r="C75" s="30" t="s">
        <v>365</v>
      </c>
      <c r="D75" s="30"/>
      <c r="E75" s="30"/>
      <c r="F75" s="30"/>
      <c r="G75" s="23" t="s">
        <v>576</v>
      </c>
      <c r="H75" s="30" t="s">
        <v>577</v>
      </c>
      <c r="I75" s="38">
        <f t="shared" si="1"/>
        <v>31</v>
      </c>
      <c r="J75" s="39" t="s">
        <v>368</v>
      </c>
      <c r="K75" s="30" t="s">
        <v>397</v>
      </c>
      <c r="L75" s="39" t="str">
        <f t="shared" si="2"/>
        <v>2438.4 x 127 x 12</v>
      </c>
      <c r="M75" s="38">
        <v>1.5</v>
      </c>
      <c r="N75" s="38">
        <v>1.5</v>
      </c>
      <c r="O75" s="38">
        <v>3.925909E7</v>
      </c>
      <c r="P75" s="38">
        <v>1.0</v>
      </c>
      <c r="Q75" s="39" t="s">
        <v>370</v>
      </c>
      <c r="R75" s="40">
        <v>745.0847457627119</v>
      </c>
      <c r="S75" s="19">
        <f t="shared" si="7"/>
        <v>1500</v>
      </c>
      <c r="T75" s="42"/>
      <c r="U75" s="30"/>
      <c r="V75" s="30" t="s">
        <v>578</v>
      </c>
    </row>
    <row r="76">
      <c r="A76" s="30" t="s">
        <v>363</v>
      </c>
      <c r="B76" s="30" t="s">
        <v>364</v>
      </c>
      <c r="C76" s="30" t="s">
        <v>365</v>
      </c>
      <c r="D76" s="30"/>
      <c r="E76" s="30"/>
      <c r="F76" s="30"/>
      <c r="G76" s="23" t="s">
        <v>267</v>
      </c>
      <c r="H76" s="30" t="s">
        <v>579</v>
      </c>
      <c r="I76" s="38">
        <f t="shared" si="1"/>
        <v>38</v>
      </c>
      <c r="J76" s="39" t="s">
        <v>368</v>
      </c>
      <c r="K76" s="30" t="s">
        <v>397</v>
      </c>
      <c r="L76" s="39" t="str">
        <f t="shared" si="2"/>
        <v>2438.4 x 127 x 12</v>
      </c>
      <c r="M76" s="38">
        <v>1.5</v>
      </c>
      <c r="N76" s="38">
        <v>1.5</v>
      </c>
      <c r="O76" s="38">
        <v>3.9269099E7</v>
      </c>
      <c r="P76" s="38">
        <v>1.0</v>
      </c>
      <c r="Q76" s="39" t="s">
        <v>370</v>
      </c>
      <c r="R76" s="40">
        <v>609.4915254237288</v>
      </c>
      <c r="S76" s="19">
        <v>1500.0</v>
      </c>
      <c r="T76" s="42"/>
      <c r="U76" s="30"/>
      <c r="V76" s="30" t="s">
        <v>580</v>
      </c>
    </row>
    <row r="77">
      <c r="A77" s="30" t="s">
        <v>363</v>
      </c>
      <c r="B77" s="30" t="s">
        <v>364</v>
      </c>
      <c r="C77" s="30" t="s">
        <v>365</v>
      </c>
      <c r="D77" s="30"/>
      <c r="E77" s="30"/>
      <c r="F77" s="30"/>
      <c r="G77" s="23" t="s">
        <v>232</v>
      </c>
      <c r="H77" s="30" t="s">
        <v>581</v>
      </c>
      <c r="I77" s="38">
        <f t="shared" si="1"/>
        <v>36</v>
      </c>
      <c r="J77" s="39" t="s">
        <v>368</v>
      </c>
      <c r="K77" s="30" t="s">
        <v>397</v>
      </c>
      <c r="L77" s="39" t="str">
        <f t="shared" si="2"/>
        <v>2438.4 x 127 x 12</v>
      </c>
      <c r="M77" s="38">
        <v>1.5</v>
      </c>
      <c r="N77" s="38">
        <v>1.5</v>
      </c>
      <c r="O77" s="38">
        <v>3.9269099E7</v>
      </c>
      <c r="P77" s="38">
        <v>1.0</v>
      </c>
      <c r="Q77" s="39" t="s">
        <v>370</v>
      </c>
      <c r="R77" s="40">
        <v>609.4915254237288</v>
      </c>
      <c r="S77" s="19">
        <v>1500.0</v>
      </c>
      <c r="T77" s="42"/>
      <c r="U77" s="30"/>
      <c r="V77" s="30" t="s">
        <v>582</v>
      </c>
    </row>
    <row r="78">
      <c r="A78" s="30" t="s">
        <v>363</v>
      </c>
      <c r="B78" s="30" t="s">
        <v>364</v>
      </c>
      <c r="C78" s="30" t="s">
        <v>365</v>
      </c>
      <c r="D78" s="30"/>
      <c r="E78" s="30"/>
      <c r="F78" s="30"/>
      <c r="G78" s="23" t="s">
        <v>583</v>
      </c>
      <c r="H78" s="30" t="s">
        <v>584</v>
      </c>
      <c r="I78" s="38">
        <f t="shared" si="1"/>
        <v>32</v>
      </c>
      <c r="J78" s="39" t="s">
        <v>368</v>
      </c>
      <c r="K78" s="30" t="s">
        <v>397</v>
      </c>
      <c r="L78" s="39" t="str">
        <f t="shared" si="2"/>
        <v>2438.4 x 127 x 12</v>
      </c>
      <c r="M78" s="38">
        <v>1.5</v>
      </c>
      <c r="N78" s="38">
        <v>1.5</v>
      </c>
      <c r="O78" s="38">
        <v>3.9269099E7</v>
      </c>
      <c r="P78" s="38">
        <v>1.0</v>
      </c>
      <c r="Q78" s="39" t="s">
        <v>370</v>
      </c>
      <c r="R78" s="40">
        <v>677.2881355932204</v>
      </c>
      <c r="S78" s="19">
        <f>1500</f>
        <v>1500</v>
      </c>
      <c r="T78" s="42"/>
      <c r="U78" s="30"/>
      <c r="V78" s="30" t="s">
        <v>585</v>
      </c>
    </row>
    <row r="79">
      <c r="A79" s="30" t="s">
        <v>363</v>
      </c>
      <c r="B79" s="30" t="s">
        <v>364</v>
      </c>
      <c r="C79" s="30" t="s">
        <v>365</v>
      </c>
      <c r="D79" s="30"/>
      <c r="E79" s="30"/>
      <c r="F79" s="30"/>
      <c r="G79" s="23" t="s">
        <v>255</v>
      </c>
      <c r="H79" s="30" t="s">
        <v>586</v>
      </c>
      <c r="I79" s="38">
        <f t="shared" si="1"/>
        <v>37</v>
      </c>
      <c r="J79" s="39" t="s">
        <v>368</v>
      </c>
      <c r="K79" s="30" t="s">
        <v>397</v>
      </c>
      <c r="L79" s="39" t="str">
        <f t="shared" si="2"/>
        <v>2438.4 x 127 x 12</v>
      </c>
      <c r="M79" s="38">
        <v>1.5</v>
      </c>
      <c r="N79" s="38">
        <v>1.5</v>
      </c>
      <c r="O79" s="38">
        <v>3.9269099E7</v>
      </c>
      <c r="P79" s="38">
        <v>1.0</v>
      </c>
      <c r="Q79" s="39" t="s">
        <v>370</v>
      </c>
      <c r="R79" s="40">
        <v>1016.2711864406781</v>
      </c>
      <c r="S79" s="19">
        <v>2500.0</v>
      </c>
      <c r="T79" s="42"/>
      <c r="U79" s="30"/>
      <c r="V79" s="30" t="s">
        <v>587</v>
      </c>
    </row>
    <row r="80">
      <c r="A80" s="30" t="s">
        <v>363</v>
      </c>
      <c r="B80" s="30" t="s">
        <v>364</v>
      </c>
      <c r="C80" s="30" t="s">
        <v>365</v>
      </c>
      <c r="D80" s="30"/>
      <c r="E80" s="30"/>
      <c r="F80" s="30"/>
      <c r="G80" s="23" t="s">
        <v>220</v>
      </c>
      <c r="H80" s="30" t="s">
        <v>588</v>
      </c>
      <c r="I80" s="38">
        <f t="shared" si="1"/>
        <v>37</v>
      </c>
      <c r="J80" s="39" t="s">
        <v>368</v>
      </c>
      <c r="K80" s="30" t="s">
        <v>589</v>
      </c>
      <c r="L80" s="39" t="str">
        <f t="shared" si="2"/>
        <v>2438.4 x 127 x 10</v>
      </c>
      <c r="M80" s="38">
        <v>1.5</v>
      </c>
      <c r="N80" s="38">
        <v>1.5</v>
      </c>
      <c r="O80" s="38">
        <v>392111.0</v>
      </c>
      <c r="P80" s="38">
        <v>1.0</v>
      </c>
      <c r="Q80" s="39" t="s">
        <v>370</v>
      </c>
      <c r="R80" s="40">
        <v>894.1694915254237</v>
      </c>
      <c r="S80" s="19">
        <f>2000</f>
        <v>2000</v>
      </c>
      <c r="T80" s="42"/>
      <c r="U80" s="30"/>
      <c r="V80" s="30" t="s">
        <v>590</v>
      </c>
    </row>
    <row r="81">
      <c r="A81" s="30" t="s">
        <v>363</v>
      </c>
      <c r="B81" s="30" t="s">
        <v>364</v>
      </c>
      <c r="C81" s="30" t="s">
        <v>365</v>
      </c>
      <c r="D81" s="30"/>
      <c r="E81" s="30"/>
      <c r="F81" s="30"/>
      <c r="G81" s="23" t="s">
        <v>591</v>
      </c>
      <c r="H81" s="30" t="s">
        <v>592</v>
      </c>
      <c r="I81" s="38">
        <f t="shared" si="1"/>
        <v>31</v>
      </c>
      <c r="J81" s="39" t="s">
        <v>368</v>
      </c>
      <c r="K81" s="30" t="s">
        <v>589</v>
      </c>
      <c r="L81" s="39" t="str">
        <f t="shared" si="2"/>
        <v>2438.4 x 127 x 10</v>
      </c>
      <c r="M81" s="38">
        <v>1.5</v>
      </c>
      <c r="N81" s="38">
        <v>1.5</v>
      </c>
      <c r="O81" s="38">
        <v>3.9269099E7</v>
      </c>
      <c r="P81" s="38">
        <v>1.0</v>
      </c>
      <c r="Q81" s="39" t="s">
        <v>370</v>
      </c>
      <c r="R81" s="40">
        <v>595.8644067796611</v>
      </c>
      <c r="S81" s="19">
        <v>1500.0</v>
      </c>
      <c r="T81" s="42"/>
      <c r="U81" s="30"/>
      <c r="V81" s="30" t="s">
        <v>593</v>
      </c>
    </row>
    <row r="82">
      <c r="A82" s="30" t="s">
        <v>363</v>
      </c>
      <c r="B82" s="30" t="s">
        <v>364</v>
      </c>
      <c r="C82" s="30" t="s">
        <v>365</v>
      </c>
      <c r="D82" s="30"/>
      <c r="E82" s="30"/>
      <c r="F82" s="30"/>
      <c r="G82" s="23" t="s">
        <v>594</v>
      </c>
      <c r="H82" s="30" t="s">
        <v>595</v>
      </c>
      <c r="I82" s="38">
        <f t="shared" si="1"/>
        <v>32</v>
      </c>
      <c r="J82" s="39" t="s">
        <v>368</v>
      </c>
      <c r="K82" s="30" t="s">
        <v>589</v>
      </c>
      <c r="L82" s="39" t="str">
        <f t="shared" si="2"/>
        <v>2438.4 x 127 x 10</v>
      </c>
      <c r="M82" s="38">
        <v>1.5</v>
      </c>
      <c r="N82" s="38">
        <v>1.5</v>
      </c>
      <c r="O82" s="38">
        <v>3.9269099E7</v>
      </c>
      <c r="P82" s="38">
        <v>1.0</v>
      </c>
      <c r="Q82" s="39" t="s">
        <v>370</v>
      </c>
      <c r="R82" s="40">
        <v>745.0169491525425</v>
      </c>
      <c r="S82" s="19">
        <f t="shared" ref="S82:S83" si="8">1500</f>
        <v>1500</v>
      </c>
      <c r="T82" s="42"/>
      <c r="U82" s="30"/>
      <c r="V82" s="30" t="s">
        <v>596</v>
      </c>
    </row>
    <row r="83">
      <c r="A83" s="30" t="s">
        <v>363</v>
      </c>
      <c r="B83" s="30" t="s">
        <v>364</v>
      </c>
      <c r="C83" s="30" t="s">
        <v>365</v>
      </c>
      <c r="D83" s="30"/>
      <c r="E83" s="30"/>
      <c r="F83" s="30"/>
      <c r="G83" s="23" t="s">
        <v>597</v>
      </c>
      <c r="H83" s="30" t="s">
        <v>598</v>
      </c>
      <c r="I83" s="38">
        <f t="shared" si="1"/>
        <v>36</v>
      </c>
      <c r="J83" s="39" t="s">
        <v>368</v>
      </c>
      <c r="K83" s="30" t="s">
        <v>589</v>
      </c>
      <c r="L83" s="39" t="str">
        <f t="shared" si="2"/>
        <v>2438.4 x 127 x 10</v>
      </c>
      <c r="M83" s="38">
        <v>1.5</v>
      </c>
      <c r="N83" s="38">
        <v>1.5</v>
      </c>
      <c r="O83" s="38">
        <v>3.925909E7</v>
      </c>
      <c r="P83" s="38">
        <v>1.0</v>
      </c>
      <c r="Q83" s="39" t="s">
        <v>370</v>
      </c>
      <c r="R83" s="40">
        <v>745.0847457627119</v>
      </c>
      <c r="S83" s="19">
        <f t="shared" si="8"/>
        <v>1500</v>
      </c>
      <c r="T83" s="42"/>
      <c r="U83" s="30"/>
      <c r="V83" s="30" t="s">
        <v>599</v>
      </c>
    </row>
    <row r="84">
      <c r="A84" s="30" t="s">
        <v>363</v>
      </c>
      <c r="B84" s="30" t="s">
        <v>364</v>
      </c>
      <c r="C84" s="30" t="s">
        <v>365</v>
      </c>
      <c r="D84" s="30"/>
      <c r="E84" s="30"/>
      <c r="F84" s="30"/>
      <c r="G84" s="23" t="s">
        <v>600</v>
      </c>
      <c r="H84" s="30" t="s">
        <v>601</v>
      </c>
      <c r="I84" s="38">
        <f t="shared" si="1"/>
        <v>36</v>
      </c>
      <c r="J84" s="39" t="s">
        <v>368</v>
      </c>
      <c r="K84" s="30" t="s">
        <v>589</v>
      </c>
      <c r="L84" s="39" t="str">
        <f t="shared" si="2"/>
        <v>2438.4 x 127 x 10</v>
      </c>
      <c r="M84" s="38">
        <v>1.5</v>
      </c>
      <c r="N84" s="38">
        <v>1.5</v>
      </c>
      <c r="O84" s="38">
        <v>3.925909E7</v>
      </c>
      <c r="P84" s="38">
        <v>1.0</v>
      </c>
      <c r="Q84" s="39" t="s">
        <v>370</v>
      </c>
      <c r="R84" s="40">
        <v>894.1694915254237</v>
      </c>
      <c r="S84" s="19">
        <f>2000</f>
        <v>2000</v>
      </c>
      <c r="T84" s="42"/>
      <c r="U84" s="30"/>
      <c r="V84" s="30" t="s">
        <v>602</v>
      </c>
    </row>
    <row r="85">
      <c r="A85" s="30" t="s">
        <v>363</v>
      </c>
      <c r="B85" s="30" t="s">
        <v>364</v>
      </c>
      <c r="C85" s="30" t="s">
        <v>365</v>
      </c>
      <c r="D85" s="30"/>
      <c r="E85" s="30"/>
      <c r="F85" s="30"/>
      <c r="G85" s="23" t="s">
        <v>603</v>
      </c>
      <c r="H85" s="30" t="s">
        <v>604</v>
      </c>
      <c r="I85" s="38">
        <f t="shared" si="1"/>
        <v>32</v>
      </c>
      <c r="J85" s="39" t="s">
        <v>368</v>
      </c>
      <c r="K85" s="30" t="s">
        <v>589</v>
      </c>
      <c r="L85" s="39" t="str">
        <f t="shared" si="2"/>
        <v>2438.4 x 127 x 10</v>
      </c>
      <c r="M85" s="38">
        <v>1.5</v>
      </c>
      <c r="N85" s="38">
        <v>1.5</v>
      </c>
      <c r="O85" s="38">
        <v>3.9269099E7</v>
      </c>
      <c r="P85" s="38">
        <v>1.0</v>
      </c>
      <c r="Q85" s="39" t="s">
        <v>370</v>
      </c>
      <c r="R85" s="40">
        <v>745.0169491525425</v>
      </c>
      <c r="S85" s="19">
        <f t="shared" ref="S85:S87" si="9">1500</f>
        <v>1500</v>
      </c>
      <c r="T85" s="42"/>
      <c r="U85" s="30"/>
      <c r="V85" s="30" t="s">
        <v>605</v>
      </c>
    </row>
    <row r="86">
      <c r="A86" s="30" t="s">
        <v>363</v>
      </c>
      <c r="B86" s="30" t="s">
        <v>364</v>
      </c>
      <c r="C86" s="30" t="s">
        <v>365</v>
      </c>
      <c r="D86" s="30"/>
      <c r="E86" s="30"/>
      <c r="F86" s="30"/>
      <c r="G86" s="23" t="s">
        <v>606</v>
      </c>
      <c r="H86" s="30" t="s">
        <v>607</v>
      </c>
      <c r="I86" s="38">
        <f t="shared" si="1"/>
        <v>32</v>
      </c>
      <c r="J86" s="39" t="s">
        <v>368</v>
      </c>
      <c r="K86" s="30" t="s">
        <v>589</v>
      </c>
      <c r="L86" s="39" t="str">
        <f t="shared" si="2"/>
        <v>2438.4 x 127 x 10</v>
      </c>
      <c r="M86" s="38">
        <v>1.5</v>
      </c>
      <c r="N86" s="38">
        <v>1.5</v>
      </c>
      <c r="O86" s="38">
        <v>3.9269099E7</v>
      </c>
      <c r="P86" s="38">
        <v>1.0</v>
      </c>
      <c r="Q86" s="39" t="s">
        <v>370</v>
      </c>
      <c r="R86" s="40">
        <v>745.0169491525425</v>
      </c>
      <c r="S86" s="19">
        <f t="shared" si="9"/>
        <v>1500</v>
      </c>
      <c r="T86" s="42"/>
      <c r="U86" s="30"/>
      <c r="V86" s="30" t="s">
        <v>608</v>
      </c>
    </row>
    <row r="87">
      <c r="A87" s="30" t="s">
        <v>363</v>
      </c>
      <c r="B87" s="30" t="s">
        <v>364</v>
      </c>
      <c r="C87" s="30" t="s">
        <v>365</v>
      </c>
      <c r="D87" s="30"/>
      <c r="E87" s="30"/>
      <c r="F87" s="30"/>
      <c r="G87" s="23" t="s">
        <v>609</v>
      </c>
      <c r="H87" s="30" t="s">
        <v>610</v>
      </c>
      <c r="I87" s="38">
        <f t="shared" si="1"/>
        <v>37</v>
      </c>
      <c r="J87" s="39" t="s">
        <v>368</v>
      </c>
      <c r="K87" s="30" t="s">
        <v>589</v>
      </c>
      <c r="L87" s="39" t="str">
        <f t="shared" si="2"/>
        <v>2438.4 x 127 x 10</v>
      </c>
      <c r="M87" s="38">
        <v>1.5</v>
      </c>
      <c r="N87" s="38">
        <v>1.5</v>
      </c>
      <c r="O87" s="38">
        <v>3.9269099E7</v>
      </c>
      <c r="P87" s="38">
        <v>1.0</v>
      </c>
      <c r="Q87" s="39" t="s">
        <v>370</v>
      </c>
      <c r="R87" s="40">
        <v>745.0169491525425</v>
      </c>
      <c r="S87" s="19">
        <f t="shared" si="9"/>
        <v>1500</v>
      </c>
      <c r="T87" s="42"/>
      <c r="U87" s="30"/>
      <c r="V87" s="30" t="s">
        <v>611</v>
      </c>
    </row>
    <row r="88">
      <c r="A88" s="30" t="s">
        <v>363</v>
      </c>
      <c r="B88" s="30" t="s">
        <v>364</v>
      </c>
      <c r="C88" s="30" t="s">
        <v>365</v>
      </c>
      <c r="D88" s="30"/>
      <c r="E88" s="30"/>
      <c r="F88" s="30"/>
      <c r="G88" s="23" t="s">
        <v>612</v>
      </c>
      <c r="H88" s="30" t="s">
        <v>613</v>
      </c>
      <c r="I88" s="38">
        <f t="shared" si="1"/>
        <v>36</v>
      </c>
      <c r="J88" s="39" t="s">
        <v>368</v>
      </c>
      <c r="K88" s="30" t="s">
        <v>589</v>
      </c>
      <c r="L88" s="39" t="str">
        <f t="shared" si="2"/>
        <v>2438.4 x 127 x 10</v>
      </c>
      <c r="M88" s="38">
        <v>1.5</v>
      </c>
      <c r="N88" s="38">
        <v>1.5</v>
      </c>
      <c r="O88" s="38">
        <v>3.9269099E7</v>
      </c>
      <c r="P88" s="38">
        <v>1.0</v>
      </c>
      <c r="Q88" s="39" t="s">
        <v>370</v>
      </c>
      <c r="R88" s="40">
        <v>609.4915254237288</v>
      </c>
      <c r="S88" s="19">
        <v>1500.0</v>
      </c>
      <c r="T88" s="42"/>
      <c r="U88" s="30"/>
      <c r="V88" s="30" t="s">
        <v>614</v>
      </c>
    </row>
    <row r="89">
      <c r="A89" s="30" t="s">
        <v>363</v>
      </c>
      <c r="B89" s="30" t="s">
        <v>364</v>
      </c>
      <c r="C89" s="30" t="s">
        <v>365</v>
      </c>
      <c r="D89" s="30"/>
      <c r="E89" s="30"/>
      <c r="F89" s="30"/>
      <c r="G89" s="23" t="s">
        <v>282</v>
      </c>
      <c r="H89" s="30" t="s">
        <v>615</v>
      </c>
      <c r="I89" s="38">
        <f t="shared" si="1"/>
        <v>38</v>
      </c>
      <c r="J89" s="39" t="s">
        <v>368</v>
      </c>
      <c r="K89" s="30" t="s">
        <v>589</v>
      </c>
      <c r="L89" s="39" t="str">
        <f t="shared" si="2"/>
        <v>2438.4 x 127 x 10</v>
      </c>
      <c r="M89" s="38">
        <v>1.5</v>
      </c>
      <c r="N89" s="38">
        <v>1.5</v>
      </c>
      <c r="O89" s="38">
        <v>3.9269099E7</v>
      </c>
      <c r="P89" s="38">
        <v>1.0</v>
      </c>
      <c r="Q89" s="39" t="s">
        <v>370</v>
      </c>
      <c r="R89" s="40">
        <v>948.4745762711865</v>
      </c>
      <c r="S89" s="19">
        <f t="shared" ref="S89:S90" si="10">2000</f>
        <v>2000</v>
      </c>
      <c r="T89" s="42"/>
      <c r="U89" s="30"/>
      <c r="V89" s="30" t="s">
        <v>616</v>
      </c>
    </row>
    <row r="90">
      <c r="A90" s="30" t="s">
        <v>363</v>
      </c>
      <c r="B90" s="30" t="s">
        <v>364</v>
      </c>
      <c r="C90" s="30" t="s">
        <v>365</v>
      </c>
      <c r="D90" s="30"/>
      <c r="E90" s="30"/>
      <c r="F90" s="30"/>
      <c r="G90" s="23" t="s">
        <v>617</v>
      </c>
      <c r="H90" s="30" t="s">
        <v>618</v>
      </c>
      <c r="I90" s="38">
        <f t="shared" si="1"/>
        <v>35</v>
      </c>
      <c r="J90" s="39" t="s">
        <v>368</v>
      </c>
      <c r="K90" s="30" t="s">
        <v>589</v>
      </c>
      <c r="L90" s="39" t="str">
        <f t="shared" si="2"/>
        <v>2438.4 x 127 x 10</v>
      </c>
      <c r="M90" s="38">
        <v>1.5</v>
      </c>
      <c r="N90" s="38">
        <v>1.5</v>
      </c>
      <c r="O90" s="38">
        <v>3.9269099E7</v>
      </c>
      <c r="P90" s="38">
        <v>1.0</v>
      </c>
      <c r="Q90" s="39" t="s">
        <v>370</v>
      </c>
      <c r="R90" s="40">
        <v>948.4745762711865</v>
      </c>
      <c r="S90" s="19">
        <f t="shared" si="10"/>
        <v>2000</v>
      </c>
      <c r="T90" s="42"/>
      <c r="U90" s="30"/>
      <c r="V90" s="30" t="s">
        <v>619</v>
      </c>
    </row>
    <row r="91">
      <c r="A91" s="30" t="s">
        <v>363</v>
      </c>
      <c r="B91" s="30" t="s">
        <v>364</v>
      </c>
      <c r="C91" s="30" t="s">
        <v>365</v>
      </c>
      <c r="D91" s="30"/>
      <c r="E91" s="30"/>
      <c r="F91" s="30"/>
      <c r="G91" s="23" t="s">
        <v>286</v>
      </c>
      <c r="H91" s="30" t="s">
        <v>620</v>
      </c>
      <c r="I91" s="38">
        <f t="shared" si="1"/>
        <v>38</v>
      </c>
      <c r="J91" s="39" t="s">
        <v>368</v>
      </c>
      <c r="K91" s="30" t="s">
        <v>589</v>
      </c>
      <c r="L91" s="39" t="str">
        <f t="shared" si="2"/>
        <v>2438.4 x 127 x 10</v>
      </c>
      <c r="M91" s="38">
        <v>1.5</v>
      </c>
      <c r="N91" s="38">
        <v>1.5</v>
      </c>
      <c r="O91" s="38">
        <v>3.9269099E7</v>
      </c>
      <c r="P91" s="38">
        <v>1.0</v>
      </c>
      <c r="Q91" s="39" t="s">
        <v>370</v>
      </c>
      <c r="R91" s="40">
        <v>711.1864406779662</v>
      </c>
      <c r="S91" s="19">
        <f t="shared" ref="S91:S96" si="11">1500</f>
        <v>1500</v>
      </c>
      <c r="T91" s="42"/>
      <c r="U91" s="30"/>
      <c r="V91" s="30" t="s">
        <v>621</v>
      </c>
    </row>
    <row r="92">
      <c r="A92" s="30" t="s">
        <v>363</v>
      </c>
      <c r="B92" s="30" t="s">
        <v>364</v>
      </c>
      <c r="C92" s="30" t="s">
        <v>365</v>
      </c>
      <c r="D92" s="30"/>
      <c r="E92" s="30"/>
      <c r="F92" s="30"/>
      <c r="G92" s="23" t="s">
        <v>622</v>
      </c>
      <c r="H92" s="30" t="s">
        <v>623</v>
      </c>
      <c r="I92" s="38">
        <f t="shared" si="1"/>
        <v>38</v>
      </c>
      <c r="J92" s="39" t="s">
        <v>368</v>
      </c>
      <c r="K92" s="30" t="s">
        <v>589</v>
      </c>
      <c r="L92" s="39" t="str">
        <f t="shared" si="2"/>
        <v>2438.4 x 127 x 10</v>
      </c>
      <c r="M92" s="38">
        <v>1.5</v>
      </c>
      <c r="N92" s="38">
        <v>1.5</v>
      </c>
      <c r="O92" s="38">
        <v>3.9269099E7</v>
      </c>
      <c r="P92" s="38">
        <v>1.0</v>
      </c>
      <c r="Q92" s="39" t="s">
        <v>370</v>
      </c>
      <c r="R92" s="40">
        <v>711.1864406779662</v>
      </c>
      <c r="S92" s="19">
        <f t="shared" si="11"/>
        <v>1500</v>
      </c>
      <c r="T92" s="42"/>
      <c r="U92" s="30"/>
      <c r="V92" s="30" t="s">
        <v>624</v>
      </c>
    </row>
    <row r="93">
      <c r="A93" s="30" t="s">
        <v>363</v>
      </c>
      <c r="B93" s="30" t="s">
        <v>364</v>
      </c>
      <c r="C93" s="30" t="s">
        <v>365</v>
      </c>
      <c r="D93" s="30"/>
      <c r="E93" s="30"/>
      <c r="F93" s="30"/>
      <c r="G93" s="23" t="s">
        <v>625</v>
      </c>
      <c r="H93" s="30" t="s">
        <v>626</v>
      </c>
      <c r="I93" s="38">
        <f t="shared" si="1"/>
        <v>32</v>
      </c>
      <c r="J93" s="39" t="s">
        <v>368</v>
      </c>
      <c r="K93" s="30" t="s">
        <v>589</v>
      </c>
      <c r="L93" s="39" t="str">
        <f t="shared" si="2"/>
        <v>2438.4 x 127 x 10</v>
      </c>
      <c r="M93" s="38">
        <v>1.5</v>
      </c>
      <c r="N93" s="38">
        <v>1.5</v>
      </c>
      <c r="O93" s="38">
        <v>3.9269099E7</v>
      </c>
      <c r="P93" s="38">
        <v>1.0</v>
      </c>
      <c r="Q93" s="39" t="s">
        <v>370</v>
      </c>
      <c r="R93" s="40">
        <v>711.1864406779662</v>
      </c>
      <c r="S93" s="19">
        <f t="shared" si="11"/>
        <v>1500</v>
      </c>
      <c r="T93" s="42"/>
      <c r="U93" s="30"/>
      <c r="V93" s="30" t="s">
        <v>627</v>
      </c>
    </row>
    <row r="94">
      <c r="A94" s="30" t="s">
        <v>363</v>
      </c>
      <c r="B94" s="30" t="s">
        <v>364</v>
      </c>
      <c r="C94" s="30" t="s">
        <v>365</v>
      </c>
      <c r="D94" s="30"/>
      <c r="E94" s="30"/>
      <c r="F94" s="30"/>
      <c r="G94" s="23" t="s">
        <v>628</v>
      </c>
      <c r="H94" s="30" t="s">
        <v>629</v>
      </c>
      <c r="I94" s="38">
        <f t="shared" si="1"/>
        <v>35</v>
      </c>
      <c r="J94" s="39" t="s">
        <v>368</v>
      </c>
      <c r="K94" s="30" t="s">
        <v>589</v>
      </c>
      <c r="L94" s="39" t="str">
        <f t="shared" si="2"/>
        <v>2438.4 x 127 x 10</v>
      </c>
      <c r="M94" s="38">
        <v>1.5</v>
      </c>
      <c r="N94" s="38">
        <v>1.5</v>
      </c>
      <c r="O94" s="38">
        <v>3.9269099E7</v>
      </c>
      <c r="P94" s="38">
        <v>1.0</v>
      </c>
      <c r="Q94" s="39" t="s">
        <v>370</v>
      </c>
      <c r="R94" s="40">
        <v>711.1864406779662</v>
      </c>
      <c r="S94" s="19">
        <f t="shared" si="11"/>
        <v>1500</v>
      </c>
      <c r="T94" s="42"/>
      <c r="U94" s="30"/>
      <c r="V94" s="30" t="s">
        <v>630</v>
      </c>
    </row>
    <row r="95">
      <c r="A95" s="30" t="s">
        <v>363</v>
      </c>
      <c r="B95" s="30" t="s">
        <v>364</v>
      </c>
      <c r="C95" s="30" t="s">
        <v>365</v>
      </c>
      <c r="D95" s="30"/>
      <c r="E95" s="30"/>
      <c r="F95" s="30"/>
      <c r="G95" s="23" t="s">
        <v>631</v>
      </c>
      <c r="H95" s="30" t="s">
        <v>632</v>
      </c>
      <c r="I95" s="38">
        <f t="shared" si="1"/>
        <v>32</v>
      </c>
      <c r="J95" s="39" t="s">
        <v>368</v>
      </c>
      <c r="K95" s="30" t="s">
        <v>589</v>
      </c>
      <c r="L95" s="39" t="str">
        <f t="shared" si="2"/>
        <v>2438.4 x 127 x 10</v>
      </c>
      <c r="M95" s="38">
        <v>1.5</v>
      </c>
      <c r="N95" s="38">
        <v>1.5</v>
      </c>
      <c r="O95" s="38">
        <v>3.9269099E7</v>
      </c>
      <c r="P95" s="38">
        <v>1.0</v>
      </c>
      <c r="Q95" s="39" t="s">
        <v>370</v>
      </c>
      <c r="R95" s="40">
        <v>711.1864406779662</v>
      </c>
      <c r="S95" s="19">
        <f t="shared" si="11"/>
        <v>1500</v>
      </c>
      <c r="T95" s="42"/>
      <c r="U95" s="30"/>
      <c r="V95" s="30" t="s">
        <v>633</v>
      </c>
    </row>
    <row r="96">
      <c r="A96" s="30" t="s">
        <v>363</v>
      </c>
      <c r="B96" s="30" t="s">
        <v>364</v>
      </c>
      <c r="C96" s="30" t="s">
        <v>365</v>
      </c>
      <c r="D96" s="30"/>
      <c r="E96" s="30"/>
      <c r="F96" s="30"/>
      <c r="G96" s="23" t="s">
        <v>634</v>
      </c>
      <c r="H96" s="30" t="s">
        <v>635</v>
      </c>
      <c r="I96" s="38">
        <f t="shared" si="1"/>
        <v>32</v>
      </c>
      <c r="J96" s="39" t="s">
        <v>368</v>
      </c>
      <c r="K96" s="30" t="s">
        <v>589</v>
      </c>
      <c r="L96" s="39" t="str">
        <f t="shared" si="2"/>
        <v>2438.4 x 127 x 10</v>
      </c>
      <c r="M96" s="38">
        <v>1.5</v>
      </c>
      <c r="N96" s="38">
        <v>1.5</v>
      </c>
      <c r="O96" s="38">
        <v>3.9269099E7</v>
      </c>
      <c r="P96" s="38">
        <v>1.0</v>
      </c>
      <c r="Q96" s="39" t="s">
        <v>370</v>
      </c>
      <c r="R96" s="40">
        <v>711.1864406779662</v>
      </c>
      <c r="S96" s="19">
        <f t="shared" si="11"/>
        <v>1500</v>
      </c>
      <c r="T96" s="42"/>
      <c r="U96" s="30"/>
      <c r="V96" s="30" t="s">
        <v>636</v>
      </c>
    </row>
    <row r="97">
      <c r="A97" s="30" t="s">
        <v>363</v>
      </c>
      <c r="B97" s="30" t="s">
        <v>364</v>
      </c>
      <c r="C97" s="30" t="s">
        <v>365</v>
      </c>
      <c r="D97" s="30"/>
      <c r="E97" s="30"/>
      <c r="F97" s="30"/>
      <c r="G97" s="23" t="s">
        <v>637</v>
      </c>
      <c r="H97" s="30" t="s">
        <v>638</v>
      </c>
      <c r="I97" s="38">
        <f t="shared" si="1"/>
        <v>37</v>
      </c>
      <c r="J97" s="39" t="s">
        <v>368</v>
      </c>
      <c r="K97" s="30" t="s">
        <v>589</v>
      </c>
      <c r="L97" s="39" t="str">
        <f t="shared" si="2"/>
        <v>2438.4 x 127 x 10</v>
      </c>
      <c r="M97" s="38">
        <v>1.5</v>
      </c>
      <c r="N97" s="38">
        <v>1.5</v>
      </c>
      <c r="O97" s="38">
        <v>392590.0</v>
      </c>
      <c r="P97" s="38">
        <v>1.0</v>
      </c>
      <c r="Q97" s="39" t="s">
        <v>370</v>
      </c>
      <c r="R97" s="40">
        <v>595.8644067796611</v>
      </c>
      <c r="S97" s="19">
        <v>1500.0</v>
      </c>
      <c r="T97" s="42"/>
      <c r="U97" s="30"/>
      <c r="V97" s="30" t="s">
        <v>639</v>
      </c>
    </row>
    <row r="98">
      <c r="A98" s="30" t="s">
        <v>363</v>
      </c>
      <c r="B98" s="30" t="s">
        <v>364</v>
      </c>
      <c r="C98" s="30" t="s">
        <v>365</v>
      </c>
      <c r="D98" s="30"/>
      <c r="E98" s="30"/>
      <c r="F98" s="30"/>
      <c r="G98" s="23" t="s">
        <v>640</v>
      </c>
      <c r="H98" s="30" t="s">
        <v>641</v>
      </c>
      <c r="I98" s="38">
        <f t="shared" si="1"/>
        <v>36</v>
      </c>
      <c r="J98" s="39" t="s">
        <v>368</v>
      </c>
      <c r="K98" s="30" t="s">
        <v>589</v>
      </c>
      <c r="L98" s="39" t="str">
        <f t="shared" si="2"/>
        <v>2438.4 x 127 x 10</v>
      </c>
      <c r="M98" s="38">
        <v>1.5</v>
      </c>
      <c r="N98" s="38">
        <v>1.5</v>
      </c>
      <c r="O98" s="38">
        <v>392111.0</v>
      </c>
      <c r="P98" s="38">
        <v>1.0</v>
      </c>
      <c r="Q98" s="39" t="s">
        <v>370</v>
      </c>
      <c r="R98" s="40">
        <v>894.1694915254237</v>
      </c>
      <c r="S98" s="19">
        <f>2000</f>
        <v>2000</v>
      </c>
      <c r="T98" s="42"/>
      <c r="U98" s="30"/>
      <c r="V98" s="30" t="s">
        <v>642</v>
      </c>
    </row>
    <row r="99">
      <c r="A99" s="30" t="s">
        <v>363</v>
      </c>
      <c r="B99" s="30" t="s">
        <v>364</v>
      </c>
      <c r="C99" s="30" t="s">
        <v>365</v>
      </c>
      <c r="D99" s="30"/>
      <c r="E99" s="30"/>
      <c r="F99" s="30"/>
      <c r="G99" s="23" t="s">
        <v>643</v>
      </c>
      <c r="H99" s="30" t="s">
        <v>644</v>
      </c>
      <c r="I99" s="38">
        <f t="shared" si="1"/>
        <v>38</v>
      </c>
      <c r="J99" s="39" t="s">
        <v>368</v>
      </c>
      <c r="K99" s="30" t="s">
        <v>589</v>
      </c>
      <c r="L99" s="39" t="str">
        <f t="shared" si="2"/>
        <v>2438.4 x 127 x 10</v>
      </c>
      <c r="M99" s="38">
        <v>1.5</v>
      </c>
      <c r="N99" s="38">
        <v>1.5</v>
      </c>
      <c r="O99" s="38">
        <v>392690.0</v>
      </c>
      <c r="P99" s="38">
        <v>1.0</v>
      </c>
      <c r="Q99" s="39" t="s">
        <v>370</v>
      </c>
      <c r="R99" s="40">
        <v>745.0847457627119</v>
      </c>
      <c r="S99" s="19">
        <f t="shared" ref="S99:S100" si="12">1500</f>
        <v>1500</v>
      </c>
      <c r="T99" s="42"/>
      <c r="U99" s="30"/>
      <c r="V99" s="30" t="s">
        <v>645</v>
      </c>
    </row>
    <row r="100">
      <c r="A100" s="30" t="s">
        <v>363</v>
      </c>
      <c r="B100" s="30" t="s">
        <v>364</v>
      </c>
      <c r="C100" s="30" t="s">
        <v>365</v>
      </c>
      <c r="D100" s="30"/>
      <c r="E100" s="30"/>
      <c r="F100" s="30"/>
      <c r="G100" s="23" t="s">
        <v>646</v>
      </c>
      <c r="H100" s="30" t="s">
        <v>647</v>
      </c>
      <c r="I100" s="38">
        <f t="shared" si="1"/>
        <v>31</v>
      </c>
      <c r="J100" s="39" t="s">
        <v>368</v>
      </c>
      <c r="K100" s="30" t="s">
        <v>589</v>
      </c>
      <c r="L100" s="39" t="str">
        <f t="shared" si="2"/>
        <v>2438.4 x 127 x 10</v>
      </c>
      <c r="M100" s="38">
        <v>1.5</v>
      </c>
      <c r="N100" s="38">
        <v>1.5</v>
      </c>
      <c r="O100" s="38">
        <v>392690.0</v>
      </c>
      <c r="P100" s="38">
        <v>1.0</v>
      </c>
      <c r="Q100" s="39" t="s">
        <v>370</v>
      </c>
      <c r="R100" s="40">
        <v>745.0847457627119</v>
      </c>
      <c r="S100" s="19">
        <f t="shared" si="12"/>
        <v>1500</v>
      </c>
      <c r="T100" s="42"/>
      <c r="U100" s="30"/>
      <c r="V100" s="30" t="s">
        <v>648</v>
      </c>
    </row>
    <row r="101">
      <c r="A101" s="30" t="s">
        <v>363</v>
      </c>
      <c r="B101" s="30" t="s">
        <v>364</v>
      </c>
      <c r="C101" s="30" t="s">
        <v>365</v>
      </c>
      <c r="D101" s="30"/>
      <c r="E101" s="30"/>
      <c r="F101" s="30"/>
      <c r="G101" s="23" t="s">
        <v>649</v>
      </c>
      <c r="H101" s="30" t="s">
        <v>650</v>
      </c>
      <c r="I101" s="38">
        <f t="shared" si="1"/>
        <v>32</v>
      </c>
      <c r="J101" s="39" t="s">
        <v>368</v>
      </c>
      <c r="K101" s="30" t="s">
        <v>589</v>
      </c>
      <c r="L101" s="39" t="str">
        <f t="shared" si="2"/>
        <v>2438.4 x 127 x 10</v>
      </c>
      <c r="M101" s="38">
        <v>1.5</v>
      </c>
      <c r="N101" s="38">
        <v>1.5</v>
      </c>
      <c r="O101" s="38">
        <v>392111.0</v>
      </c>
      <c r="P101" s="38">
        <v>1.0</v>
      </c>
      <c r="Q101" s="39" t="s">
        <v>370</v>
      </c>
      <c r="R101" s="40">
        <v>670.4406779661017</v>
      </c>
      <c r="S101" s="19">
        <v>1500.0</v>
      </c>
      <c r="T101" s="42"/>
      <c r="U101" s="30"/>
      <c r="V101" s="30" t="s">
        <v>651</v>
      </c>
    </row>
    <row r="102">
      <c r="A102" s="30" t="s">
        <v>363</v>
      </c>
      <c r="B102" s="30" t="s">
        <v>364</v>
      </c>
      <c r="C102" s="30" t="s">
        <v>365</v>
      </c>
      <c r="D102" s="30"/>
      <c r="E102" s="30"/>
      <c r="F102" s="30"/>
      <c r="G102" s="23" t="s">
        <v>283</v>
      </c>
      <c r="H102" s="30" t="s">
        <v>652</v>
      </c>
      <c r="I102" s="38">
        <f t="shared" si="1"/>
        <v>37</v>
      </c>
      <c r="J102" s="39" t="s">
        <v>368</v>
      </c>
      <c r="K102" s="30" t="s">
        <v>589</v>
      </c>
      <c r="L102" s="39" t="str">
        <f t="shared" si="2"/>
        <v>2438.4 x 127 x 10</v>
      </c>
      <c r="M102" s="38">
        <v>1.5</v>
      </c>
      <c r="N102" s="38">
        <v>1.5</v>
      </c>
      <c r="O102" s="38">
        <v>3.9269099E7</v>
      </c>
      <c r="P102" s="38">
        <v>1.0</v>
      </c>
      <c r="Q102" s="39" t="s">
        <v>370</v>
      </c>
      <c r="R102" s="40">
        <v>609.4915254237288</v>
      </c>
      <c r="S102" s="19">
        <v>1500.0</v>
      </c>
      <c r="T102" s="42"/>
      <c r="U102" s="30"/>
      <c r="V102" s="30" t="s">
        <v>653</v>
      </c>
    </row>
    <row r="103">
      <c r="A103" s="30" t="s">
        <v>363</v>
      </c>
      <c r="B103" s="30" t="s">
        <v>364</v>
      </c>
      <c r="C103" s="30" t="s">
        <v>365</v>
      </c>
      <c r="D103" s="30"/>
      <c r="E103" s="30"/>
      <c r="F103" s="30"/>
      <c r="G103" s="23" t="s">
        <v>231</v>
      </c>
      <c r="H103" s="30" t="s">
        <v>654</v>
      </c>
      <c r="I103" s="38">
        <f t="shared" si="1"/>
        <v>32</v>
      </c>
      <c r="J103" s="39" t="s">
        <v>368</v>
      </c>
      <c r="K103" s="30" t="s">
        <v>589</v>
      </c>
      <c r="L103" s="39" t="str">
        <f t="shared" si="2"/>
        <v>2438.4 x 127 x 10</v>
      </c>
      <c r="M103" s="38">
        <v>1.5</v>
      </c>
      <c r="N103" s="38">
        <v>1.5</v>
      </c>
      <c r="O103" s="38">
        <v>3.9269099E7</v>
      </c>
      <c r="P103" s="38">
        <v>1.0</v>
      </c>
      <c r="Q103" s="39" t="s">
        <v>370</v>
      </c>
      <c r="R103" s="40">
        <v>609.4915254237288</v>
      </c>
      <c r="S103" s="19">
        <v>1500.0</v>
      </c>
      <c r="T103" s="42"/>
      <c r="U103" s="30"/>
      <c r="V103" s="30" t="s">
        <v>655</v>
      </c>
    </row>
    <row r="104">
      <c r="A104" s="30" t="s">
        <v>363</v>
      </c>
      <c r="B104" s="30" t="s">
        <v>364</v>
      </c>
      <c r="C104" s="30" t="s">
        <v>365</v>
      </c>
      <c r="D104" s="30"/>
      <c r="E104" s="30"/>
      <c r="F104" s="30"/>
      <c r="G104" s="23" t="s">
        <v>219</v>
      </c>
      <c r="H104" s="30" t="s">
        <v>656</v>
      </c>
      <c r="I104" s="38">
        <f t="shared" si="1"/>
        <v>37</v>
      </c>
      <c r="J104" s="39" t="s">
        <v>368</v>
      </c>
      <c r="K104" s="30" t="s">
        <v>589</v>
      </c>
      <c r="L104" s="39" t="str">
        <f t="shared" si="2"/>
        <v>2438.4 x 127 x 10</v>
      </c>
      <c r="M104" s="38">
        <v>1.5</v>
      </c>
      <c r="N104" s="38">
        <v>1.5</v>
      </c>
      <c r="O104" s="38">
        <v>3.9269099E7</v>
      </c>
      <c r="P104" s="38">
        <v>1.0</v>
      </c>
      <c r="Q104" s="39" t="s">
        <v>370</v>
      </c>
      <c r="R104" s="40">
        <v>609.4915254237288</v>
      </c>
      <c r="S104" s="19">
        <v>1500.0</v>
      </c>
      <c r="T104" s="42"/>
      <c r="U104" s="30"/>
      <c r="V104" s="30" t="s">
        <v>657</v>
      </c>
    </row>
    <row r="105">
      <c r="A105" s="30" t="s">
        <v>363</v>
      </c>
      <c r="B105" s="30" t="s">
        <v>364</v>
      </c>
      <c r="C105" s="30" t="s">
        <v>365</v>
      </c>
      <c r="D105" s="30"/>
      <c r="E105" s="30"/>
      <c r="F105" s="30"/>
      <c r="G105" s="23" t="s">
        <v>658</v>
      </c>
      <c r="H105" s="30" t="s">
        <v>659</v>
      </c>
      <c r="I105" s="38">
        <f t="shared" si="1"/>
        <v>31</v>
      </c>
      <c r="J105" s="39" t="s">
        <v>368</v>
      </c>
      <c r="K105" s="30" t="s">
        <v>589</v>
      </c>
      <c r="L105" s="39" t="str">
        <f t="shared" si="2"/>
        <v>2438.4 x 127 x 10</v>
      </c>
      <c r="M105" s="38">
        <v>1.5</v>
      </c>
      <c r="N105" s="38">
        <v>1.5</v>
      </c>
      <c r="O105" s="38">
        <v>3.9269099E7</v>
      </c>
      <c r="P105" s="38">
        <v>1.0</v>
      </c>
      <c r="Q105" s="39" t="s">
        <v>370</v>
      </c>
      <c r="R105" s="40">
        <v>609.4915254237288</v>
      </c>
      <c r="S105" s="19">
        <v>1500.0</v>
      </c>
      <c r="T105" s="42"/>
      <c r="U105" s="30"/>
      <c r="V105" s="30" t="s">
        <v>660</v>
      </c>
    </row>
    <row r="106">
      <c r="A106" s="30" t="s">
        <v>363</v>
      </c>
      <c r="B106" s="30" t="s">
        <v>364</v>
      </c>
      <c r="C106" s="30" t="s">
        <v>365</v>
      </c>
      <c r="D106" s="30"/>
      <c r="E106" s="30"/>
      <c r="F106" s="30"/>
      <c r="G106" s="23" t="s">
        <v>661</v>
      </c>
      <c r="H106" s="30" t="s">
        <v>662</v>
      </c>
      <c r="I106" s="38">
        <f t="shared" si="1"/>
        <v>37</v>
      </c>
      <c r="J106" s="39" t="s">
        <v>368</v>
      </c>
      <c r="K106" s="30" t="s">
        <v>589</v>
      </c>
      <c r="L106" s="39" t="str">
        <f t="shared" si="2"/>
        <v>2438.4 x 127 x 10</v>
      </c>
      <c r="M106" s="38">
        <v>1.5</v>
      </c>
      <c r="N106" s="38">
        <v>1.5</v>
      </c>
      <c r="O106" s="38">
        <v>3.9269099E7</v>
      </c>
      <c r="P106" s="38">
        <v>1.0</v>
      </c>
      <c r="Q106" s="39" t="s">
        <v>370</v>
      </c>
      <c r="R106" s="40">
        <v>745.0169491525425</v>
      </c>
      <c r="S106" s="19">
        <f t="shared" ref="S106:S107" si="13">1500</f>
        <v>1500</v>
      </c>
      <c r="T106" s="42"/>
      <c r="U106" s="30"/>
      <c r="V106" s="30" t="s">
        <v>663</v>
      </c>
    </row>
    <row r="107">
      <c r="A107" s="30" t="s">
        <v>363</v>
      </c>
      <c r="B107" s="30" t="s">
        <v>364</v>
      </c>
      <c r="C107" s="30" t="s">
        <v>365</v>
      </c>
      <c r="D107" s="30"/>
      <c r="E107" s="30"/>
      <c r="F107" s="30"/>
      <c r="G107" s="23" t="s">
        <v>229</v>
      </c>
      <c r="H107" s="30" t="s">
        <v>664</v>
      </c>
      <c r="I107" s="38">
        <f t="shared" si="1"/>
        <v>36</v>
      </c>
      <c r="J107" s="39" t="s">
        <v>368</v>
      </c>
      <c r="K107" s="30" t="s">
        <v>589</v>
      </c>
      <c r="L107" s="39" t="str">
        <f t="shared" si="2"/>
        <v>2438.4 x 127 x 10</v>
      </c>
      <c r="M107" s="38">
        <v>1.5</v>
      </c>
      <c r="N107" s="38">
        <v>1.5</v>
      </c>
      <c r="O107" s="38">
        <v>3.9269099E7</v>
      </c>
      <c r="P107" s="38">
        <v>1.0</v>
      </c>
      <c r="Q107" s="39" t="s">
        <v>370</v>
      </c>
      <c r="R107" s="40">
        <v>745.0169491525425</v>
      </c>
      <c r="S107" s="19">
        <f t="shared" si="13"/>
        <v>1500</v>
      </c>
      <c r="T107" s="42"/>
      <c r="U107" s="30"/>
      <c r="V107" s="30" t="s">
        <v>665</v>
      </c>
    </row>
    <row r="108">
      <c r="A108" s="30" t="s">
        <v>363</v>
      </c>
      <c r="B108" s="30" t="s">
        <v>364</v>
      </c>
      <c r="C108" s="30" t="s">
        <v>365</v>
      </c>
      <c r="D108" s="30"/>
      <c r="E108" s="30"/>
      <c r="F108" s="30"/>
      <c r="G108" s="23" t="s">
        <v>666</v>
      </c>
      <c r="H108" s="30" t="s">
        <v>667</v>
      </c>
      <c r="I108" s="38">
        <f t="shared" si="1"/>
        <v>31</v>
      </c>
      <c r="J108" s="39" t="s">
        <v>368</v>
      </c>
      <c r="K108" s="30" t="s">
        <v>589</v>
      </c>
      <c r="L108" s="39" t="str">
        <f t="shared" si="2"/>
        <v>2438.4 x 127 x 10</v>
      </c>
      <c r="M108" s="38">
        <v>1.5</v>
      </c>
      <c r="N108" s="38">
        <v>1.5</v>
      </c>
      <c r="O108" s="38">
        <v>3.9269099E7</v>
      </c>
      <c r="P108" s="38">
        <v>1.0</v>
      </c>
      <c r="Q108" s="39" t="s">
        <v>370</v>
      </c>
      <c r="R108" s="40">
        <v>819.5932203389831</v>
      </c>
      <c r="S108" s="19">
        <f t="shared" ref="S108:S109" si="14">2000</f>
        <v>2000</v>
      </c>
      <c r="T108" s="42"/>
      <c r="U108" s="30"/>
      <c r="V108" s="30" t="s">
        <v>668</v>
      </c>
    </row>
    <row r="109">
      <c r="A109" s="30" t="s">
        <v>363</v>
      </c>
      <c r="B109" s="30" t="s">
        <v>364</v>
      </c>
      <c r="C109" s="30" t="s">
        <v>365</v>
      </c>
      <c r="D109" s="30"/>
      <c r="E109" s="30"/>
      <c r="F109" s="30"/>
      <c r="G109" s="23" t="s">
        <v>669</v>
      </c>
      <c r="H109" s="30" t="s">
        <v>670</v>
      </c>
      <c r="I109" s="38">
        <f t="shared" si="1"/>
        <v>32</v>
      </c>
      <c r="J109" s="39" t="s">
        <v>368</v>
      </c>
      <c r="K109" s="30" t="s">
        <v>589</v>
      </c>
      <c r="L109" s="39" t="str">
        <f t="shared" si="2"/>
        <v>2438.4 x 127 x 10</v>
      </c>
      <c r="M109" s="38">
        <v>1.5</v>
      </c>
      <c r="N109" s="38">
        <v>1.5</v>
      </c>
      <c r="O109" s="38">
        <v>392111.0</v>
      </c>
      <c r="P109" s="38">
        <v>1.0</v>
      </c>
      <c r="Q109" s="39" t="s">
        <v>370</v>
      </c>
      <c r="R109" s="40">
        <v>819.5932203389831</v>
      </c>
      <c r="S109" s="19">
        <f t="shared" si="14"/>
        <v>2000</v>
      </c>
      <c r="T109" s="42"/>
      <c r="U109" s="30"/>
      <c r="V109" s="30" t="s">
        <v>671</v>
      </c>
    </row>
    <row r="110">
      <c r="A110" s="30" t="s">
        <v>363</v>
      </c>
      <c r="B110" s="30" t="s">
        <v>364</v>
      </c>
      <c r="C110" s="30" t="s">
        <v>365</v>
      </c>
      <c r="D110" s="30"/>
      <c r="E110" s="30"/>
      <c r="F110" s="30"/>
      <c r="G110" s="23" t="s">
        <v>672</v>
      </c>
      <c r="H110" s="30" t="s">
        <v>673</v>
      </c>
      <c r="I110" s="38">
        <f t="shared" si="1"/>
        <v>34</v>
      </c>
      <c r="J110" s="39" t="s">
        <v>368</v>
      </c>
      <c r="K110" s="30" t="s">
        <v>674</v>
      </c>
      <c r="L110" s="39" t="str">
        <f t="shared" si="2"/>
        <v>2438.4 x 609.6 x 6</v>
      </c>
      <c r="M110" s="38">
        <v>1.5</v>
      </c>
      <c r="N110" s="38">
        <v>1.5</v>
      </c>
      <c r="O110" s="38">
        <v>392111.0</v>
      </c>
      <c r="P110" s="38">
        <v>1.0</v>
      </c>
      <c r="Q110" s="39" t="s">
        <v>370</v>
      </c>
      <c r="R110" s="40">
        <v>745.0169491525425</v>
      </c>
      <c r="S110" s="19">
        <f>1500</f>
        <v>1500</v>
      </c>
      <c r="T110" s="42"/>
      <c r="U110" s="30"/>
      <c r="V110" s="30" t="s">
        <v>675</v>
      </c>
    </row>
    <row r="111">
      <c r="A111" s="30" t="s">
        <v>363</v>
      </c>
      <c r="B111" s="30" t="s">
        <v>364</v>
      </c>
      <c r="C111" s="30" t="s">
        <v>365</v>
      </c>
      <c r="D111" s="30"/>
      <c r="E111" s="30"/>
      <c r="F111" s="30"/>
      <c r="G111" s="23" t="s">
        <v>676</v>
      </c>
      <c r="H111" s="30" t="s">
        <v>677</v>
      </c>
      <c r="I111" s="38">
        <f t="shared" si="1"/>
        <v>38</v>
      </c>
      <c r="J111" s="39" t="s">
        <v>368</v>
      </c>
      <c r="K111" s="30" t="s">
        <v>674</v>
      </c>
      <c r="L111" s="39" t="str">
        <f t="shared" si="2"/>
        <v>2438.4 x 609.6 x 6</v>
      </c>
      <c r="M111" s="38">
        <v>1.5</v>
      </c>
      <c r="N111" s="38">
        <v>1.5</v>
      </c>
      <c r="O111" s="38">
        <v>3.9269099E7</v>
      </c>
      <c r="P111" s="38">
        <v>1.0</v>
      </c>
      <c r="Q111" s="39" t="s">
        <v>370</v>
      </c>
      <c r="R111" s="40">
        <v>521.2881355932203</v>
      </c>
      <c r="S111" s="19">
        <f>1000</f>
        <v>1000</v>
      </c>
      <c r="T111" s="42"/>
      <c r="U111" s="30"/>
      <c r="V111" s="30" t="s">
        <v>678</v>
      </c>
    </row>
    <row r="112">
      <c r="A112" s="30" t="s">
        <v>363</v>
      </c>
      <c r="B112" s="30" t="s">
        <v>364</v>
      </c>
      <c r="C112" s="30" t="s">
        <v>365</v>
      </c>
      <c r="D112" s="30"/>
      <c r="E112" s="30"/>
      <c r="F112" s="30"/>
      <c r="G112" s="23" t="s">
        <v>679</v>
      </c>
      <c r="H112" s="39" t="s">
        <v>680</v>
      </c>
      <c r="I112" s="38">
        <f t="shared" si="1"/>
        <v>38</v>
      </c>
      <c r="J112" s="30" t="s">
        <v>368</v>
      </c>
      <c r="K112" s="39" t="s">
        <v>681</v>
      </c>
      <c r="L112" s="39" t="s">
        <v>681</v>
      </c>
      <c r="M112" s="19">
        <v>10.0</v>
      </c>
      <c r="N112" s="19">
        <v>10.0</v>
      </c>
      <c r="O112" s="38">
        <v>4.412339E7</v>
      </c>
      <c r="P112" s="38">
        <v>1.0</v>
      </c>
      <c r="Q112" s="39" t="s">
        <v>370</v>
      </c>
      <c r="R112" s="40">
        <v>2956.8000000000006</v>
      </c>
      <c r="S112" s="19">
        <f t="shared" ref="S112:S113" si="15">7500</f>
        <v>7500</v>
      </c>
      <c r="T112" s="42"/>
      <c r="U112" s="30"/>
      <c r="V112" s="30" t="s">
        <v>680</v>
      </c>
    </row>
    <row r="113">
      <c r="A113" s="30" t="s">
        <v>363</v>
      </c>
      <c r="B113" s="30" t="s">
        <v>364</v>
      </c>
      <c r="C113" s="30" t="s">
        <v>365</v>
      </c>
      <c r="D113" s="30"/>
      <c r="E113" s="30"/>
      <c r="F113" s="30"/>
      <c r="G113" s="23" t="s">
        <v>249</v>
      </c>
      <c r="H113" s="39" t="s">
        <v>682</v>
      </c>
      <c r="I113" s="38">
        <f t="shared" si="1"/>
        <v>39</v>
      </c>
      <c r="J113" s="30" t="s">
        <v>368</v>
      </c>
      <c r="K113" s="39" t="s">
        <v>683</v>
      </c>
      <c r="L113" s="39" t="s">
        <v>683</v>
      </c>
      <c r="M113" s="19">
        <v>10.0</v>
      </c>
      <c r="N113" s="19">
        <v>10.0</v>
      </c>
      <c r="O113" s="38">
        <v>4.41899E7</v>
      </c>
      <c r="P113" s="38">
        <v>1.0</v>
      </c>
      <c r="Q113" s="39" t="s">
        <v>370</v>
      </c>
      <c r="R113" s="40">
        <v>4148.387118644067</v>
      </c>
      <c r="S113" s="19">
        <f t="shared" si="15"/>
        <v>7500</v>
      </c>
      <c r="T113" s="42"/>
      <c r="U113" s="30"/>
      <c r="V113" s="30" t="s">
        <v>682</v>
      </c>
    </row>
    <row r="114">
      <c r="A114" s="30" t="s">
        <v>363</v>
      </c>
      <c r="B114" s="30" t="s">
        <v>364</v>
      </c>
      <c r="C114" s="30" t="s">
        <v>365</v>
      </c>
      <c r="D114" s="30"/>
      <c r="E114" s="30"/>
      <c r="F114" s="30"/>
      <c r="G114" s="23" t="s">
        <v>684</v>
      </c>
      <c r="H114" s="39" t="s">
        <v>685</v>
      </c>
      <c r="I114" s="38">
        <f t="shared" si="1"/>
        <v>40</v>
      </c>
      <c r="J114" s="30" t="s">
        <v>368</v>
      </c>
      <c r="K114" s="39" t="s">
        <v>686</v>
      </c>
      <c r="L114" s="39" t="s">
        <v>686</v>
      </c>
      <c r="M114" s="19">
        <v>2.5</v>
      </c>
      <c r="N114" s="19">
        <v>2.5</v>
      </c>
      <c r="O114" s="38">
        <v>4.41899E7</v>
      </c>
      <c r="P114" s="38">
        <v>1.0</v>
      </c>
      <c r="Q114" s="39" t="s">
        <v>370</v>
      </c>
      <c r="R114" s="40">
        <v>1014.5505084745764</v>
      </c>
      <c r="S114" s="19">
        <v>2500.0</v>
      </c>
      <c r="T114" s="42"/>
      <c r="U114" s="30"/>
      <c r="V114" s="30" t="s">
        <v>685</v>
      </c>
    </row>
    <row r="115">
      <c r="A115" s="30" t="s">
        <v>363</v>
      </c>
      <c r="B115" s="30" t="s">
        <v>364</v>
      </c>
      <c r="C115" s="30" t="s">
        <v>365</v>
      </c>
      <c r="D115" s="30"/>
      <c r="E115" s="30"/>
      <c r="F115" s="30"/>
      <c r="G115" s="23" t="s">
        <v>258</v>
      </c>
      <c r="H115" s="39" t="s">
        <v>687</v>
      </c>
      <c r="I115" s="38">
        <f t="shared" si="1"/>
        <v>39</v>
      </c>
      <c r="J115" s="30" t="s">
        <v>368</v>
      </c>
      <c r="K115" s="39" t="s">
        <v>686</v>
      </c>
      <c r="L115" s="39" t="s">
        <v>686</v>
      </c>
      <c r="M115" s="19">
        <v>2.5</v>
      </c>
      <c r="N115" s="19">
        <v>2.5</v>
      </c>
      <c r="O115" s="38">
        <v>4.41899E7</v>
      </c>
      <c r="P115" s="38">
        <v>1.0</v>
      </c>
      <c r="Q115" s="39" t="s">
        <v>370</v>
      </c>
      <c r="R115" s="40">
        <v>1014.5505084745764</v>
      </c>
      <c r="S115" s="19">
        <v>2500.0</v>
      </c>
      <c r="T115" s="42"/>
      <c r="U115" s="30"/>
      <c r="V115" s="30" t="s">
        <v>687</v>
      </c>
    </row>
    <row r="116">
      <c r="A116" s="30" t="s">
        <v>363</v>
      </c>
      <c r="B116" s="30" t="s">
        <v>364</v>
      </c>
      <c r="C116" s="30" t="s">
        <v>365</v>
      </c>
      <c r="D116" s="30"/>
      <c r="E116" s="30"/>
      <c r="F116" s="30"/>
      <c r="G116" s="23" t="s">
        <v>248</v>
      </c>
      <c r="H116" s="39" t="s">
        <v>688</v>
      </c>
      <c r="I116" s="38">
        <f t="shared" si="1"/>
        <v>40</v>
      </c>
      <c r="J116" s="30" t="s">
        <v>368</v>
      </c>
      <c r="K116" s="39" t="s">
        <v>683</v>
      </c>
      <c r="L116" s="39" t="s">
        <v>683</v>
      </c>
      <c r="M116" s="19">
        <v>10.0</v>
      </c>
      <c r="N116" s="19">
        <v>10.0</v>
      </c>
      <c r="O116" s="38">
        <v>4.41899E7</v>
      </c>
      <c r="P116" s="38">
        <v>1.0</v>
      </c>
      <c r="Q116" s="39" t="s">
        <v>370</v>
      </c>
      <c r="R116" s="40">
        <v>4148.387118644067</v>
      </c>
      <c r="S116" s="19">
        <f>7500</f>
        <v>7500</v>
      </c>
      <c r="T116" s="42"/>
      <c r="U116" s="30"/>
      <c r="V116" s="30" t="s">
        <v>688</v>
      </c>
    </row>
    <row r="117">
      <c r="A117" s="30" t="s">
        <v>363</v>
      </c>
      <c r="B117" s="30" t="s">
        <v>364</v>
      </c>
      <c r="C117" s="30" t="s">
        <v>365</v>
      </c>
      <c r="D117" s="30"/>
      <c r="E117" s="30"/>
      <c r="F117" s="30"/>
      <c r="G117" s="23" t="s">
        <v>689</v>
      </c>
      <c r="H117" s="39" t="s">
        <v>690</v>
      </c>
      <c r="I117" s="38">
        <f t="shared" si="1"/>
        <v>39</v>
      </c>
      <c r="J117" s="30" t="s">
        <v>368</v>
      </c>
      <c r="K117" s="39" t="s">
        <v>686</v>
      </c>
      <c r="L117" s="39" t="s">
        <v>686</v>
      </c>
      <c r="M117" s="19">
        <v>2.5</v>
      </c>
      <c r="N117" s="19">
        <v>2.5</v>
      </c>
      <c r="O117" s="38">
        <v>4.41899E7</v>
      </c>
      <c r="P117" s="38">
        <v>1.0</v>
      </c>
      <c r="Q117" s="39" t="s">
        <v>370</v>
      </c>
      <c r="R117" s="40">
        <v>1087.0237288135593</v>
      </c>
      <c r="S117" s="19">
        <v>2500.0</v>
      </c>
      <c r="T117" s="42"/>
      <c r="U117" s="30"/>
      <c r="V117" s="30" t="s">
        <v>690</v>
      </c>
    </row>
    <row r="118">
      <c r="A118" s="30" t="s">
        <v>363</v>
      </c>
      <c r="B118" s="30" t="s">
        <v>364</v>
      </c>
      <c r="C118" s="30" t="s">
        <v>365</v>
      </c>
      <c r="D118" s="30"/>
      <c r="E118" s="30"/>
      <c r="F118" s="30"/>
      <c r="G118" s="23" t="s">
        <v>691</v>
      </c>
      <c r="H118" s="39" t="s">
        <v>692</v>
      </c>
      <c r="I118" s="38">
        <f t="shared" si="1"/>
        <v>36</v>
      </c>
      <c r="J118" s="30" t="s">
        <v>368</v>
      </c>
      <c r="K118" s="39" t="s">
        <v>683</v>
      </c>
      <c r="L118" s="39" t="s">
        <v>683</v>
      </c>
      <c r="M118" s="19">
        <v>10.0</v>
      </c>
      <c r="N118" s="19">
        <v>10.0</v>
      </c>
      <c r="O118" s="38">
        <v>4.41899E7</v>
      </c>
      <c r="P118" s="38">
        <v>1.0</v>
      </c>
      <c r="Q118" s="39" t="s">
        <v>370</v>
      </c>
      <c r="R118" s="40">
        <v>4444.701016949152</v>
      </c>
      <c r="S118" s="19">
        <f t="shared" ref="S118:S119" si="16">7500</f>
        <v>7500</v>
      </c>
      <c r="T118" s="42"/>
      <c r="U118" s="30"/>
      <c r="V118" s="30" t="s">
        <v>692</v>
      </c>
    </row>
    <row r="119">
      <c r="A119" s="30" t="s">
        <v>363</v>
      </c>
      <c r="B119" s="30" t="s">
        <v>364</v>
      </c>
      <c r="C119" s="30" t="s">
        <v>365</v>
      </c>
      <c r="D119" s="30"/>
      <c r="E119" s="30"/>
      <c r="F119" s="30"/>
      <c r="G119" s="23" t="s">
        <v>236</v>
      </c>
      <c r="H119" s="39" t="s">
        <v>693</v>
      </c>
      <c r="I119" s="38">
        <f t="shared" si="1"/>
        <v>40</v>
      </c>
      <c r="J119" s="30" t="s">
        <v>368</v>
      </c>
      <c r="K119" s="39" t="s">
        <v>683</v>
      </c>
      <c r="L119" s="39" t="s">
        <v>683</v>
      </c>
      <c r="M119" s="19">
        <v>10.0</v>
      </c>
      <c r="N119" s="19">
        <v>10.0</v>
      </c>
      <c r="O119" s="38">
        <v>4.41899E7</v>
      </c>
      <c r="P119" s="38">
        <v>1.0</v>
      </c>
      <c r="Q119" s="39" t="s">
        <v>370</v>
      </c>
      <c r="R119" s="40">
        <v>4148.387118644067</v>
      </c>
      <c r="S119" s="19">
        <f t="shared" si="16"/>
        <v>7500</v>
      </c>
      <c r="T119" s="42"/>
      <c r="U119" s="30"/>
      <c r="V119" s="30" t="s">
        <v>693</v>
      </c>
    </row>
    <row r="120">
      <c r="A120" s="30" t="s">
        <v>363</v>
      </c>
      <c r="B120" s="30" t="s">
        <v>364</v>
      </c>
      <c r="C120" s="30" t="s">
        <v>365</v>
      </c>
      <c r="D120" s="30"/>
      <c r="E120" s="30"/>
      <c r="F120" s="30"/>
      <c r="G120" s="23" t="s">
        <v>694</v>
      </c>
      <c r="H120" s="39" t="s">
        <v>695</v>
      </c>
      <c r="I120" s="38">
        <f t="shared" si="1"/>
        <v>40</v>
      </c>
      <c r="J120" s="30" t="s">
        <v>368</v>
      </c>
      <c r="K120" s="39" t="s">
        <v>686</v>
      </c>
      <c r="L120" s="39" t="s">
        <v>686</v>
      </c>
      <c r="M120" s="19">
        <v>2.5</v>
      </c>
      <c r="N120" s="19">
        <v>2.5</v>
      </c>
      <c r="O120" s="38">
        <v>4.41899E7</v>
      </c>
      <c r="P120" s="38">
        <v>1.0</v>
      </c>
      <c r="Q120" s="39" t="s">
        <v>370</v>
      </c>
      <c r="R120" s="40">
        <v>1014.5505084745764</v>
      </c>
      <c r="S120" s="19">
        <v>2500.0</v>
      </c>
      <c r="T120" s="42"/>
      <c r="U120" s="30"/>
      <c r="V120" s="30" t="s">
        <v>695</v>
      </c>
    </row>
    <row r="121">
      <c r="A121" s="30" t="s">
        <v>363</v>
      </c>
      <c r="B121" s="30" t="s">
        <v>364</v>
      </c>
      <c r="C121" s="30" t="s">
        <v>365</v>
      </c>
      <c r="D121" s="30"/>
      <c r="E121" s="30"/>
      <c r="F121" s="30"/>
      <c r="G121" s="23" t="s">
        <v>696</v>
      </c>
      <c r="H121" s="39" t="s">
        <v>697</v>
      </c>
      <c r="I121" s="38">
        <f t="shared" si="1"/>
        <v>34</v>
      </c>
      <c r="J121" s="30" t="s">
        <v>368</v>
      </c>
      <c r="K121" s="39" t="s">
        <v>686</v>
      </c>
      <c r="L121" s="39" t="s">
        <v>686</v>
      </c>
      <c r="M121" s="19">
        <v>2.5</v>
      </c>
      <c r="N121" s="19">
        <v>2.5</v>
      </c>
      <c r="O121" s="38">
        <v>4.41899E7</v>
      </c>
      <c r="P121" s="38">
        <v>1.0</v>
      </c>
      <c r="Q121" s="39" t="s">
        <v>370</v>
      </c>
      <c r="R121" s="40">
        <v>1087.0237288135593</v>
      </c>
      <c r="S121" s="19">
        <v>2500.0</v>
      </c>
      <c r="T121" s="42"/>
      <c r="U121" s="30"/>
      <c r="V121" s="30" t="s">
        <v>697</v>
      </c>
    </row>
    <row r="122">
      <c r="A122" s="30" t="s">
        <v>363</v>
      </c>
      <c r="B122" s="30" t="s">
        <v>364</v>
      </c>
      <c r="C122" s="30" t="s">
        <v>365</v>
      </c>
      <c r="D122" s="30"/>
      <c r="E122" s="30"/>
      <c r="F122" s="30"/>
      <c r="G122" s="23" t="s">
        <v>698</v>
      </c>
      <c r="H122" s="39" t="s">
        <v>699</v>
      </c>
      <c r="I122" s="38">
        <f t="shared" si="1"/>
        <v>31</v>
      </c>
      <c r="J122" s="30" t="s">
        <v>368</v>
      </c>
      <c r="K122" s="39" t="s">
        <v>683</v>
      </c>
      <c r="L122" s="39" t="s">
        <v>683</v>
      </c>
      <c r="M122" s="19">
        <v>10.0</v>
      </c>
      <c r="N122" s="19">
        <v>10.0</v>
      </c>
      <c r="O122" s="38">
        <v>4.41899E7</v>
      </c>
      <c r="P122" s="38">
        <v>1.0</v>
      </c>
      <c r="Q122" s="39" t="s">
        <v>370</v>
      </c>
      <c r="R122" s="40">
        <v>4444.701016949152</v>
      </c>
      <c r="S122" s="19">
        <f>7500</f>
        <v>7500</v>
      </c>
      <c r="T122" s="42"/>
      <c r="U122" s="30"/>
      <c r="V122" s="30" t="s">
        <v>699</v>
      </c>
    </row>
    <row r="123">
      <c r="A123" s="30" t="s">
        <v>363</v>
      </c>
      <c r="B123" s="30" t="s">
        <v>364</v>
      </c>
      <c r="C123" s="30" t="s">
        <v>365</v>
      </c>
      <c r="D123" s="30"/>
      <c r="E123" s="30"/>
      <c r="F123" s="30"/>
      <c r="G123" s="23" t="s">
        <v>700</v>
      </c>
      <c r="H123" s="39" t="s">
        <v>701</v>
      </c>
      <c r="I123" s="38">
        <f t="shared" si="1"/>
        <v>40</v>
      </c>
      <c r="J123" s="30" t="s">
        <v>368</v>
      </c>
      <c r="K123" s="39" t="s">
        <v>686</v>
      </c>
      <c r="L123" s="39" t="s">
        <v>686</v>
      </c>
      <c r="M123" s="19">
        <v>2.5</v>
      </c>
      <c r="N123" s="19">
        <v>2.5</v>
      </c>
      <c r="O123" s="38">
        <v>4.41899E7</v>
      </c>
      <c r="P123" s="38">
        <v>1.0</v>
      </c>
      <c r="Q123" s="39" t="s">
        <v>370</v>
      </c>
      <c r="R123" s="40">
        <v>1159.4894915254238</v>
      </c>
      <c r="S123" s="19">
        <f>2500</f>
        <v>2500</v>
      </c>
      <c r="T123" s="42"/>
      <c r="U123" s="30"/>
      <c r="V123" s="30" t="s">
        <v>701</v>
      </c>
    </row>
    <row r="124">
      <c r="A124" s="30" t="s">
        <v>363</v>
      </c>
      <c r="B124" s="30" t="s">
        <v>364</v>
      </c>
      <c r="C124" s="30" t="s">
        <v>365</v>
      </c>
      <c r="D124" s="30"/>
      <c r="E124" s="30"/>
      <c r="F124" s="30"/>
      <c r="G124" s="23" t="s">
        <v>702</v>
      </c>
      <c r="H124" s="39" t="s">
        <v>703</v>
      </c>
      <c r="I124" s="38">
        <f t="shared" si="1"/>
        <v>39</v>
      </c>
      <c r="J124" s="30" t="s">
        <v>368</v>
      </c>
      <c r="K124" s="39" t="s">
        <v>683</v>
      </c>
      <c r="L124" s="39" t="s">
        <v>683</v>
      </c>
      <c r="M124" s="19">
        <v>10.0</v>
      </c>
      <c r="N124" s="19">
        <v>10.0</v>
      </c>
      <c r="O124" s="38">
        <v>4.41899E7</v>
      </c>
      <c r="P124" s="38">
        <v>1.0</v>
      </c>
      <c r="Q124" s="39" t="s">
        <v>370</v>
      </c>
      <c r="R124" s="40">
        <v>4741.014915254238</v>
      </c>
      <c r="S124" s="19">
        <f t="shared" ref="S124:S125" si="17">7500</f>
        <v>7500</v>
      </c>
      <c r="T124" s="42"/>
      <c r="U124" s="30"/>
      <c r="V124" s="30" t="s">
        <v>703</v>
      </c>
    </row>
    <row r="125">
      <c r="A125" s="30" t="s">
        <v>363</v>
      </c>
      <c r="B125" s="30" t="s">
        <v>364</v>
      </c>
      <c r="C125" s="30" t="s">
        <v>365</v>
      </c>
      <c r="D125" s="30"/>
      <c r="E125" s="30"/>
      <c r="F125" s="30"/>
      <c r="G125" s="23" t="s">
        <v>245</v>
      </c>
      <c r="H125" s="39" t="s">
        <v>704</v>
      </c>
      <c r="I125" s="38">
        <f t="shared" si="1"/>
        <v>38</v>
      </c>
      <c r="J125" s="30" t="s">
        <v>368</v>
      </c>
      <c r="K125" s="39" t="s">
        <v>683</v>
      </c>
      <c r="L125" s="39" t="s">
        <v>683</v>
      </c>
      <c r="M125" s="19">
        <v>10.0</v>
      </c>
      <c r="N125" s="19">
        <v>10.0</v>
      </c>
      <c r="O125" s="38">
        <v>4.41899E7</v>
      </c>
      <c r="P125" s="38">
        <v>1.0</v>
      </c>
      <c r="Q125" s="39" t="s">
        <v>370</v>
      </c>
      <c r="R125" s="40">
        <v>4741.014915254238</v>
      </c>
      <c r="S125" s="19">
        <f t="shared" si="17"/>
        <v>7500</v>
      </c>
      <c r="T125" s="42"/>
      <c r="U125" s="30"/>
      <c r="V125" s="30" t="s">
        <v>704</v>
      </c>
    </row>
    <row r="126">
      <c r="A126" s="30" t="s">
        <v>363</v>
      </c>
      <c r="B126" s="30" t="s">
        <v>364</v>
      </c>
      <c r="C126" s="30" t="s">
        <v>365</v>
      </c>
      <c r="D126" s="30"/>
      <c r="E126" s="30"/>
      <c r="F126" s="30"/>
      <c r="G126" s="23" t="s">
        <v>705</v>
      </c>
      <c r="H126" s="39" t="s">
        <v>706</v>
      </c>
      <c r="I126" s="38">
        <f t="shared" si="1"/>
        <v>40</v>
      </c>
      <c r="J126" s="30" t="s">
        <v>368</v>
      </c>
      <c r="K126" s="39" t="s">
        <v>686</v>
      </c>
      <c r="L126" s="39" t="s">
        <v>686</v>
      </c>
      <c r="M126" s="19">
        <v>2.5</v>
      </c>
      <c r="N126" s="19">
        <v>2.5</v>
      </c>
      <c r="O126" s="38">
        <v>4.41899E7</v>
      </c>
      <c r="P126" s="38">
        <v>1.0</v>
      </c>
      <c r="Q126" s="39" t="s">
        <v>370</v>
      </c>
      <c r="R126" s="40">
        <v>1159.4894915254238</v>
      </c>
      <c r="S126" s="19">
        <f>2500</f>
        <v>2500</v>
      </c>
      <c r="T126" s="42"/>
      <c r="U126" s="30"/>
      <c r="V126" s="30" t="s">
        <v>706</v>
      </c>
    </row>
    <row r="127">
      <c r="A127" s="30" t="s">
        <v>363</v>
      </c>
      <c r="B127" s="30" t="s">
        <v>364</v>
      </c>
      <c r="C127" s="30" t="s">
        <v>365</v>
      </c>
      <c r="D127" s="30"/>
      <c r="E127" s="30"/>
      <c r="F127" s="30"/>
      <c r="G127" s="23" t="s">
        <v>276</v>
      </c>
      <c r="H127" s="39" t="s">
        <v>707</v>
      </c>
      <c r="I127" s="38">
        <f t="shared" si="1"/>
        <v>35</v>
      </c>
      <c r="J127" s="30" t="s">
        <v>368</v>
      </c>
      <c r="K127" s="39" t="s">
        <v>686</v>
      </c>
      <c r="L127" s="39" t="s">
        <v>686</v>
      </c>
      <c r="M127" s="19">
        <v>2.5</v>
      </c>
      <c r="N127" s="19">
        <v>2.5</v>
      </c>
      <c r="O127" s="38">
        <v>4.41899E7</v>
      </c>
      <c r="P127" s="38">
        <v>1.0</v>
      </c>
      <c r="Q127" s="39" t="s">
        <v>370</v>
      </c>
      <c r="R127" s="40">
        <v>1014.5505084745764</v>
      </c>
      <c r="S127" s="19">
        <v>2500.0</v>
      </c>
      <c r="T127" s="42"/>
      <c r="U127" s="30"/>
      <c r="V127" s="30" t="s">
        <v>707</v>
      </c>
    </row>
    <row r="128">
      <c r="A128" s="30" t="s">
        <v>363</v>
      </c>
      <c r="B128" s="30" t="s">
        <v>364</v>
      </c>
      <c r="C128" s="30" t="s">
        <v>365</v>
      </c>
      <c r="D128" s="30"/>
      <c r="E128" s="30"/>
      <c r="F128" s="30"/>
      <c r="G128" s="23" t="s">
        <v>244</v>
      </c>
      <c r="H128" s="39" t="s">
        <v>708</v>
      </c>
      <c r="I128" s="38">
        <f t="shared" si="1"/>
        <v>39</v>
      </c>
      <c r="J128" s="30" t="s">
        <v>368</v>
      </c>
      <c r="K128" s="39" t="s">
        <v>683</v>
      </c>
      <c r="L128" s="39" t="s">
        <v>683</v>
      </c>
      <c r="M128" s="19">
        <v>10.0</v>
      </c>
      <c r="N128" s="19">
        <v>10.0</v>
      </c>
      <c r="O128" s="38">
        <v>4.41899E7</v>
      </c>
      <c r="P128" s="38">
        <v>1.0</v>
      </c>
      <c r="Q128" s="39" t="s">
        <v>370</v>
      </c>
      <c r="R128" s="40">
        <v>4148.387118644067</v>
      </c>
      <c r="S128" s="19">
        <f t="shared" ref="S128:S129" si="18">7500</f>
        <v>7500</v>
      </c>
      <c r="T128" s="42"/>
      <c r="U128" s="30"/>
      <c r="V128" s="30" t="s">
        <v>708</v>
      </c>
    </row>
    <row r="129">
      <c r="A129" s="30" t="s">
        <v>363</v>
      </c>
      <c r="B129" s="30" t="s">
        <v>364</v>
      </c>
      <c r="C129" s="30" t="s">
        <v>365</v>
      </c>
      <c r="D129" s="30"/>
      <c r="E129" s="30"/>
      <c r="F129" s="30"/>
      <c r="G129" s="23" t="s">
        <v>243</v>
      </c>
      <c r="H129" s="39" t="s">
        <v>709</v>
      </c>
      <c r="I129" s="38">
        <f t="shared" si="1"/>
        <v>39</v>
      </c>
      <c r="J129" s="30" t="s">
        <v>368</v>
      </c>
      <c r="K129" s="39" t="s">
        <v>683</v>
      </c>
      <c r="L129" s="39" t="s">
        <v>683</v>
      </c>
      <c r="M129" s="19">
        <v>10.0</v>
      </c>
      <c r="N129" s="19">
        <v>10.0</v>
      </c>
      <c r="O129" s="38">
        <v>4.41899E7</v>
      </c>
      <c r="P129" s="38">
        <v>1.0</v>
      </c>
      <c r="Q129" s="39" t="s">
        <v>370</v>
      </c>
      <c r="R129" s="40">
        <v>4148.387118644067</v>
      </c>
      <c r="S129" s="19">
        <f t="shared" si="18"/>
        <v>7500</v>
      </c>
      <c r="T129" s="42"/>
      <c r="U129" s="30"/>
      <c r="V129" s="30" t="s">
        <v>709</v>
      </c>
    </row>
    <row r="130">
      <c r="A130" s="30" t="s">
        <v>363</v>
      </c>
      <c r="B130" s="30" t="s">
        <v>364</v>
      </c>
      <c r="C130" s="30" t="s">
        <v>365</v>
      </c>
      <c r="D130" s="30"/>
      <c r="E130" s="30"/>
      <c r="F130" s="30"/>
      <c r="G130" s="23" t="s">
        <v>279</v>
      </c>
      <c r="H130" s="39" t="s">
        <v>710</v>
      </c>
      <c r="I130" s="38">
        <f t="shared" si="1"/>
        <v>40</v>
      </c>
      <c r="J130" s="30" t="s">
        <v>368</v>
      </c>
      <c r="K130" s="39" t="s">
        <v>686</v>
      </c>
      <c r="L130" s="39" t="s">
        <v>686</v>
      </c>
      <c r="M130" s="19">
        <v>2.5</v>
      </c>
      <c r="N130" s="19">
        <v>2.5</v>
      </c>
      <c r="O130" s="38">
        <v>4.41899E7</v>
      </c>
      <c r="P130" s="38">
        <v>1.0</v>
      </c>
      <c r="Q130" s="39" t="s">
        <v>370</v>
      </c>
      <c r="R130" s="40">
        <v>1014.5505084745764</v>
      </c>
      <c r="S130" s="19">
        <v>2500.0</v>
      </c>
      <c r="T130" s="42"/>
      <c r="U130" s="30"/>
      <c r="V130" s="30" t="s">
        <v>710</v>
      </c>
    </row>
    <row r="131">
      <c r="A131" s="30" t="s">
        <v>363</v>
      </c>
      <c r="B131" s="30" t="s">
        <v>364</v>
      </c>
      <c r="C131" s="30" t="s">
        <v>365</v>
      </c>
      <c r="D131" s="30"/>
      <c r="E131" s="30"/>
      <c r="F131" s="30"/>
      <c r="G131" s="23" t="s">
        <v>247</v>
      </c>
      <c r="H131" s="39" t="s">
        <v>711</v>
      </c>
      <c r="I131" s="38">
        <f t="shared" si="1"/>
        <v>40</v>
      </c>
      <c r="J131" s="30" t="s">
        <v>368</v>
      </c>
      <c r="K131" s="39" t="s">
        <v>686</v>
      </c>
      <c r="L131" s="39" t="s">
        <v>686</v>
      </c>
      <c r="M131" s="19">
        <v>2.5</v>
      </c>
      <c r="N131" s="19">
        <v>2.5</v>
      </c>
      <c r="O131" s="38">
        <v>4.41899E7</v>
      </c>
      <c r="P131" s="38">
        <v>1.0</v>
      </c>
      <c r="Q131" s="39" t="s">
        <v>370</v>
      </c>
      <c r="R131" s="40">
        <v>1014.5505084745764</v>
      </c>
      <c r="S131" s="19">
        <v>2500.0</v>
      </c>
      <c r="T131" s="42"/>
      <c r="U131" s="30"/>
      <c r="V131" s="30" t="s">
        <v>711</v>
      </c>
    </row>
    <row r="132">
      <c r="A132" s="30" t="s">
        <v>363</v>
      </c>
      <c r="B132" s="30" t="s">
        <v>364</v>
      </c>
      <c r="C132" s="30" t="s">
        <v>365</v>
      </c>
      <c r="D132" s="30"/>
      <c r="E132" s="30"/>
      <c r="F132" s="30"/>
      <c r="G132" s="23" t="s">
        <v>242</v>
      </c>
      <c r="H132" s="39" t="s">
        <v>712</v>
      </c>
      <c r="I132" s="38">
        <f t="shared" si="1"/>
        <v>32</v>
      </c>
      <c r="J132" s="30" t="s">
        <v>368</v>
      </c>
      <c r="K132" s="39" t="s">
        <v>683</v>
      </c>
      <c r="L132" s="39" t="s">
        <v>683</v>
      </c>
      <c r="M132" s="19">
        <v>10.0</v>
      </c>
      <c r="N132" s="19">
        <v>10.0</v>
      </c>
      <c r="O132" s="38">
        <v>4.41899E7</v>
      </c>
      <c r="P132" s="38">
        <v>1.0</v>
      </c>
      <c r="Q132" s="39" t="s">
        <v>370</v>
      </c>
      <c r="R132" s="40">
        <v>4148.387118644067</v>
      </c>
      <c r="S132" s="19">
        <f t="shared" ref="S132:S133" si="19">7500</f>
        <v>7500</v>
      </c>
      <c r="T132" s="42"/>
      <c r="U132" s="30"/>
      <c r="V132" s="30" t="s">
        <v>712</v>
      </c>
    </row>
    <row r="133">
      <c r="A133" s="30" t="s">
        <v>363</v>
      </c>
      <c r="B133" s="30" t="s">
        <v>364</v>
      </c>
      <c r="C133" s="30" t="s">
        <v>365</v>
      </c>
      <c r="D133" s="30"/>
      <c r="E133" s="30"/>
      <c r="F133" s="30"/>
      <c r="G133" s="23" t="s">
        <v>240</v>
      </c>
      <c r="H133" s="39" t="s">
        <v>713</v>
      </c>
      <c r="I133" s="38">
        <f t="shared" si="1"/>
        <v>39</v>
      </c>
      <c r="J133" s="30" t="s">
        <v>368</v>
      </c>
      <c r="K133" s="39" t="s">
        <v>683</v>
      </c>
      <c r="L133" s="39" t="s">
        <v>683</v>
      </c>
      <c r="M133" s="19">
        <v>10.0</v>
      </c>
      <c r="N133" s="19">
        <v>10.0</v>
      </c>
      <c r="O133" s="38">
        <v>4.41899E7</v>
      </c>
      <c r="P133" s="38">
        <v>1.0</v>
      </c>
      <c r="Q133" s="39" t="s">
        <v>370</v>
      </c>
      <c r="R133" s="40">
        <v>4148.387118644067</v>
      </c>
      <c r="S133" s="19">
        <f t="shared" si="19"/>
        <v>7500</v>
      </c>
      <c r="T133" s="42"/>
      <c r="U133" s="30"/>
      <c r="V133" s="30" t="s">
        <v>713</v>
      </c>
    </row>
    <row r="134">
      <c r="A134" s="30" t="s">
        <v>363</v>
      </c>
      <c r="B134" s="30" t="s">
        <v>364</v>
      </c>
      <c r="C134" s="30" t="s">
        <v>365</v>
      </c>
      <c r="D134" s="30"/>
      <c r="E134" s="30"/>
      <c r="F134" s="30"/>
      <c r="G134" s="23" t="s">
        <v>246</v>
      </c>
      <c r="H134" s="39" t="s">
        <v>714</v>
      </c>
      <c r="I134" s="38">
        <f t="shared" si="1"/>
        <v>40</v>
      </c>
      <c r="J134" s="30" t="s">
        <v>368</v>
      </c>
      <c r="K134" s="39" t="s">
        <v>686</v>
      </c>
      <c r="L134" s="39" t="s">
        <v>686</v>
      </c>
      <c r="M134" s="19">
        <v>2.5</v>
      </c>
      <c r="N134" s="19">
        <v>2.5</v>
      </c>
      <c r="O134" s="38">
        <v>4.41899E7</v>
      </c>
      <c r="P134" s="38">
        <v>1.0</v>
      </c>
      <c r="Q134" s="39" t="s">
        <v>370</v>
      </c>
      <c r="R134" s="40">
        <v>1014.5505084745764</v>
      </c>
      <c r="S134" s="19">
        <v>2500.0</v>
      </c>
      <c r="T134" s="42"/>
      <c r="U134" s="30"/>
      <c r="V134" s="30" t="s">
        <v>714</v>
      </c>
    </row>
    <row r="135">
      <c r="A135" s="30" t="s">
        <v>363</v>
      </c>
      <c r="B135" s="30" t="s">
        <v>364</v>
      </c>
      <c r="C135" s="30" t="s">
        <v>365</v>
      </c>
      <c r="D135" s="30"/>
      <c r="E135" s="30"/>
      <c r="F135" s="30"/>
      <c r="G135" s="23" t="s">
        <v>715</v>
      </c>
      <c r="H135" s="39" t="s">
        <v>716</v>
      </c>
      <c r="I135" s="38">
        <f t="shared" si="1"/>
        <v>39</v>
      </c>
      <c r="J135" s="30" t="s">
        <v>368</v>
      </c>
      <c r="K135" s="39" t="s">
        <v>686</v>
      </c>
      <c r="L135" s="39" t="s">
        <v>686</v>
      </c>
      <c r="M135" s="19">
        <v>2.5</v>
      </c>
      <c r="N135" s="19">
        <v>2.5</v>
      </c>
      <c r="O135" s="38">
        <v>4.41899E7</v>
      </c>
      <c r="P135" s="38">
        <v>1.0</v>
      </c>
      <c r="Q135" s="39" t="s">
        <v>370</v>
      </c>
      <c r="R135" s="40">
        <v>1014.5505084745764</v>
      </c>
      <c r="S135" s="19">
        <v>2500.0</v>
      </c>
      <c r="T135" s="42"/>
      <c r="U135" s="30"/>
      <c r="V135" s="30" t="s">
        <v>716</v>
      </c>
    </row>
    <row r="136">
      <c r="A136" s="30" t="s">
        <v>363</v>
      </c>
      <c r="B136" s="30" t="s">
        <v>364</v>
      </c>
      <c r="C136" s="30" t="s">
        <v>365</v>
      </c>
      <c r="D136" s="30"/>
      <c r="E136" s="30"/>
      <c r="F136" s="30"/>
      <c r="G136" s="23" t="s">
        <v>717</v>
      </c>
      <c r="H136" s="39" t="s">
        <v>718</v>
      </c>
      <c r="I136" s="38">
        <f t="shared" si="1"/>
        <v>36</v>
      </c>
      <c r="J136" s="30" t="s">
        <v>368</v>
      </c>
      <c r="K136" s="39" t="s">
        <v>683</v>
      </c>
      <c r="L136" s="39" t="s">
        <v>683</v>
      </c>
      <c r="M136" s="19">
        <v>10.0</v>
      </c>
      <c r="N136" s="19">
        <v>10.0</v>
      </c>
      <c r="O136" s="38">
        <v>4.41899E7</v>
      </c>
      <c r="P136" s="38">
        <v>1.0</v>
      </c>
      <c r="Q136" s="39" t="s">
        <v>370</v>
      </c>
      <c r="R136" s="40">
        <v>4148.387118644067</v>
      </c>
      <c r="S136" s="19">
        <f>7500</f>
        <v>7500</v>
      </c>
      <c r="T136" s="42"/>
      <c r="U136" s="30"/>
      <c r="V136" s="30" t="s">
        <v>718</v>
      </c>
    </row>
    <row r="137">
      <c r="A137" s="30" t="s">
        <v>363</v>
      </c>
      <c r="B137" s="30" t="s">
        <v>364</v>
      </c>
      <c r="C137" s="30" t="s">
        <v>365</v>
      </c>
      <c r="D137" s="30"/>
      <c r="E137" s="30"/>
      <c r="F137" s="30"/>
      <c r="G137" s="23" t="s">
        <v>278</v>
      </c>
      <c r="H137" s="39" t="s">
        <v>719</v>
      </c>
      <c r="I137" s="38">
        <f t="shared" si="1"/>
        <v>39</v>
      </c>
      <c r="J137" s="30" t="s">
        <v>368</v>
      </c>
      <c r="K137" s="39" t="s">
        <v>686</v>
      </c>
      <c r="L137" s="39" t="s">
        <v>686</v>
      </c>
      <c r="M137" s="19">
        <v>2.5</v>
      </c>
      <c r="N137" s="19">
        <v>2.5</v>
      </c>
      <c r="O137" s="38">
        <v>4.41899E7</v>
      </c>
      <c r="P137" s="38">
        <v>1.0</v>
      </c>
      <c r="Q137" s="39" t="s">
        <v>370</v>
      </c>
      <c r="R137" s="40">
        <v>1014.5505084745764</v>
      </c>
      <c r="S137" s="19">
        <v>2500.0</v>
      </c>
      <c r="T137" s="42"/>
      <c r="U137" s="30"/>
      <c r="V137" s="30" t="s">
        <v>719</v>
      </c>
    </row>
    <row r="138">
      <c r="A138" s="30" t="s">
        <v>363</v>
      </c>
      <c r="B138" s="30" t="s">
        <v>364</v>
      </c>
      <c r="C138" s="30" t="s">
        <v>365</v>
      </c>
      <c r="D138" s="30"/>
      <c r="E138" s="30"/>
      <c r="F138" s="30"/>
      <c r="G138" s="23" t="s">
        <v>720</v>
      </c>
      <c r="H138" s="39" t="s">
        <v>721</v>
      </c>
      <c r="I138" s="38">
        <f t="shared" si="1"/>
        <v>37</v>
      </c>
      <c r="J138" s="30" t="s">
        <v>368</v>
      </c>
      <c r="K138" s="39" t="s">
        <v>683</v>
      </c>
      <c r="L138" s="39" t="s">
        <v>683</v>
      </c>
      <c r="M138" s="19">
        <v>10.0</v>
      </c>
      <c r="N138" s="19">
        <v>10.0</v>
      </c>
      <c r="O138" s="38">
        <v>4.41899E7</v>
      </c>
      <c r="P138" s="38">
        <v>1.0</v>
      </c>
      <c r="Q138" s="39" t="s">
        <v>370</v>
      </c>
      <c r="R138" s="40">
        <v>4148.387118644067</v>
      </c>
      <c r="S138" s="19">
        <f t="shared" ref="S138:S139" si="20">7500</f>
        <v>7500</v>
      </c>
      <c r="T138" s="42"/>
      <c r="U138" s="30"/>
      <c r="V138" s="30" t="s">
        <v>721</v>
      </c>
    </row>
    <row r="139">
      <c r="A139" s="30" t="s">
        <v>363</v>
      </c>
      <c r="B139" s="30" t="s">
        <v>364</v>
      </c>
      <c r="C139" s="30" t="s">
        <v>365</v>
      </c>
      <c r="D139" s="30"/>
      <c r="E139" s="30"/>
      <c r="F139" s="30"/>
      <c r="G139" s="23" t="s">
        <v>239</v>
      </c>
      <c r="H139" s="39" t="s">
        <v>722</v>
      </c>
      <c r="I139" s="38">
        <f t="shared" si="1"/>
        <v>37</v>
      </c>
      <c r="J139" s="30" t="s">
        <v>368</v>
      </c>
      <c r="K139" s="39" t="s">
        <v>683</v>
      </c>
      <c r="L139" s="39" t="s">
        <v>683</v>
      </c>
      <c r="M139" s="19">
        <v>10.0</v>
      </c>
      <c r="N139" s="19">
        <v>10.0</v>
      </c>
      <c r="O139" s="38">
        <v>4.41899E7</v>
      </c>
      <c r="P139" s="38">
        <v>1.0</v>
      </c>
      <c r="Q139" s="39" t="s">
        <v>370</v>
      </c>
      <c r="R139" s="40">
        <v>4148.387118644067</v>
      </c>
      <c r="S139" s="19">
        <f t="shared" si="20"/>
        <v>7500</v>
      </c>
      <c r="T139" s="42"/>
      <c r="U139" s="30"/>
      <c r="V139" s="30" t="s">
        <v>722</v>
      </c>
    </row>
    <row r="140">
      <c r="A140" s="30" t="s">
        <v>363</v>
      </c>
      <c r="B140" s="30" t="s">
        <v>364</v>
      </c>
      <c r="C140" s="30" t="s">
        <v>365</v>
      </c>
      <c r="D140" s="30"/>
      <c r="E140" s="30"/>
      <c r="F140" s="30"/>
      <c r="G140" s="23" t="s">
        <v>723</v>
      </c>
      <c r="H140" s="39" t="s">
        <v>724</v>
      </c>
      <c r="I140" s="38">
        <f t="shared" si="1"/>
        <v>40</v>
      </c>
      <c r="J140" s="30" t="s">
        <v>368</v>
      </c>
      <c r="K140" s="39" t="s">
        <v>686</v>
      </c>
      <c r="L140" s="39" t="s">
        <v>686</v>
      </c>
      <c r="M140" s="19">
        <v>2.5</v>
      </c>
      <c r="N140" s="19">
        <v>2.5</v>
      </c>
      <c r="O140" s="38">
        <v>4.41899E7</v>
      </c>
      <c r="P140" s="38">
        <v>1.0</v>
      </c>
      <c r="Q140" s="39" t="s">
        <v>370</v>
      </c>
      <c r="R140" s="40">
        <v>1014.5505084745764</v>
      </c>
      <c r="S140" s="19">
        <v>2500.0</v>
      </c>
      <c r="T140" s="42"/>
      <c r="U140" s="30"/>
      <c r="V140" s="30" t="s">
        <v>724</v>
      </c>
    </row>
    <row r="141">
      <c r="A141" s="30" t="s">
        <v>363</v>
      </c>
      <c r="B141" s="30" t="s">
        <v>364</v>
      </c>
      <c r="C141" s="30" t="s">
        <v>365</v>
      </c>
      <c r="D141" s="30"/>
      <c r="E141" s="30"/>
      <c r="F141" s="30"/>
      <c r="G141" s="23" t="s">
        <v>257</v>
      </c>
      <c r="H141" s="39" t="s">
        <v>725</v>
      </c>
      <c r="I141" s="38">
        <f t="shared" si="1"/>
        <v>34</v>
      </c>
      <c r="J141" s="30" t="s">
        <v>368</v>
      </c>
      <c r="K141" s="39" t="s">
        <v>686</v>
      </c>
      <c r="L141" s="39" t="s">
        <v>686</v>
      </c>
      <c r="M141" s="19">
        <v>2.5</v>
      </c>
      <c r="N141" s="19">
        <v>2.5</v>
      </c>
      <c r="O141" s="38">
        <v>4.41899E7</v>
      </c>
      <c r="P141" s="38">
        <v>1.0</v>
      </c>
      <c r="Q141" s="39" t="s">
        <v>370</v>
      </c>
      <c r="R141" s="40">
        <v>1087.0237288135593</v>
      </c>
      <c r="S141" s="19">
        <v>2500.0</v>
      </c>
      <c r="T141" s="42"/>
      <c r="U141" s="30"/>
      <c r="V141" s="30" t="s">
        <v>725</v>
      </c>
    </row>
    <row r="142">
      <c r="A142" s="30" t="s">
        <v>363</v>
      </c>
      <c r="B142" s="30" t="s">
        <v>364</v>
      </c>
      <c r="C142" s="30" t="s">
        <v>365</v>
      </c>
      <c r="D142" s="30"/>
      <c r="E142" s="30"/>
      <c r="F142" s="30"/>
      <c r="G142" s="23" t="s">
        <v>726</v>
      </c>
      <c r="H142" s="39" t="s">
        <v>727</v>
      </c>
      <c r="I142" s="38">
        <f t="shared" si="1"/>
        <v>31</v>
      </c>
      <c r="J142" s="30" t="s">
        <v>368</v>
      </c>
      <c r="K142" s="39" t="s">
        <v>683</v>
      </c>
      <c r="L142" s="39" t="s">
        <v>683</v>
      </c>
      <c r="M142" s="19">
        <v>10.0</v>
      </c>
      <c r="N142" s="19">
        <v>10.0</v>
      </c>
      <c r="O142" s="38">
        <v>4.41899E7</v>
      </c>
      <c r="P142" s="38">
        <v>1.0</v>
      </c>
      <c r="Q142" s="39" t="s">
        <v>370</v>
      </c>
      <c r="R142" s="40">
        <v>4444.701016949152</v>
      </c>
      <c r="S142" s="19">
        <f>7500</f>
        <v>7500</v>
      </c>
      <c r="T142" s="42"/>
      <c r="U142" s="30"/>
      <c r="V142" s="30" t="s">
        <v>727</v>
      </c>
    </row>
    <row r="143">
      <c r="A143" s="30" t="s">
        <v>363</v>
      </c>
      <c r="B143" s="30" t="s">
        <v>364</v>
      </c>
      <c r="C143" s="30" t="s">
        <v>365</v>
      </c>
      <c r="D143" s="30"/>
      <c r="E143" s="30"/>
      <c r="F143" s="30"/>
      <c r="G143" s="23" t="s">
        <v>728</v>
      </c>
      <c r="H143" s="39" t="s">
        <v>729</v>
      </c>
      <c r="I143" s="38">
        <f t="shared" si="1"/>
        <v>39</v>
      </c>
      <c r="J143" s="30" t="s">
        <v>368</v>
      </c>
      <c r="K143" s="39" t="s">
        <v>686</v>
      </c>
      <c r="L143" s="39" t="s">
        <v>686</v>
      </c>
      <c r="M143" s="19">
        <v>2.5</v>
      </c>
      <c r="N143" s="19">
        <v>2.5</v>
      </c>
      <c r="O143" s="38">
        <v>4.41899E7</v>
      </c>
      <c r="P143" s="38">
        <v>1.0</v>
      </c>
      <c r="Q143" s="39" t="s">
        <v>370</v>
      </c>
      <c r="R143" s="40">
        <v>1087.0237288135593</v>
      </c>
      <c r="S143" s="19">
        <v>2500.0</v>
      </c>
      <c r="T143" s="42"/>
      <c r="U143" s="30"/>
      <c r="V143" s="30" t="s">
        <v>729</v>
      </c>
    </row>
    <row r="144">
      <c r="A144" s="30" t="s">
        <v>363</v>
      </c>
      <c r="B144" s="30" t="s">
        <v>364</v>
      </c>
      <c r="C144" s="30" t="s">
        <v>365</v>
      </c>
      <c r="D144" s="30"/>
      <c r="E144" s="30"/>
      <c r="F144" s="30"/>
      <c r="G144" s="23" t="s">
        <v>730</v>
      </c>
      <c r="H144" s="39" t="s">
        <v>731</v>
      </c>
      <c r="I144" s="38">
        <f t="shared" si="1"/>
        <v>39</v>
      </c>
      <c r="J144" s="30" t="s">
        <v>368</v>
      </c>
      <c r="K144" s="39" t="s">
        <v>683</v>
      </c>
      <c r="L144" s="39" t="s">
        <v>683</v>
      </c>
      <c r="M144" s="19">
        <v>10.0</v>
      </c>
      <c r="N144" s="19">
        <v>10.0</v>
      </c>
      <c r="O144" s="38">
        <v>4.41899E7</v>
      </c>
      <c r="P144" s="38">
        <v>1.0</v>
      </c>
      <c r="Q144" s="39" t="s">
        <v>370</v>
      </c>
      <c r="R144" s="40">
        <v>4444.701016949152</v>
      </c>
      <c r="S144" s="19">
        <f t="shared" ref="S144:S145" si="21">7500</f>
        <v>7500</v>
      </c>
      <c r="T144" s="42"/>
      <c r="U144" s="30"/>
      <c r="V144" s="30" t="s">
        <v>731</v>
      </c>
    </row>
    <row r="145">
      <c r="A145" s="30" t="s">
        <v>363</v>
      </c>
      <c r="B145" s="30" t="s">
        <v>364</v>
      </c>
      <c r="C145" s="30" t="s">
        <v>365</v>
      </c>
      <c r="D145" s="30"/>
      <c r="E145" s="30"/>
      <c r="F145" s="30"/>
      <c r="G145" s="23" t="s">
        <v>260</v>
      </c>
      <c r="H145" s="39" t="s">
        <v>732</v>
      </c>
      <c r="I145" s="38">
        <f t="shared" si="1"/>
        <v>37</v>
      </c>
      <c r="J145" s="30" t="s">
        <v>368</v>
      </c>
      <c r="K145" s="39" t="s">
        <v>683</v>
      </c>
      <c r="L145" s="39" t="s">
        <v>683</v>
      </c>
      <c r="M145" s="19">
        <v>10.0</v>
      </c>
      <c r="N145" s="19">
        <v>10.0</v>
      </c>
      <c r="O145" s="38">
        <v>4.41899E7</v>
      </c>
      <c r="P145" s="38">
        <v>1.0</v>
      </c>
      <c r="Q145" s="39" t="s">
        <v>370</v>
      </c>
      <c r="R145" s="40">
        <v>4148.387118644067</v>
      </c>
      <c r="S145" s="19">
        <f t="shared" si="21"/>
        <v>7500</v>
      </c>
      <c r="T145" s="42"/>
      <c r="U145" s="30"/>
      <c r="V145" s="30" t="s">
        <v>732</v>
      </c>
    </row>
    <row r="146">
      <c r="A146" s="30" t="s">
        <v>363</v>
      </c>
      <c r="B146" s="30" t="s">
        <v>364</v>
      </c>
      <c r="C146" s="30" t="s">
        <v>365</v>
      </c>
      <c r="D146" s="30"/>
      <c r="E146" s="30"/>
      <c r="F146" s="30"/>
      <c r="G146" s="23" t="s">
        <v>733</v>
      </c>
      <c r="H146" s="39" t="s">
        <v>734</v>
      </c>
      <c r="I146" s="38">
        <f t="shared" si="1"/>
        <v>40</v>
      </c>
      <c r="J146" s="30" t="s">
        <v>368</v>
      </c>
      <c r="K146" s="39" t="s">
        <v>686</v>
      </c>
      <c r="L146" s="39" t="s">
        <v>686</v>
      </c>
      <c r="M146" s="19">
        <v>2.5</v>
      </c>
      <c r="N146" s="19">
        <v>2.5</v>
      </c>
      <c r="O146" s="38">
        <v>4.41899E7</v>
      </c>
      <c r="P146" s="38">
        <v>1.0</v>
      </c>
      <c r="Q146" s="39" t="s">
        <v>370</v>
      </c>
      <c r="R146" s="40">
        <v>1014.5505084745764</v>
      </c>
      <c r="S146" s="19">
        <v>2500.0</v>
      </c>
      <c r="T146" s="42"/>
      <c r="U146" s="30"/>
      <c r="V146" s="30" t="s">
        <v>734</v>
      </c>
    </row>
    <row r="147">
      <c r="A147" s="30" t="s">
        <v>363</v>
      </c>
      <c r="B147" s="30" t="s">
        <v>364</v>
      </c>
      <c r="C147" s="30" t="s">
        <v>365</v>
      </c>
      <c r="D147" s="30"/>
      <c r="E147" s="30"/>
      <c r="F147" s="30"/>
      <c r="G147" s="23" t="s">
        <v>735</v>
      </c>
      <c r="H147" s="39" t="s">
        <v>736</v>
      </c>
      <c r="I147" s="38">
        <f t="shared" si="1"/>
        <v>39</v>
      </c>
      <c r="J147" s="30" t="s">
        <v>368</v>
      </c>
      <c r="K147" s="39" t="s">
        <v>681</v>
      </c>
      <c r="L147" s="39" t="s">
        <v>681</v>
      </c>
      <c r="M147" s="19">
        <v>10.0</v>
      </c>
      <c r="N147" s="19">
        <v>10.0</v>
      </c>
      <c r="O147" s="38">
        <v>4.412339E7</v>
      </c>
      <c r="P147" s="38">
        <v>1.0</v>
      </c>
      <c r="Q147" s="39" t="s">
        <v>370</v>
      </c>
      <c r="R147" s="40">
        <v>2796.6101694915255</v>
      </c>
      <c r="S147" s="19">
        <f t="shared" ref="S147:S148" si="22">7500</f>
        <v>7500</v>
      </c>
      <c r="T147" s="42"/>
      <c r="U147" s="30"/>
      <c r="V147" s="30" t="s">
        <v>736</v>
      </c>
    </row>
    <row r="148">
      <c r="A148" s="30" t="s">
        <v>363</v>
      </c>
      <c r="B148" s="30" t="s">
        <v>364</v>
      </c>
      <c r="C148" s="30" t="s">
        <v>365</v>
      </c>
      <c r="D148" s="30"/>
      <c r="E148" s="30"/>
      <c r="F148" s="30"/>
      <c r="G148" s="23" t="s">
        <v>737</v>
      </c>
      <c r="H148" s="39" t="s">
        <v>738</v>
      </c>
      <c r="I148" s="38">
        <f t="shared" si="1"/>
        <v>39</v>
      </c>
      <c r="J148" s="30" t="s">
        <v>368</v>
      </c>
      <c r="K148" s="39" t="s">
        <v>683</v>
      </c>
      <c r="L148" s="39" t="s">
        <v>683</v>
      </c>
      <c r="M148" s="19">
        <v>10.0</v>
      </c>
      <c r="N148" s="19">
        <v>10.0</v>
      </c>
      <c r="O148" s="38">
        <v>4.41899E7</v>
      </c>
      <c r="P148" s="38">
        <v>1.0</v>
      </c>
      <c r="Q148" s="39" t="s">
        <v>370</v>
      </c>
      <c r="R148" s="40">
        <v>4444.701016949152</v>
      </c>
      <c r="S148" s="19">
        <f t="shared" si="22"/>
        <v>7500</v>
      </c>
      <c r="T148" s="42"/>
      <c r="U148" s="30"/>
      <c r="V148" s="30" t="s">
        <v>738</v>
      </c>
    </row>
    <row r="149">
      <c r="A149" s="30" t="s">
        <v>363</v>
      </c>
      <c r="B149" s="30" t="s">
        <v>364</v>
      </c>
      <c r="C149" s="30" t="s">
        <v>365</v>
      </c>
      <c r="D149" s="30"/>
      <c r="E149" s="30"/>
      <c r="F149" s="30"/>
      <c r="G149" s="23" t="s">
        <v>739</v>
      </c>
      <c r="H149" s="39" t="s">
        <v>740</v>
      </c>
      <c r="I149" s="38">
        <f t="shared" si="1"/>
        <v>40</v>
      </c>
      <c r="J149" s="30" t="s">
        <v>368</v>
      </c>
      <c r="K149" s="39" t="s">
        <v>686</v>
      </c>
      <c r="L149" s="39" t="s">
        <v>686</v>
      </c>
      <c r="M149" s="19">
        <v>2.5</v>
      </c>
      <c r="N149" s="19">
        <v>2.5</v>
      </c>
      <c r="O149" s="38">
        <v>4.41899E7</v>
      </c>
      <c r="P149" s="38">
        <v>1.0</v>
      </c>
      <c r="Q149" s="39" t="s">
        <v>370</v>
      </c>
      <c r="R149" s="40">
        <v>1087.0237288135593</v>
      </c>
      <c r="S149" s="19">
        <v>2500.0</v>
      </c>
      <c r="T149" s="42"/>
      <c r="U149" s="30"/>
      <c r="V149" s="30" t="s">
        <v>740</v>
      </c>
    </row>
    <row r="150">
      <c r="A150" s="30" t="s">
        <v>363</v>
      </c>
      <c r="B150" s="30" t="s">
        <v>364</v>
      </c>
      <c r="C150" s="30" t="s">
        <v>365</v>
      </c>
      <c r="D150" s="30"/>
      <c r="E150" s="30"/>
      <c r="F150" s="30"/>
      <c r="G150" s="23" t="s">
        <v>292</v>
      </c>
      <c r="H150" s="39" t="s">
        <v>741</v>
      </c>
      <c r="I150" s="38">
        <f t="shared" si="1"/>
        <v>40</v>
      </c>
      <c r="J150" s="30" t="s">
        <v>368</v>
      </c>
      <c r="K150" s="39" t="s">
        <v>686</v>
      </c>
      <c r="L150" s="39" t="s">
        <v>686</v>
      </c>
      <c r="M150" s="19">
        <v>2.5</v>
      </c>
      <c r="N150" s="19">
        <v>2.5</v>
      </c>
      <c r="O150" s="38">
        <v>4.41899E7</v>
      </c>
      <c r="P150" s="38">
        <v>1.0</v>
      </c>
      <c r="Q150" s="39" t="s">
        <v>370</v>
      </c>
      <c r="R150" s="40">
        <v>1014.5505084745764</v>
      </c>
      <c r="S150" s="19">
        <v>2500.0</v>
      </c>
      <c r="T150" s="42"/>
      <c r="U150" s="30"/>
      <c r="V150" s="30" t="s">
        <v>741</v>
      </c>
    </row>
    <row r="151">
      <c r="A151" s="30" t="s">
        <v>363</v>
      </c>
      <c r="B151" s="30" t="s">
        <v>364</v>
      </c>
      <c r="C151" s="30" t="s">
        <v>365</v>
      </c>
      <c r="D151" s="30"/>
      <c r="E151" s="30"/>
      <c r="F151" s="30"/>
      <c r="G151" s="23" t="s">
        <v>238</v>
      </c>
      <c r="H151" s="39" t="s">
        <v>742</v>
      </c>
      <c r="I151" s="38">
        <f t="shared" si="1"/>
        <v>39</v>
      </c>
      <c r="J151" s="30" t="s">
        <v>368</v>
      </c>
      <c r="K151" s="39" t="s">
        <v>683</v>
      </c>
      <c r="L151" s="39" t="s">
        <v>683</v>
      </c>
      <c r="M151" s="19">
        <v>10.0</v>
      </c>
      <c r="N151" s="19">
        <v>10.0</v>
      </c>
      <c r="O151" s="38">
        <v>4.41899E7</v>
      </c>
      <c r="P151" s="38">
        <v>1.0</v>
      </c>
      <c r="Q151" s="39" t="s">
        <v>370</v>
      </c>
      <c r="R151" s="40">
        <v>4148.387118644067</v>
      </c>
      <c r="S151" s="19">
        <f>7500</f>
        <v>7500</v>
      </c>
      <c r="T151" s="42"/>
      <c r="U151" s="30"/>
      <c r="V151" s="30" t="s">
        <v>742</v>
      </c>
    </row>
    <row r="152">
      <c r="A152" s="30" t="s">
        <v>363</v>
      </c>
      <c r="B152" s="30" t="s">
        <v>364</v>
      </c>
      <c r="C152" s="30" t="s">
        <v>365</v>
      </c>
      <c r="D152" s="30"/>
      <c r="E152" s="30"/>
      <c r="F152" s="30"/>
      <c r="G152" s="23" t="s">
        <v>277</v>
      </c>
      <c r="H152" s="39" t="s">
        <v>743</v>
      </c>
      <c r="I152" s="38">
        <f t="shared" si="1"/>
        <v>40</v>
      </c>
      <c r="J152" s="30" t="s">
        <v>368</v>
      </c>
      <c r="K152" s="39" t="s">
        <v>686</v>
      </c>
      <c r="L152" s="39" t="s">
        <v>686</v>
      </c>
      <c r="M152" s="19">
        <v>2.5</v>
      </c>
      <c r="N152" s="19">
        <v>2.5</v>
      </c>
      <c r="O152" s="38">
        <v>4.41899E7</v>
      </c>
      <c r="P152" s="38">
        <v>1.0</v>
      </c>
      <c r="Q152" s="39" t="s">
        <v>370</v>
      </c>
      <c r="R152" s="40">
        <v>1014.5505084745764</v>
      </c>
      <c r="S152" s="19">
        <v>2500.0</v>
      </c>
      <c r="T152" s="42"/>
      <c r="U152" s="30"/>
      <c r="V152" s="30" t="s">
        <v>743</v>
      </c>
    </row>
    <row r="153">
      <c r="A153" s="30" t="s">
        <v>363</v>
      </c>
      <c r="B153" s="30" t="s">
        <v>364</v>
      </c>
      <c r="C153" s="30" t="s">
        <v>365</v>
      </c>
      <c r="D153" s="30"/>
      <c r="E153" s="30"/>
      <c r="F153" s="30"/>
      <c r="G153" s="23" t="s">
        <v>251</v>
      </c>
      <c r="H153" s="39" t="s">
        <v>744</v>
      </c>
      <c r="I153" s="38">
        <f t="shared" si="1"/>
        <v>39</v>
      </c>
      <c r="J153" s="30" t="s">
        <v>368</v>
      </c>
      <c r="K153" s="39" t="s">
        <v>683</v>
      </c>
      <c r="L153" s="39" t="s">
        <v>683</v>
      </c>
      <c r="M153" s="19">
        <v>10.0</v>
      </c>
      <c r="N153" s="19">
        <v>10.0</v>
      </c>
      <c r="O153" s="38">
        <v>4.41899E7</v>
      </c>
      <c r="P153" s="38">
        <v>1.0</v>
      </c>
      <c r="Q153" s="39" t="s">
        <v>370</v>
      </c>
      <c r="R153" s="40">
        <v>4148.387118644067</v>
      </c>
      <c r="S153" s="19">
        <f t="shared" ref="S153:S154" si="23">7500</f>
        <v>7500</v>
      </c>
      <c r="T153" s="42"/>
      <c r="U153" s="30"/>
      <c r="V153" s="30" t="s">
        <v>744</v>
      </c>
    </row>
    <row r="154">
      <c r="A154" s="30" t="s">
        <v>363</v>
      </c>
      <c r="B154" s="30" t="s">
        <v>364</v>
      </c>
      <c r="C154" s="30" t="s">
        <v>365</v>
      </c>
      <c r="D154" s="30"/>
      <c r="E154" s="30"/>
      <c r="F154" s="30"/>
      <c r="G154" s="23" t="s">
        <v>241</v>
      </c>
      <c r="H154" s="39" t="s">
        <v>745</v>
      </c>
      <c r="I154" s="38">
        <f t="shared" si="1"/>
        <v>39</v>
      </c>
      <c r="J154" s="30" t="s">
        <v>368</v>
      </c>
      <c r="K154" s="39" t="s">
        <v>683</v>
      </c>
      <c r="L154" s="39" t="s">
        <v>683</v>
      </c>
      <c r="M154" s="19">
        <v>10.0</v>
      </c>
      <c r="N154" s="19">
        <v>10.0</v>
      </c>
      <c r="O154" s="38">
        <v>4.41899E7</v>
      </c>
      <c r="P154" s="38">
        <v>1.0</v>
      </c>
      <c r="Q154" s="39" t="s">
        <v>370</v>
      </c>
      <c r="R154" s="40">
        <v>4148.387118644067</v>
      </c>
      <c r="S154" s="19">
        <f t="shared" si="23"/>
        <v>7500</v>
      </c>
      <c r="T154" s="42"/>
      <c r="U154" s="30"/>
      <c r="V154" s="30" t="s">
        <v>745</v>
      </c>
    </row>
    <row r="155">
      <c r="A155" s="30" t="s">
        <v>363</v>
      </c>
      <c r="B155" s="30" t="s">
        <v>364</v>
      </c>
      <c r="C155" s="30" t="s">
        <v>365</v>
      </c>
      <c r="D155" s="30"/>
      <c r="E155" s="30"/>
      <c r="F155" s="30"/>
      <c r="G155" s="23" t="s">
        <v>259</v>
      </c>
      <c r="H155" s="39" t="s">
        <v>746</v>
      </c>
      <c r="I155" s="38">
        <f t="shared" si="1"/>
        <v>40</v>
      </c>
      <c r="J155" s="30" t="s">
        <v>368</v>
      </c>
      <c r="K155" s="39" t="s">
        <v>686</v>
      </c>
      <c r="L155" s="39" t="s">
        <v>686</v>
      </c>
      <c r="M155" s="19">
        <v>2.5</v>
      </c>
      <c r="N155" s="19">
        <v>2.5</v>
      </c>
      <c r="O155" s="38">
        <v>4.41899E7</v>
      </c>
      <c r="P155" s="38">
        <v>1.0</v>
      </c>
      <c r="Q155" s="39" t="s">
        <v>370</v>
      </c>
      <c r="R155" s="40">
        <v>1014.5505084745764</v>
      </c>
      <c r="S155" s="19">
        <v>2500.0</v>
      </c>
      <c r="T155" s="42"/>
      <c r="U155" s="30"/>
      <c r="V155" s="30" t="s">
        <v>746</v>
      </c>
    </row>
    <row r="156">
      <c r="A156" s="30" t="s">
        <v>363</v>
      </c>
      <c r="B156" s="30" t="s">
        <v>364</v>
      </c>
      <c r="C156" s="30" t="s">
        <v>365</v>
      </c>
      <c r="D156" s="30"/>
      <c r="E156" s="30"/>
      <c r="F156" s="30"/>
      <c r="G156" s="23" t="s">
        <v>252</v>
      </c>
      <c r="H156" s="39" t="s">
        <v>747</v>
      </c>
      <c r="I156" s="38">
        <f t="shared" si="1"/>
        <v>38</v>
      </c>
      <c r="J156" s="30" t="s">
        <v>368</v>
      </c>
      <c r="K156" s="39" t="s">
        <v>683</v>
      </c>
      <c r="L156" s="39" t="s">
        <v>683</v>
      </c>
      <c r="M156" s="19">
        <v>10.0</v>
      </c>
      <c r="N156" s="19">
        <v>10.0</v>
      </c>
      <c r="O156" s="38">
        <v>4.41899E7</v>
      </c>
      <c r="P156" s="38">
        <v>1.0</v>
      </c>
      <c r="Q156" s="39" t="s">
        <v>370</v>
      </c>
      <c r="R156" s="40">
        <v>4148.387118644067</v>
      </c>
      <c r="S156" s="19">
        <f>7500</f>
        <v>7500</v>
      </c>
      <c r="T156" s="42"/>
      <c r="U156" s="30"/>
      <c r="V156" s="30" t="s">
        <v>747</v>
      </c>
    </row>
    <row r="157">
      <c r="A157" s="30" t="s">
        <v>363</v>
      </c>
      <c r="B157" s="30" t="s">
        <v>364</v>
      </c>
      <c r="C157" s="30" t="s">
        <v>365</v>
      </c>
      <c r="D157" s="30"/>
      <c r="E157" s="30"/>
      <c r="F157" s="30"/>
      <c r="G157" s="23" t="s">
        <v>748</v>
      </c>
      <c r="H157" s="39" t="s">
        <v>749</v>
      </c>
      <c r="I157" s="38">
        <f t="shared" si="1"/>
        <v>40</v>
      </c>
      <c r="J157" s="30" t="s">
        <v>368</v>
      </c>
      <c r="K157" s="39" t="s">
        <v>686</v>
      </c>
      <c r="L157" s="39" t="s">
        <v>686</v>
      </c>
      <c r="M157" s="19">
        <v>2.5</v>
      </c>
      <c r="N157" s="19">
        <v>2.5</v>
      </c>
      <c r="O157" s="38">
        <v>4.41899E7</v>
      </c>
      <c r="P157" s="38">
        <v>1.0</v>
      </c>
      <c r="Q157" s="39" t="s">
        <v>370</v>
      </c>
      <c r="R157" s="40">
        <v>1014.5505084745764</v>
      </c>
      <c r="S157" s="19">
        <v>2500.0</v>
      </c>
      <c r="T157" s="42"/>
      <c r="U157" s="30"/>
      <c r="V157" s="30" t="s">
        <v>749</v>
      </c>
    </row>
    <row r="158">
      <c r="A158" s="30" t="s">
        <v>363</v>
      </c>
      <c r="B158" s="30" t="s">
        <v>364</v>
      </c>
      <c r="C158" s="30" t="s">
        <v>365</v>
      </c>
      <c r="D158" s="30"/>
      <c r="E158" s="30"/>
      <c r="F158" s="30"/>
      <c r="G158" s="23" t="s">
        <v>750</v>
      </c>
      <c r="H158" s="39" t="s">
        <v>751</v>
      </c>
      <c r="I158" s="38">
        <f t="shared" si="1"/>
        <v>36</v>
      </c>
      <c r="J158" s="30" t="s">
        <v>368</v>
      </c>
      <c r="K158" s="39" t="s">
        <v>683</v>
      </c>
      <c r="L158" s="39" t="s">
        <v>683</v>
      </c>
      <c r="M158" s="19">
        <v>10.0</v>
      </c>
      <c r="N158" s="19">
        <v>10.0</v>
      </c>
      <c r="O158" s="38">
        <v>4.41899E7</v>
      </c>
      <c r="P158" s="38">
        <v>1.0</v>
      </c>
      <c r="Q158" s="39" t="s">
        <v>370</v>
      </c>
      <c r="R158" s="40">
        <v>4444.701016949152</v>
      </c>
      <c r="S158" s="19">
        <f>7500</f>
        <v>7500</v>
      </c>
      <c r="T158" s="42"/>
      <c r="U158" s="30"/>
      <c r="V158" s="30" t="s">
        <v>751</v>
      </c>
    </row>
    <row r="159">
      <c r="A159" s="30" t="s">
        <v>363</v>
      </c>
      <c r="B159" s="30" t="s">
        <v>364</v>
      </c>
      <c r="C159" s="30" t="s">
        <v>365</v>
      </c>
      <c r="D159" s="30"/>
      <c r="E159" s="30"/>
      <c r="F159" s="30"/>
      <c r="G159" s="23" t="s">
        <v>752</v>
      </c>
      <c r="H159" s="39" t="s">
        <v>753</v>
      </c>
      <c r="I159" s="38">
        <f t="shared" si="1"/>
        <v>39</v>
      </c>
      <c r="J159" s="30" t="s">
        <v>368</v>
      </c>
      <c r="K159" s="39" t="s">
        <v>686</v>
      </c>
      <c r="L159" s="39" t="s">
        <v>686</v>
      </c>
      <c r="M159" s="19">
        <v>2.5</v>
      </c>
      <c r="N159" s="19">
        <v>2.5</v>
      </c>
      <c r="O159" s="38">
        <v>4.41899E7</v>
      </c>
      <c r="P159" s="38">
        <v>1.0</v>
      </c>
      <c r="Q159" s="39" t="s">
        <v>370</v>
      </c>
      <c r="R159" s="40">
        <v>1087.0237288135593</v>
      </c>
      <c r="S159" s="19">
        <v>2500.0</v>
      </c>
      <c r="T159" s="42"/>
      <c r="U159" s="30"/>
      <c r="V159" s="30" t="s">
        <v>753</v>
      </c>
    </row>
    <row r="160">
      <c r="A160" s="30" t="s">
        <v>363</v>
      </c>
      <c r="B160" s="30" t="s">
        <v>364</v>
      </c>
      <c r="C160" s="30" t="s">
        <v>365</v>
      </c>
      <c r="D160" s="30"/>
      <c r="E160" s="30"/>
      <c r="F160" s="30"/>
      <c r="G160" s="23" t="s">
        <v>250</v>
      </c>
      <c r="H160" s="39" t="s">
        <v>754</v>
      </c>
      <c r="I160" s="38">
        <f t="shared" si="1"/>
        <v>36</v>
      </c>
      <c r="J160" s="30" t="s">
        <v>368</v>
      </c>
      <c r="K160" s="39" t="s">
        <v>683</v>
      </c>
      <c r="L160" s="39" t="s">
        <v>683</v>
      </c>
      <c r="M160" s="19">
        <v>10.0</v>
      </c>
      <c r="N160" s="19">
        <v>10.0</v>
      </c>
      <c r="O160" s="38">
        <v>4.41899E7</v>
      </c>
      <c r="P160" s="38">
        <v>1.0</v>
      </c>
      <c r="Q160" s="39" t="s">
        <v>370</v>
      </c>
      <c r="R160" s="40">
        <v>4148.387118644067</v>
      </c>
      <c r="S160" s="19">
        <f>7500</f>
        <v>7500</v>
      </c>
      <c r="T160" s="42"/>
      <c r="U160" s="30"/>
      <c r="V160" s="30" t="s">
        <v>754</v>
      </c>
    </row>
    <row r="161">
      <c r="A161" s="30" t="s">
        <v>363</v>
      </c>
      <c r="B161" s="30" t="s">
        <v>364</v>
      </c>
      <c r="C161" s="30" t="s">
        <v>365</v>
      </c>
      <c r="D161" s="30"/>
      <c r="E161" s="30"/>
      <c r="F161" s="30"/>
      <c r="G161" s="23" t="s">
        <v>755</v>
      </c>
      <c r="H161" s="39" t="s">
        <v>756</v>
      </c>
      <c r="I161" s="38">
        <f t="shared" si="1"/>
        <v>40</v>
      </c>
      <c r="J161" s="30" t="s">
        <v>368</v>
      </c>
      <c r="K161" s="39" t="s">
        <v>686</v>
      </c>
      <c r="L161" s="39" t="s">
        <v>686</v>
      </c>
      <c r="M161" s="19">
        <v>2.5</v>
      </c>
      <c r="N161" s="19">
        <v>2.5</v>
      </c>
      <c r="O161" s="38">
        <v>4.41899E7</v>
      </c>
      <c r="P161" s="38">
        <v>1.0</v>
      </c>
      <c r="Q161" s="39" t="s">
        <v>370</v>
      </c>
      <c r="R161" s="40">
        <v>1014.5505084745764</v>
      </c>
      <c r="S161" s="19">
        <v>2500.0</v>
      </c>
      <c r="T161" s="42"/>
      <c r="U161" s="30"/>
      <c r="V161" s="30" t="s">
        <v>756</v>
      </c>
    </row>
    <row r="162">
      <c r="A162" s="30" t="s">
        <v>363</v>
      </c>
      <c r="B162" s="30" t="s">
        <v>364</v>
      </c>
      <c r="C162" s="30" t="s">
        <v>365</v>
      </c>
      <c r="D162" s="30"/>
      <c r="E162" s="30"/>
      <c r="F162" s="30"/>
      <c r="G162" s="23" t="s">
        <v>225</v>
      </c>
      <c r="H162" s="30" t="s">
        <v>757</v>
      </c>
      <c r="I162" s="38">
        <f t="shared" si="1"/>
        <v>23</v>
      </c>
      <c r="J162" s="39" t="s">
        <v>368</v>
      </c>
      <c r="K162" s="30" t="s">
        <v>758</v>
      </c>
      <c r="L162" s="39" t="str">
        <f t="shared" ref="L162:L169" si="24">K162</f>
        <v>2438.4 x 1219.2 x 11</v>
      </c>
      <c r="M162" s="19">
        <v>10.0</v>
      </c>
      <c r="N162" s="19">
        <v>10.0</v>
      </c>
      <c r="O162" s="19">
        <v>3.92112E7</v>
      </c>
      <c r="P162" s="38">
        <v>1.0</v>
      </c>
      <c r="Q162" s="39" t="s">
        <v>370</v>
      </c>
      <c r="R162" s="40">
        <v>2050.0</v>
      </c>
      <c r="S162" s="19">
        <v>2500.0</v>
      </c>
      <c r="T162" s="42"/>
      <c r="U162" s="30"/>
      <c r="V162" s="30" t="s">
        <v>759</v>
      </c>
    </row>
    <row r="163">
      <c r="A163" s="30" t="s">
        <v>363</v>
      </c>
      <c r="B163" s="30" t="s">
        <v>760</v>
      </c>
      <c r="C163" s="30" t="s">
        <v>365</v>
      </c>
      <c r="D163" s="30"/>
      <c r="E163" s="30"/>
      <c r="F163" s="30"/>
      <c r="G163" s="23" t="s">
        <v>224</v>
      </c>
      <c r="H163" s="30" t="s">
        <v>761</v>
      </c>
      <c r="I163" s="38">
        <f t="shared" si="1"/>
        <v>36</v>
      </c>
      <c r="J163" s="39" t="s">
        <v>368</v>
      </c>
      <c r="K163" s="30" t="s">
        <v>762</v>
      </c>
      <c r="L163" s="39" t="str">
        <f t="shared" si="24"/>
        <v>3657.6 x 50 x 25</v>
      </c>
      <c r="M163" s="19">
        <v>1.5</v>
      </c>
      <c r="N163" s="19">
        <v>1.5</v>
      </c>
      <c r="O163" s="19">
        <v>7.60421E7</v>
      </c>
      <c r="P163" s="38">
        <v>1.0</v>
      </c>
      <c r="Q163" s="39" t="s">
        <v>370</v>
      </c>
      <c r="R163" s="40">
        <v>675.0</v>
      </c>
      <c r="S163" s="19">
        <v>1000.0</v>
      </c>
      <c r="T163" s="42"/>
      <c r="U163" s="30"/>
      <c r="V163" s="30" t="s">
        <v>763</v>
      </c>
    </row>
    <row r="164">
      <c r="A164" s="30" t="s">
        <v>363</v>
      </c>
      <c r="B164" s="30" t="s">
        <v>764</v>
      </c>
      <c r="C164" s="30" t="s">
        <v>365</v>
      </c>
      <c r="D164" s="30"/>
      <c r="E164" s="30"/>
      <c r="F164" s="30"/>
      <c r="G164" s="13" t="s">
        <v>765</v>
      </c>
      <c r="H164" s="30" t="s">
        <v>766</v>
      </c>
      <c r="I164" s="38">
        <f t="shared" si="1"/>
        <v>22</v>
      </c>
      <c r="J164" s="39" t="s">
        <v>368</v>
      </c>
      <c r="K164" s="30" t="s">
        <v>767</v>
      </c>
      <c r="L164" s="39" t="str">
        <f t="shared" si="24"/>
        <v>220 x 220 x 150</v>
      </c>
      <c r="M164" s="19">
        <v>0.2</v>
      </c>
      <c r="N164" s="19">
        <v>0.1</v>
      </c>
      <c r="O164" s="19">
        <v>9.405409E7</v>
      </c>
      <c r="P164" s="38">
        <v>1.0</v>
      </c>
      <c r="Q164" s="39" t="s">
        <v>370</v>
      </c>
      <c r="R164" s="40">
        <v>450.0</v>
      </c>
      <c r="S164" s="19">
        <v>1000.0</v>
      </c>
      <c r="T164" s="42"/>
      <c r="U164" s="30"/>
      <c r="V164" s="30" t="s">
        <v>768</v>
      </c>
    </row>
    <row r="165">
      <c r="A165" s="30" t="s">
        <v>363</v>
      </c>
      <c r="B165" s="30" t="s">
        <v>764</v>
      </c>
      <c r="C165" s="30" t="s">
        <v>365</v>
      </c>
      <c r="D165" s="30"/>
      <c r="E165" s="30"/>
      <c r="F165" s="30"/>
      <c r="G165" s="23" t="s">
        <v>221</v>
      </c>
      <c r="H165" s="30" t="s">
        <v>769</v>
      </c>
      <c r="I165" s="38">
        <f t="shared" si="1"/>
        <v>22</v>
      </c>
      <c r="J165" s="39" t="s">
        <v>368</v>
      </c>
      <c r="K165" s="30" t="s">
        <v>767</v>
      </c>
      <c r="L165" s="39" t="str">
        <f t="shared" si="24"/>
        <v>220 x 220 x 150</v>
      </c>
      <c r="M165" s="19">
        <v>0.2</v>
      </c>
      <c r="N165" s="19">
        <v>0.1</v>
      </c>
      <c r="O165" s="19">
        <v>9.405409E7</v>
      </c>
      <c r="P165" s="38">
        <v>1.0</v>
      </c>
      <c r="Q165" s="39" t="s">
        <v>370</v>
      </c>
      <c r="R165" s="40">
        <v>750.0</v>
      </c>
      <c r="S165" s="19">
        <v>1500.0</v>
      </c>
      <c r="T165" s="42"/>
      <c r="U165" s="30"/>
      <c r="V165" s="30" t="s">
        <v>770</v>
      </c>
    </row>
    <row r="166">
      <c r="A166" s="30" t="s">
        <v>363</v>
      </c>
      <c r="B166" s="30" t="s">
        <v>771</v>
      </c>
      <c r="C166" s="30" t="s">
        <v>365</v>
      </c>
      <c r="D166" s="30"/>
      <c r="E166" s="30"/>
      <c r="F166" s="30"/>
      <c r="G166" s="13" t="s">
        <v>222</v>
      </c>
      <c r="H166" s="30" t="s">
        <v>772</v>
      </c>
      <c r="I166" s="38">
        <f t="shared" si="1"/>
        <v>33</v>
      </c>
      <c r="J166" s="39" t="s">
        <v>368</v>
      </c>
      <c r="K166" s="30" t="s">
        <v>773</v>
      </c>
      <c r="L166" s="39" t="str">
        <f t="shared" si="24"/>
        <v>914.4 x 16 x 16</v>
      </c>
      <c r="M166" s="19">
        <v>0.25</v>
      </c>
      <c r="N166" s="19">
        <v>0.15</v>
      </c>
      <c r="O166" s="19">
        <v>9.405409E7</v>
      </c>
      <c r="P166" s="38">
        <v>1.0</v>
      </c>
      <c r="Q166" s="39" t="s">
        <v>370</v>
      </c>
      <c r="R166" s="40">
        <v>270.0</v>
      </c>
      <c r="S166" s="19">
        <v>500.0</v>
      </c>
      <c r="T166" s="42"/>
      <c r="U166" s="30"/>
      <c r="V166" s="30" t="s">
        <v>774</v>
      </c>
    </row>
    <row r="167">
      <c r="A167" s="30" t="s">
        <v>363</v>
      </c>
      <c r="B167" s="30" t="s">
        <v>775</v>
      </c>
      <c r="C167" s="30" t="s">
        <v>365</v>
      </c>
      <c r="D167" s="30"/>
      <c r="E167" s="30"/>
      <c r="F167" s="30"/>
      <c r="G167" s="23" t="s">
        <v>776</v>
      </c>
      <c r="H167" s="30" t="s">
        <v>777</v>
      </c>
      <c r="I167" s="38">
        <f t="shared" si="1"/>
        <v>27</v>
      </c>
      <c r="J167" s="39" t="s">
        <v>368</v>
      </c>
      <c r="K167" s="30" t="s">
        <v>778</v>
      </c>
      <c r="L167" s="39" t="str">
        <f t="shared" si="24"/>
        <v>62x 35x 22</v>
      </c>
      <c r="M167" s="19">
        <v>0.2</v>
      </c>
      <c r="N167" s="19">
        <v>0.1</v>
      </c>
      <c r="O167" s="19">
        <v>850440.0</v>
      </c>
      <c r="P167" s="38">
        <v>1.0</v>
      </c>
      <c r="Q167" s="39" t="s">
        <v>370</v>
      </c>
      <c r="R167" s="40">
        <v>400.0</v>
      </c>
      <c r="S167" s="19">
        <v>500.0</v>
      </c>
      <c r="T167" s="42"/>
      <c r="U167" s="30"/>
      <c r="V167" s="30" t="s">
        <v>779</v>
      </c>
    </row>
    <row r="168">
      <c r="A168" s="30" t="s">
        <v>363</v>
      </c>
      <c r="B168" s="30" t="s">
        <v>775</v>
      </c>
      <c r="C168" s="30" t="s">
        <v>365</v>
      </c>
      <c r="D168" s="30"/>
      <c r="E168" s="30"/>
      <c r="F168" s="30"/>
      <c r="G168" s="23" t="s">
        <v>223</v>
      </c>
      <c r="H168" s="30" t="s">
        <v>780</v>
      </c>
      <c r="I168" s="38">
        <f t="shared" si="1"/>
        <v>28</v>
      </c>
      <c r="J168" s="39" t="s">
        <v>368</v>
      </c>
      <c r="K168" s="30" t="s">
        <v>778</v>
      </c>
      <c r="L168" s="39" t="str">
        <f t="shared" si="24"/>
        <v>62x 35x 22</v>
      </c>
      <c r="M168" s="19">
        <v>0.2</v>
      </c>
      <c r="N168" s="19">
        <v>0.1</v>
      </c>
      <c r="O168" s="19">
        <v>850440.0</v>
      </c>
      <c r="P168" s="38">
        <v>1.0</v>
      </c>
      <c r="Q168" s="39" t="s">
        <v>370</v>
      </c>
      <c r="R168" s="40">
        <v>750.0</v>
      </c>
      <c r="S168" s="19">
        <v>1500.0</v>
      </c>
      <c r="T168" s="42"/>
      <c r="U168" s="30"/>
      <c r="V168" s="30" t="s">
        <v>781</v>
      </c>
    </row>
    <row r="169">
      <c r="A169" s="30" t="s">
        <v>363</v>
      </c>
      <c r="B169" s="30" t="s">
        <v>782</v>
      </c>
      <c r="C169" s="30" t="s">
        <v>365</v>
      </c>
      <c r="D169" s="30"/>
      <c r="E169" s="30"/>
      <c r="F169" s="30"/>
      <c r="G169" s="23" t="s">
        <v>294</v>
      </c>
      <c r="H169" s="30" t="s">
        <v>783</v>
      </c>
      <c r="I169" s="38">
        <f t="shared" si="1"/>
        <v>30</v>
      </c>
      <c r="J169" s="39" t="s">
        <v>368</v>
      </c>
      <c r="K169" s="30" t="s">
        <v>784</v>
      </c>
      <c r="L169" s="39" t="str">
        <f t="shared" si="24"/>
        <v>40 x 40 x 230</v>
      </c>
      <c r="M169" s="19">
        <v>0.535</v>
      </c>
      <c r="N169" s="19">
        <v>0.435</v>
      </c>
      <c r="O169" s="19">
        <v>3.2141E7</v>
      </c>
      <c r="P169" s="38">
        <v>1.0</v>
      </c>
      <c r="Q169" s="39" t="s">
        <v>370</v>
      </c>
      <c r="R169" s="40">
        <v>273.6</v>
      </c>
      <c r="S169" s="19">
        <v>500.0</v>
      </c>
      <c r="T169" s="42"/>
      <c r="U169" s="30"/>
      <c r="V169" s="30" t="s">
        <v>785</v>
      </c>
    </row>
    <row r="170">
      <c r="A170" s="30" t="s">
        <v>363</v>
      </c>
      <c r="B170" s="43" t="s">
        <v>786</v>
      </c>
      <c r="C170" s="30" t="s">
        <v>365</v>
      </c>
      <c r="D170" s="43"/>
      <c r="E170" s="43"/>
      <c r="F170" s="43"/>
      <c r="G170" s="27" t="s">
        <v>115</v>
      </c>
      <c r="H170" s="43" t="s">
        <v>787</v>
      </c>
      <c r="I170" s="44">
        <f t="shared" si="1"/>
        <v>34</v>
      </c>
      <c r="J170" s="45" t="s">
        <v>368</v>
      </c>
      <c r="K170" s="43" t="s">
        <v>788</v>
      </c>
      <c r="L170" s="43" t="s">
        <v>788</v>
      </c>
      <c r="M170" s="46">
        <v>0.5</v>
      </c>
      <c r="N170" s="46">
        <v>0.5</v>
      </c>
      <c r="O170" s="46">
        <v>9.4036E7</v>
      </c>
      <c r="P170" s="38">
        <v>1.0</v>
      </c>
      <c r="Q170" s="39" t="s">
        <v>370</v>
      </c>
      <c r="R170" s="46">
        <v>250.0</v>
      </c>
      <c r="S170" s="22">
        <v>1000.0</v>
      </c>
      <c r="V170" s="43" t="s">
        <v>787</v>
      </c>
    </row>
    <row r="171">
      <c r="A171" s="30" t="s">
        <v>363</v>
      </c>
      <c r="B171" s="43" t="s">
        <v>786</v>
      </c>
      <c r="C171" s="30" t="s">
        <v>365</v>
      </c>
      <c r="D171" s="43"/>
      <c r="E171" s="43"/>
      <c r="F171" s="43"/>
      <c r="G171" s="27" t="s">
        <v>789</v>
      </c>
      <c r="H171" s="43" t="s">
        <v>790</v>
      </c>
      <c r="I171" s="44">
        <f t="shared" si="1"/>
        <v>35</v>
      </c>
      <c r="J171" s="45" t="s">
        <v>368</v>
      </c>
      <c r="K171" s="43" t="s">
        <v>788</v>
      </c>
      <c r="L171" s="43" t="s">
        <v>788</v>
      </c>
      <c r="M171" s="46">
        <v>0.5</v>
      </c>
      <c r="N171" s="46">
        <v>0.5</v>
      </c>
      <c r="O171" s="46">
        <v>9.4036E7</v>
      </c>
      <c r="P171" s="38">
        <v>1.0</v>
      </c>
      <c r="Q171" s="39" t="s">
        <v>370</v>
      </c>
      <c r="R171" s="46">
        <v>250.0</v>
      </c>
      <c r="S171" s="22">
        <v>1000.0</v>
      </c>
      <c r="V171" s="43" t="s">
        <v>790</v>
      </c>
    </row>
    <row r="172">
      <c r="A172" s="30" t="s">
        <v>363</v>
      </c>
      <c r="B172" s="43" t="s">
        <v>786</v>
      </c>
      <c r="C172" s="30" t="s">
        <v>365</v>
      </c>
      <c r="D172" s="43"/>
      <c r="E172" s="43"/>
      <c r="F172" s="43"/>
      <c r="G172" s="27" t="s">
        <v>38</v>
      </c>
      <c r="H172" s="43" t="s">
        <v>791</v>
      </c>
      <c r="I172" s="44">
        <f t="shared" si="1"/>
        <v>40</v>
      </c>
      <c r="J172" s="45" t="s">
        <v>368</v>
      </c>
      <c r="K172" s="43" t="s">
        <v>788</v>
      </c>
      <c r="L172" s="43" t="s">
        <v>788</v>
      </c>
      <c r="M172" s="46">
        <v>0.5</v>
      </c>
      <c r="N172" s="46">
        <v>0.5</v>
      </c>
      <c r="O172" s="46">
        <v>9.4036E7</v>
      </c>
      <c r="P172" s="38">
        <v>1.0</v>
      </c>
      <c r="Q172" s="39" t="s">
        <v>370</v>
      </c>
      <c r="R172" s="46">
        <v>250.0</v>
      </c>
      <c r="S172" s="22">
        <v>1000.0</v>
      </c>
      <c r="V172" s="43" t="s">
        <v>791</v>
      </c>
    </row>
    <row r="173">
      <c r="A173" s="30" t="s">
        <v>363</v>
      </c>
      <c r="B173" s="43" t="s">
        <v>786</v>
      </c>
      <c r="C173" s="30" t="s">
        <v>365</v>
      </c>
      <c r="D173" s="43"/>
      <c r="E173" s="43"/>
      <c r="F173" s="43"/>
      <c r="G173" s="27" t="s">
        <v>56</v>
      </c>
      <c r="H173" s="43" t="s">
        <v>792</v>
      </c>
      <c r="I173" s="44">
        <f t="shared" si="1"/>
        <v>38</v>
      </c>
      <c r="J173" s="45" t="s">
        <v>368</v>
      </c>
      <c r="K173" s="43" t="s">
        <v>788</v>
      </c>
      <c r="L173" s="43" t="s">
        <v>788</v>
      </c>
      <c r="M173" s="46">
        <v>0.5</v>
      </c>
      <c r="N173" s="46">
        <v>0.5</v>
      </c>
      <c r="O173" s="46">
        <v>9.4036E7</v>
      </c>
      <c r="P173" s="38">
        <v>1.0</v>
      </c>
      <c r="Q173" s="39" t="s">
        <v>370</v>
      </c>
      <c r="R173" s="46">
        <v>250.0</v>
      </c>
      <c r="S173" s="22">
        <v>1000.0</v>
      </c>
      <c r="V173" s="43" t="s">
        <v>792</v>
      </c>
    </row>
    <row r="174">
      <c r="A174" s="30" t="s">
        <v>363</v>
      </c>
      <c r="B174" s="43" t="s">
        <v>786</v>
      </c>
      <c r="C174" s="30" t="s">
        <v>365</v>
      </c>
      <c r="D174" s="43"/>
      <c r="E174" s="43"/>
      <c r="F174" s="43"/>
      <c r="G174" s="27" t="s">
        <v>793</v>
      </c>
      <c r="H174" s="43" t="s">
        <v>794</v>
      </c>
      <c r="I174" s="44">
        <f t="shared" si="1"/>
        <v>39</v>
      </c>
      <c r="J174" s="45" t="s">
        <v>368</v>
      </c>
      <c r="K174" s="43" t="s">
        <v>788</v>
      </c>
      <c r="L174" s="43" t="s">
        <v>788</v>
      </c>
      <c r="M174" s="46">
        <v>0.5</v>
      </c>
      <c r="N174" s="46">
        <v>0.5</v>
      </c>
      <c r="O174" s="46">
        <v>9.4036E7</v>
      </c>
      <c r="P174" s="38">
        <v>1.0</v>
      </c>
      <c r="Q174" s="39" t="s">
        <v>370</v>
      </c>
      <c r="R174" s="46">
        <v>250.0</v>
      </c>
      <c r="S174" s="22">
        <v>1000.0</v>
      </c>
      <c r="V174" s="43" t="s">
        <v>794</v>
      </c>
    </row>
    <row r="175">
      <c r="A175" s="30" t="s">
        <v>363</v>
      </c>
      <c r="B175" s="43" t="s">
        <v>786</v>
      </c>
      <c r="C175" s="30" t="s">
        <v>365</v>
      </c>
      <c r="D175" s="43"/>
      <c r="E175" s="43"/>
      <c r="F175" s="43"/>
      <c r="G175" s="27" t="s">
        <v>795</v>
      </c>
      <c r="H175" s="43" t="s">
        <v>796</v>
      </c>
      <c r="I175" s="44">
        <f t="shared" si="1"/>
        <v>31</v>
      </c>
      <c r="J175" s="45" t="s">
        <v>368</v>
      </c>
      <c r="K175" s="43" t="s">
        <v>788</v>
      </c>
      <c r="L175" s="43" t="s">
        <v>788</v>
      </c>
      <c r="M175" s="46">
        <v>0.5</v>
      </c>
      <c r="N175" s="46">
        <v>0.5</v>
      </c>
      <c r="O175" s="46">
        <v>9.4036E7</v>
      </c>
      <c r="P175" s="38">
        <v>1.0</v>
      </c>
      <c r="Q175" s="39" t="s">
        <v>370</v>
      </c>
      <c r="R175" s="46">
        <v>250.0</v>
      </c>
      <c r="S175" s="22">
        <v>1000.0</v>
      </c>
      <c r="V175" s="43" t="s">
        <v>796</v>
      </c>
    </row>
    <row r="176">
      <c r="A176" s="30" t="s">
        <v>363</v>
      </c>
      <c r="B176" s="43" t="s">
        <v>786</v>
      </c>
      <c r="C176" s="30" t="s">
        <v>365</v>
      </c>
      <c r="D176" s="43"/>
      <c r="E176" s="43"/>
      <c r="F176" s="43"/>
      <c r="G176" s="27" t="s">
        <v>797</v>
      </c>
      <c r="H176" s="43" t="s">
        <v>798</v>
      </c>
      <c r="I176" s="44">
        <f t="shared" si="1"/>
        <v>32</v>
      </c>
      <c r="J176" s="45" t="s">
        <v>368</v>
      </c>
      <c r="K176" s="43" t="s">
        <v>788</v>
      </c>
      <c r="L176" s="43" t="s">
        <v>788</v>
      </c>
      <c r="M176" s="46">
        <v>0.5</v>
      </c>
      <c r="N176" s="46">
        <v>0.5</v>
      </c>
      <c r="O176" s="46">
        <v>9.4036E7</v>
      </c>
      <c r="P176" s="38">
        <v>1.0</v>
      </c>
      <c r="Q176" s="39" t="s">
        <v>370</v>
      </c>
      <c r="R176" s="46">
        <v>250.0</v>
      </c>
      <c r="S176" s="22">
        <v>1000.0</v>
      </c>
      <c r="V176" s="43" t="s">
        <v>798</v>
      </c>
    </row>
    <row r="177">
      <c r="A177" s="30" t="s">
        <v>363</v>
      </c>
      <c r="B177" s="43" t="s">
        <v>786</v>
      </c>
      <c r="C177" s="30" t="s">
        <v>365</v>
      </c>
      <c r="D177" s="43"/>
      <c r="E177" s="43"/>
      <c r="F177" s="43"/>
      <c r="G177" s="27" t="s">
        <v>799</v>
      </c>
      <c r="H177" s="43" t="s">
        <v>800</v>
      </c>
      <c r="I177" s="44">
        <f t="shared" si="1"/>
        <v>37</v>
      </c>
      <c r="J177" s="45" t="s">
        <v>368</v>
      </c>
      <c r="K177" s="43" t="s">
        <v>788</v>
      </c>
      <c r="L177" s="43" t="s">
        <v>788</v>
      </c>
      <c r="M177" s="46">
        <v>0.5</v>
      </c>
      <c r="N177" s="46">
        <v>0.5</v>
      </c>
      <c r="O177" s="46">
        <v>9.4036E7</v>
      </c>
      <c r="P177" s="38">
        <v>1.0</v>
      </c>
      <c r="Q177" s="39" t="s">
        <v>370</v>
      </c>
      <c r="R177" s="46">
        <v>250.0</v>
      </c>
      <c r="S177" s="22">
        <v>1000.0</v>
      </c>
      <c r="V177" s="43" t="s">
        <v>800</v>
      </c>
    </row>
    <row r="178">
      <c r="A178" s="30" t="s">
        <v>363</v>
      </c>
      <c r="B178" s="43" t="s">
        <v>786</v>
      </c>
      <c r="C178" s="30" t="s">
        <v>365</v>
      </c>
      <c r="D178" s="43"/>
      <c r="E178" s="43"/>
      <c r="F178" s="43"/>
      <c r="G178" s="27" t="s">
        <v>801</v>
      </c>
      <c r="H178" s="43" t="s">
        <v>802</v>
      </c>
      <c r="I178" s="44">
        <f t="shared" si="1"/>
        <v>35</v>
      </c>
      <c r="J178" s="45" t="s">
        <v>368</v>
      </c>
      <c r="K178" s="43" t="s">
        <v>788</v>
      </c>
      <c r="L178" s="43" t="s">
        <v>788</v>
      </c>
      <c r="M178" s="46">
        <v>0.5</v>
      </c>
      <c r="N178" s="46">
        <v>0.5</v>
      </c>
      <c r="O178" s="46">
        <v>9.4036E7</v>
      </c>
      <c r="P178" s="38">
        <v>1.0</v>
      </c>
      <c r="Q178" s="39" t="s">
        <v>370</v>
      </c>
      <c r="R178" s="46">
        <v>250.0</v>
      </c>
      <c r="S178" s="22">
        <v>1000.0</v>
      </c>
      <c r="V178" s="43" t="s">
        <v>802</v>
      </c>
    </row>
    <row r="179">
      <c r="A179" s="30" t="s">
        <v>363</v>
      </c>
      <c r="B179" s="43" t="s">
        <v>786</v>
      </c>
      <c r="C179" s="30" t="s">
        <v>365</v>
      </c>
      <c r="D179" s="43"/>
      <c r="E179" s="43"/>
      <c r="F179" s="43"/>
      <c r="G179" s="27" t="s">
        <v>289</v>
      </c>
      <c r="H179" s="43" t="s">
        <v>803</v>
      </c>
      <c r="I179" s="44">
        <f t="shared" si="1"/>
        <v>36</v>
      </c>
      <c r="J179" s="45" t="s">
        <v>368</v>
      </c>
      <c r="K179" s="43" t="s">
        <v>788</v>
      </c>
      <c r="L179" s="43" t="s">
        <v>788</v>
      </c>
      <c r="M179" s="46">
        <v>0.5</v>
      </c>
      <c r="N179" s="46">
        <v>0.5</v>
      </c>
      <c r="O179" s="46">
        <v>9.4036E7</v>
      </c>
      <c r="P179" s="38">
        <v>1.0</v>
      </c>
      <c r="Q179" s="39" t="s">
        <v>370</v>
      </c>
      <c r="R179" s="46">
        <v>250.0</v>
      </c>
      <c r="S179" s="22">
        <v>1000.0</v>
      </c>
      <c r="V179" s="43" t="s">
        <v>803</v>
      </c>
    </row>
    <row r="180">
      <c r="A180" s="30" t="s">
        <v>363</v>
      </c>
      <c r="B180" s="43" t="s">
        <v>786</v>
      </c>
      <c r="C180" s="30" t="s">
        <v>365</v>
      </c>
      <c r="D180" s="43"/>
      <c r="E180" s="43"/>
      <c r="F180" s="43"/>
      <c r="G180" s="27" t="s">
        <v>110</v>
      </c>
      <c r="H180" s="43" t="s">
        <v>804</v>
      </c>
      <c r="I180" s="44">
        <f t="shared" si="1"/>
        <v>36</v>
      </c>
      <c r="J180" s="45" t="s">
        <v>368</v>
      </c>
      <c r="K180" s="43" t="s">
        <v>805</v>
      </c>
      <c r="L180" s="43" t="s">
        <v>805</v>
      </c>
      <c r="M180" s="46">
        <v>0.5</v>
      </c>
      <c r="N180" s="46">
        <v>0.5</v>
      </c>
      <c r="O180" s="46">
        <v>9.4036E7</v>
      </c>
      <c r="P180" s="38">
        <v>1.0</v>
      </c>
      <c r="Q180" s="39" t="s">
        <v>370</v>
      </c>
      <c r="R180" s="46">
        <v>250.0</v>
      </c>
      <c r="S180" s="22">
        <v>1000.0</v>
      </c>
      <c r="V180" s="43" t="s">
        <v>804</v>
      </c>
    </row>
    <row r="181">
      <c r="A181" s="30" t="s">
        <v>363</v>
      </c>
      <c r="B181" s="43" t="s">
        <v>786</v>
      </c>
      <c r="C181" s="30" t="s">
        <v>365</v>
      </c>
      <c r="D181" s="43"/>
      <c r="E181" s="43"/>
      <c r="F181" s="43"/>
      <c r="G181" s="27" t="s">
        <v>806</v>
      </c>
      <c r="H181" s="43" t="s">
        <v>807</v>
      </c>
      <c r="I181" s="44">
        <f t="shared" si="1"/>
        <v>37</v>
      </c>
      <c r="J181" s="45" t="s">
        <v>368</v>
      </c>
      <c r="K181" s="43" t="s">
        <v>805</v>
      </c>
      <c r="L181" s="43" t="s">
        <v>805</v>
      </c>
      <c r="M181" s="46">
        <v>0.5</v>
      </c>
      <c r="N181" s="46">
        <v>0.5</v>
      </c>
      <c r="O181" s="46">
        <v>9.4036E7</v>
      </c>
      <c r="P181" s="38">
        <v>1.0</v>
      </c>
      <c r="Q181" s="39" t="s">
        <v>370</v>
      </c>
      <c r="R181" s="46">
        <v>250.0</v>
      </c>
      <c r="S181" s="22">
        <v>1000.0</v>
      </c>
      <c r="V181" s="43" t="s">
        <v>807</v>
      </c>
    </row>
    <row r="182">
      <c r="A182" s="30" t="s">
        <v>363</v>
      </c>
      <c r="B182" s="43" t="s">
        <v>786</v>
      </c>
      <c r="C182" s="30" t="s">
        <v>365</v>
      </c>
      <c r="D182" s="43"/>
      <c r="E182" s="43"/>
      <c r="F182" s="43"/>
      <c r="G182" s="27" t="s">
        <v>39</v>
      </c>
      <c r="H182" s="43" t="s">
        <v>808</v>
      </c>
      <c r="I182" s="44">
        <f t="shared" si="1"/>
        <v>40</v>
      </c>
      <c r="J182" s="45" t="s">
        <v>368</v>
      </c>
      <c r="K182" s="43" t="s">
        <v>805</v>
      </c>
      <c r="L182" s="43" t="s">
        <v>805</v>
      </c>
      <c r="M182" s="46">
        <v>0.5</v>
      </c>
      <c r="N182" s="46">
        <v>0.5</v>
      </c>
      <c r="O182" s="46">
        <v>9.4036E7</v>
      </c>
      <c r="P182" s="38">
        <v>1.0</v>
      </c>
      <c r="Q182" s="39" t="s">
        <v>370</v>
      </c>
      <c r="R182" s="46">
        <v>250.0</v>
      </c>
      <c r="S182" s="22">
        <v>1000.0</v>
      </c>
      <c r="V182" s="43" t="s">
        <v>808</v>
      </c>
    </row>
    <row r="183">
      <c r="A183" s="30" t="s">
        <v>363</v>
      </c>
      <c r="B183" s="43" t="s">
        <v>786</v>
      </c>
      <c r="C183" s="30" t="s">
        <v>365</v>
      </c>
      <c r="D183" s="43"/>
      <c r="E183" s="43"/>
      <c r="F183" s="43"/>
      <c r="G183" s="27" t="s">
        <v>106</v>
      </c>
      <c r="H183" s="43" t="s">
        <v>809</v>
      </c>
      <c r="I183" s="44">
        <f t="shared" si="1"/>
        <v>40</v>
      </c>
      <c r="J183" s="45" t="s">
        <v>368</v>
      </c>
      <c r="K183" s="43" t="s">
        <v>805</v>
      </c>
      <c r="L183" s="43" t="s">
        <v>805</v>
      </c>
      <c r="M183" s="46">
        <v>0.5</v>
      </c>
      <c r="N183" s="46">
        <v>0.5</v>
      </c>
      <c r="O183" s="46">
        <v>9.4036E7</v>
      </c>
      <c r="P183" s="38">
        <v>1.0</v>
      </c>
      <c r="Q183" s="39" t="s">
        <v>370</v>
      </c>
      <c r="R183" s="46">
        <v>250.0</v>
      </c>
      <c r="S183" s="22">
        <v>1000.0</v>
      </c>
      <c r="V183" s="43" t="s">
        <v>809</v>
      </c>
    </row>
    <row r="184">
      <c r="A184" s="30" t="s">
        <v>363</v>
      </c>
      <c r="B184" s="43" t="s">
        <v>786</v>
      </c>
      <c r="C184" s="30" t="s">
        <v>365</v>
      </c>
      <c r="D184" s="43"/>
      <c r="E184" s="43"/>
      <c r="F184" s="43"/>
      <c r="G184" s="27" t="s">
        <v>810</v>
      </c>
      <c r="H184" s="43" t="s">
        <v>811</v>
      </c>
      <c r="I184" s="44">
        <f t="shared" si="1"/>
        <v>40</v>
      </c>
      <c r="J184" s="45" t="s">
        <v>368</v>
      </c>
      <c r="K184" s="43" t="s">
        <v>805</v>
      </c>
      <c r="L184" s="43" t="s">
        <v>805</v>
      </c>
      <c r="M184" s="46">
        <v>0.5</v>
      </c>
      <c r="N184" s="46">
        <v>0.5</v>
      </c>
      <c r="O184" s="46">
        <v>9.4036E7</v>
      </c>
      <c r="P184" s="38">
        <v>1.0</v>
      </c>
      <c r="Q184" s="39" t="s">
        <v>370</v>
      </c>
      <c r="R184" s="46">
        <v>250.0</v>
      </c>
      <c r="S184" s="22">
        <v>1000.0</v>
      </c>
      <c r="V184" s="43" t="s">
        <v>811</v>
      </c>
    </row>
    <row r="185">
      <c r="A185" s="30" t="s">
        <v>363</v>
      </c>
      <c r="B185" s="43" t="s">
        <v>786</v>
      </c>
      <c r="C185" s="30" t="s">
        <v>365</v>
      </c>
      <c r="D185" s="43"/>
      <c r="E185" s="43"/>
      <c r="F185" s="43"/>
      <c r="G185" s="27" t="s">
        <v>291</v>
      </c>
      <c r="H185" s="43" t="s">
        <v>812</v>
      </c>
      <c r="I185" s="44">
        <f t="shared" si="1"/>
        <v>33</v>
      </c>
      <c r="J185" s="45" t="s">
        <v>368</v>
      </c>
      <c r="K185" s="43" t="s">
        <v>805</v>
      </c>
      <c r="L185" s="43" t="s">
        <v>805</v>
      </c>
      <c r="M185" s="46">
        <v>0.5</v>
      </c>
      <c r="N185" s="46">
        <v>0.5</v>
      </c>
      <c r="O185" s="46">
        <v>9.4036E7</v>
      </c>
      <c r="P185" s="38">
        <v>1.0</v>
      </c>
      <c r="Q185" s="39" t="s">
        <v>370</v>
      </c>
      <c r="R185" s="46">
        <v>250.0</v>
      </c>
      <c r="S185" s="22">
        <v>1000.0</v>
      </c>
      <c r="V185" s="43" t="s">
        <v>812</v>
      </c>
    </row>
    <row r="186">
      <c r="A186" s="30" t="s">
        <v>363</v>
      </c>
      <c r="B186" s="43" t="s">
        <v>786</v>
      </c>
      <c r="C186" s="30" t="s">
        <v>365</v>
      </c>
      <c r="D186" s="43"/>
      <c r="E186" s="43"/>
      <c r="F186" s="43"/>
      <c r="G186" s="27" t="s">
        <v>813</v>
      </c>
      <c r="H186" s="43" t="s">
        <v>814</v>
      </c>
      <c r="I186" s="44">
        <f t="shared" si="1"/>
        <v>34</v>
      </c>
      <c r="J186" s="45" t="s">
        <v>368</v>
      </c>
      <c r="K186" s="43" t="s">
        <v>805</v>
      </c>
      <c r="L186" s="43" t="s">
        <v>805</v>
      </c>
      <c r="M186" s="46">
        <v>0.5</v>
      </c>
      <c r="N186" s="46">
        <v>0.5</v>
      </c>
      <c r="O186" s="46">
        <v>9.4036E7</v>
      </c>
      <c r="P186" s="38">
        <v>1.0</v>
      </c>
      <c r="Q186" s="39" t="s">
        <v>370</v>
      </c>
      <c r="R186" s="46">
        <v>250.0</v>
      </c>
      <c r="S186" s="22">
        <v>1000.0</v>
      </c>
      <c r="V186" s="43" t="s">
        <v>814</v>
      </c>
    </row>
    <row r="187">
      <c r="A187" s="30" t="s">
        <v>363</v>
      </c>
      <c r="B187" s="43" t="s">
        <v>786</v>
      </c>
      <c r="C187" s="30" t="s">
        <v>365</v>
      </c>
      <c r="D187" s="43"/>
      <c r="E187" s="43"/>
      <c r="F187" s="43"/>
      <c r="G187" s="27" t="s">
        <v>815</v>
      </c>
      <c r="H187" s="43" t="s">
        <v>816</v>
      </c>
      <c r="I187" s="44">
        <f t="shared" si="1"/>
        <v>37</v>
      </c>
      <c r="J187" s="45" t="s">
        <v>368</v>
      </c>
      <c r="K187" s="43" t="s">
        <v>805</v>
      </c>
      <c r="L187" s="43" t="s">
        <v>805</v>
      </c>
      <c r="M187" s="46">
        <v>0.5</v>
      </c>
      <c r="N187" s="46">
        <v>0.5</v>
      </c>
      <c r="O187" s="46">
        <v>9.4036E7</v>
      </c>
      <c r="P187" s="38">
        <v>1.0</v>
      </c>
      <c r="Q187" s="39" t="s">
        <v>370</v>
      </c>
      <c r="R187" s="46">
        <v>250.0</v>
      </c>
      <c r="S187" s="22">
        <v>1000.0</v>
      </c>
      <c r="V187" s="43" t="s">
        <v>816</v>
      </c>
    </row>
    <row r="188">
      <c r="A188" s="30" t="s">
        <v>363</v>
      </c>
      <c r="B188" s="43" t="s">
        <v>786</v>
      </c>
      <c r="C188" s="30" t="s">
        <v>365</v>
      </c>
      <c r="D188" s="43"/>
      <c r="E188" s="43"/>
      <c r="F188" s="43"/>
      <c r="G188" s="27" t="s">
        <v>266</v>
      </c>
      <c r="H188" s="43" t="s">
        <v>817</v>
      </c>
      <c r="I188" s="44">
        <f t="shared" si="1"/>
        <v>36</v>
      </c>
      <c r="J188" s="45" t="s">
        <v>368</v>
      </c>
      <c r="K188" s="43" t="s">
        <v>805</v>
      </c>
      <c r="L188" s="43" t="s">
        <v>805</v>
      </c>
      <c r="M188" s="46">
        <v>0.5</v>
      </c>
      <c r="N188" s="46">
        <v>0.5</v>
      </c>
      <c r="O188" s="46">
        <v>9.4036E7</v>
      </c>
      <c r="P188" s="38">
        <v>1.0</v>
      </c>
      <c r="Q188" s="39" t="s">
        <v>370</v>
      </c>
      <c r="R188" s="46">
        <v>250.0</v>
      </c>
      <c r="S188" s="22">
        <v>1000.0</v>
      </c>
      <c r="V188" s="43" t="s">
        <v>817</v>
      </c>
    </row>
    <row r="189">
      <c r="A189" s="30" t="s">
        <v>363</v>
      </c>
      <c r="B189" s="43" t="s">
        <v>786</v>
      </c>
      <c r="C189" s="30" t="s">
        <v>365</v>
      </c>
      <c r="D189" s="43"/>
      <c r="E189" s="43"/>
      <c r="F189" s="43"/>
      <c r="G189" s="27" t="s">
        <v>288</v>
      </c>
      <c r="H189" s="43" t="s">
        <v>818</v>
      </c>
      <c r="I189" s="44">
        <f t="shared" si="1"/>
        <v>37</v>
      </c>
      <c r="J189" s="45" t="s">
        <v>368</v>
      </c>
      <c r="K189" s="43" t="s">
        <v>805</v>
      </c>
      <c r="L189" s="43" t="s">
        <v>805</v>
      </c>
      <c r="M189" s="46">
        <v>0.5</v>
      </c>
      <c r="N189" s="46">
        <v>0.5</v>
      </c>
      <c r="O189" s="46">
        <v>9.4036E7</v>
      </c>
      <c r="P189" s="38">
        <v>1.0</v>
      </c>
      <c r="Q189" s="39" t="s">
        <v>370</v>
      </c>
      <c r="R189" s="46">
        <v>250.0</v>
      </c>
      <c r="S189" s="22">
        <v>1000.0</v>
      </c>
      <c r="V189" s="43" t="s">
        <v>818</v>
      </c>
    </row>
    <row r="190">
      <c r="A190" s="30" t="s">
        <v>363</v>
      </c>
      <c r="B190" s="43" t="s">
        <v>786</v>
      </c>
      <c r="C190" s="30" t="s">
        <v>365</v>
      </c>
      <c r="D190" s="43"/>
      <c r="E190" s="43"/>
      <c r="F190" s="43"/>
      <c r="G190" s="29" t="s">
        <v>819</v>
      </c>
      <c r="H190" s="43" t="s">
        <v>820</v>
      </c>
      <c r="I190" s="44">
        <f t="shared" si="1"/>
        <v>35</v>
      </c>
      <c r="J190" s="45" t="s">
        <v>368</v>
      </c>
      <c r="K190" s="43" t="s">
        <v>788</v>
      </c>
      <c r="L190" s="43" t="s">
        <v>788</v>
      </c>
      <c r="M190" s="46">
        <v>0.5</v>
      </c>
      <c r="N190" s="46">
        <v>0.5</v>
      </c>
      <c r="O190" s="46">
        <v>9.4036E7</v>
      </c>
      <c r="P190" s="38">
        <v>1.0</v>
      </c>
      <c r="Q190" s="39" t="s">
        <v>370</v>
      </c>
      <c r="R190" s="46">
        <v>250.0</v>
      </c>
      <c r="S190" s="22">
        <v>1000.0</v>
      </c>
      <c r="V190" s="43" t="s">
        <v>820</v>
      </c>
    </row>
    <row r="191">
      <c r="A191" s="30" t="s">
        <v>363</v>
      </c>
      <c r="B191" s="43" t="s">
        <v>786</v>
      </c>
      <c r="C191" s="30" t="s">
        <v>365</v>
      </c>
      <c r="D191" s="43"/>
      <c r="E191" s="43"/>
      <c r="F191" s="43"/>
      <c r="G191" s="29" t="s">
        <v>821</v>
      </c>
      <c r="H191" s="43" t="s">
        <v>822</v>
      </c>
      <c r="I191" s="44">
        <f t="shared" si="1"/>
        <v>36</v>
      </c>
      <c r="J191" s="45" t="s">
        <v>368</v>
      </c>
      <c r="K191" s="43" t="s">
        <v>788</v>
      </c>
      <c r="L191" s="43" t="str">
        <f>IFERROR(__xludf.DUMMYFUNCTION("CONCATENATE(REGEXEXTRACT(G191,""[\d]+""),"" x 300"")"),"300 x 300")</f>
        <v>300 x 300</v>
      </c>
      <c r="M191" s="46">
        <v>0.5</v>
      </c>
      <c r="N191" s="46">
        <v>0.5</v>
      </c>
      <c r="O191" s="46">
        <v>9.4036E7</v>
      </c>
      <c r="P191" s="38">
        <v>1.0</v>
      </c>
      <c r="Q191" s="39" t="s">
        <v>370</v>
      </c>
      <c r="R191" s="46">
        <v>250.0</v>
      </c>
      <c r="S191" s="22">
        <v>1000.0</v>
      </c>
      <c r="V191" s="43" t="s">
        <v>822</v>
      </c>
    </row>
    <row r="192">
      <c r="A192" s="30" t="s">
        <v>363</v>
      </c>
      <c r="B192" s="43" t="s">
        <v>786</v>
      </c>
      <c r="C192" s="30" t="s">
        <v>365</v>
      </c>
      <c r="D192" s="43"/>
      <c r="E192" s="43"/>
      <c r="F192" s="43"/>
      <c r="G192" s="29" t="s">
        <v>61</v>
      </c>
      <c r="H192" s="43" t="s">
        <v>823</v>
      </c>
      <c r="I192" s="44">
        <f t="shared" si="1"/>
        <v>40</v>
      </c>
      <c r="J192" s="45" t="s">
        <v>368</v>
      </c>
      <c r="K192" s="43" t="s">
        <v>788</v>
      </c>
      <c r="L192" s="43" t="str">
        <f>IFERROR(__xludf.DUMMYFUNCTION("CONCATENATE(REGEXEXTRACT(G192,""[\d]+""),"" x 300"")"),"300 x 300")</f>
        <v>300 x 300</v>
      </c>
      <c r="M192" s="46">
        <v>0.5</v>
      </c>
      <c r="N192" s="46">
        <v>0.5</v>
      </c>
      <c r="O192" s="46">
        <v>9.4036E7</v>
      </c>
      <c r="P192" s="38">
        <v>1.0</v>
      </c>
      <c r="Q192" s="39" t="s">
        <v>370</v>
      </c>
      <c r="R192" s="46">
        <v>250.0</v>
      </c>
      <c r="S192" s="22">
        <v>1000.0</v>
      </c>
      <c r="V192" s="43" t="s">
        <v>823</v>
      </c>
    </row>
    <row r="193">
      <c r="A193" s="30" t="s">
        <v>363</v>
      </c>
      <c r="B193" s="43" t="s">
        <v>786</v>
      </c>
      <c r="C193" s="30" t="s">
        <v>365</v>
      </c>
      <c r="D193" s="43"/>
      <c r="E193" s="43"/>
      <c r="F193" s="43"/>
      <c r="G193" s="29" t="s">
        <v>126</v>
      </c>
      <c r="H193" s="43" t="s">
        <v>824</v>
      </c>
      <c r="I193" s="44">
        <f t="shared" si="1"/>
        <v>39</v>
      </c>
      <c r="J193" s="45" t="s">
        <v>368</v>
      </c>
      <c r="K193" s="43" t="s">
        <v>788</v>
      </c>
      <c r="L193" s="43" t="str">
        <f>IFERROR(__xludf.DUMMYFUNCTION("CONCATENATE(REGEXEXTRACT(G193,""[\d]+""),"" x 300"")"),"300 x 300")</f>
        <v>300 x 300</v>
      </c>
      <c r="M193" s="46">
        <v>0.5</v>
      </c>
      <c r="N193" s="46">
        <v>0.5</v>
      </c>
      <c r="O193" s="46">
        <v>9.4036E7</v>
      </c>
      <c r="P193" s="38">
        <v>1.0</v>
      </c>
      <c r="Q193" s="39" t="s">
        <v>370</v>
      </c>
      <c r="R193" s="46">
        <v>250.0</v>
      </c>
      <c r="S193" s="22">
        <v>1000.0</v>
      </c>
      <c r="V193" s="43" t="s">
        <v>824</v>
      </c>
    </row>
    <row r="194">
      <c r="A194" s="30" t="s">
        <v>363</v>
      </c>
      <c r="B194" s="43" t="s">
        <v>786</v>
      </c>
      <c r="C194" s="30" t="s">
        <v>365</v>
      </c>
      <c r="D194" s="43"/>
      <c r="E194" s="43"/>
      <c r="F194" s="43"/>
      <c r="G194" s="29" t="s">
        <v>176</v>
      </c>
      <c r="H194" s="43" t="s">
        <v>825</v>
      </c>
      <c r="I194" s="44">
        <f t="shared" si="1"/>
        <v>40</v>
      </c>
      <c r="J194" s="45" t="s">
        <v>368</v>
      </c>
      <c r="K194" s="43" t="s">
        <v>788</v>
      </c>
      <c r="L194" s="43" t="str">
        <f>IFERROR(__xludf.DUMMYFUNCTION("CONCATENATE(REGEXEXTRACT(G194,""[\d]+""),"" x 300"")"),"300 x 300")</f>
        <v>300 x 300</v>
      </c>
      <c r="M194" s="46">
        <v>0.5</v>
      </c>
      <c r="N194" s="46">
        <v>0.5</v>
      </c>
      <c r="O194" s="46">
        <v>9.4036E7</v>
      </c>
      <c r="P194" s="38">
        <v>1.0</v>
      </c>
      <c r="Q194" s="39" t="s">
        <v>370</v>
      </c>
      <c r="R194" s="46">
        <v>250.0</v>
      </c>
      <c r="S194" s="22">
        <v>1000.0</v>
      </c>
      <c r="V194" s="43" t="s">
        <v>825</v>
      </c>
    </row>
    <row r="195">
      <c r="A195" s="30" t="s">
        <v>363</v>
      </c>
      <c r="B195" s="43" t="s">
        <v>786</v>
      </c>
      <c r="C195" s="30" t="s">
        <v>365</v>
      </c>
      <c r="D195" s="43"/>
      <c r="E195" s="43"/>
      <c r="F195" s="43"/>
      <c r="G195" s="29" t="s">
        <v>826</v>
      </c>
      <c r="H195" s="43" t="s">
        <v>827</v>
      </c>
      <c r="I195" s="44">
        <f t="shared" si="1"/>
        <v>36</v>
      </c>
      <c r="J195" s="45" t="s">
        <v>368</v>
      </c>
      <c r="K195" s="43" t="s">
        <v>828</v>
      </c>
      <c r="L195" s="43" t="str">
        <f>IFERROR(__xludf.DUMMYFUNCTION("CONCATENATE(REGEXEXTRACT(G195,""[\d]+""),"" x 300"")"),"450 x 300")</f>
        <v>450 x 300</v>
      </c>
      <c r="M195" s="46">
        <v>0.5</v>
      </c>
      <c r="N195" s="46">
        <v>0.5</v>
      </c>
      <c r="O195" s="46">
        <v>9.4036E7</v>
      </c>
      <c r="P195" s="38">
        <v>1.0</v>
      </c>
      <c r="Q195" s="39" t="s">
        <v>370</v>
      </c>
      <c r="R195" s="46">
        <v>250.0</v>
      </c>
      <c r="S195" s="22">
        <v>1000.0</v>
      </c>
      <c r="V195" s="43" t="s">
        <v>827</v>
      </c>
    </row>
    <row r="196">
      <c r="A196" s="30" t="s">
        <v>363</v>
      </c>
      <c r="B196" s="43" t="s">
        <v>786</v>
      </c>
      <c r="C196" s="30" t="s">
        <v>365</v>
      </c>
      <c r="D196" s="43"/>
      <c r="E196" s="43"/>
      <c r="F196" s="43"/>
      <c r="G196" s="29" t="s">
        <v>829</v>
      </c>
      <c r="H196" s="43" t="s">
        <v>830</v>
      </c>
      <c r="I196" s="44">
        <f t="shared" si="1"/>
        <v>37</v>
      </c>
      <c r="J196" s="45" t="s">
        <v>368</v>
      </c>
      <c r="K196" s="43" t="s">
        <v>828</v>
      </c>
      <c r="L196" s="43" t="str">
        <f>IFERROR(__xludf.DUMMYFUNCTION("CONCATENATE(REGEXEXTRACT(G196,""[\d]+""),"" x 300"")"),"450 x 300")</f>
        <v>450 x 300</v>
      </c>
      <c r="M196" s="46">
        <v>0.5</v>
      </c>
      <c r="N196" s="46">
        <v>0.5</v>
      </c>
      <c r="O196" s="46">
        <v>9.4036E7</v>
      </c>
      <c r="P196" s="38">
        <v>1.0</v>
      </c>
      <c r="Q196" s="39" t="s">
        <v>370</v>
      </c>
      <c r="R196" s="46">
        <v>250.0</v>
      </c>
      <c r="S196" s="22">
        <v>1000.0</v>
      </c>
      <c r="V196" s="43" t="s">
        <v>830</v>
      </c>
    </row>
    <row r="197">
      <c r="A197" s="30" t="s">
        <v>363</v>
      </c>
      <c r="B197" s="43" t="s">
        <v>786</v>
      </c>
      <c r="C197" s="30" t="s">
        <v>365</v>
      </c>
      <c r="D197" s="43"/>
      <c r="E197" s="43"/>
      <c r="F197" s="43"/>
      <c r="G197" s="29" t="s">
        <v>262</v>
      </c>
      <c r="H197" s="43" t="s">
        <v>831</v>
      </c>
      <c r="I197" s="44">
        <f t="shared" si="1"/>
        <v>40</v>
      </c>
      <c r="J197" s="45" t="s">
        <v>368</v>
      </c>
      <c r="K197" s="43" t="s">
        <v>828</v>
      </c>
      <c r="L197" s="43" t="str">
        <f>IFERROR(__xludf.DUMMYFUNCTION("CONCATENATE(REGEXEXTRACT(G197,""[\d]+""),"" x 300"")"),"450 x 300")</f>
        <v>450 x 300</v>
      </c>
      <c r="M197" s="46">
        <v>0.5</v>
      </c>
      <c r="N197" s="46">
        <v>0.5</v>
      </c>
      <c r="O197" s="46">
        <v>9.4036E7</v>
      </c>
      <c r="P197" s="38">
        <v>1.0</v>
      </c>
      <c r="Q197" s="39" t="s">
        <v>370</v>
      </c>
      <c r="R197" s="46">
        <v>250.0</v>
      </c>
      <c r="S197" s="22">
        <v>1000.0</v>
      </c>
      <c r="V197" s="43" t="s">
        <v>831</v>
      </c>
    </row>
    <row r="198">
      <c r="A198" s="30" t="s">
        <v>363</v>
      </c>
      <c r="B198" s="43" t="s">
        <v>786</v>
      </c>
      <c r="C198" s="30" t="s">
        <v>365</v>
      </c>
      <c r="D198" s="43"/>
      <c r="E198" s="43"/>
      <c r="F198" s="43"/>
      <c r="G198" s="29" t="s">
        <v>293</v>
      </c>
      <c r="H198" s="43" t="s">
        <v>832</v>
      </c>
      <c r="I198" s="44">
        <f t="shared" si="1"/>
        <v>40</v>
      </c>
      <c r="J198" s="45" t="s">
        <v>368</v>
      </c>
      <c r="K198" s="43" t="s">
        <v>828</v>
      </c>
      <c r="L198" s="43" t="str">
        <f>IFERROR(__xludf.DUMMYFUNCTION("CONCATENATE(REGEXEXTRACT(G198,""[\d]+""),"" x 300"")"),"450 x 300")</f>
        <v>450 x 300</v>
      </c>
      <c r="M198" s="46">
        <v>0.5</v>
      </c>
      <c r="N198" s="46">
        <v>0.5</v>
      </c>
      <c r="O198" s="46">
        <v>9.4036E7</v>
      </c>
      <c r="P198" s="38">
        <v>1.0</v>
      </c>
      <c r="Q198" s="39" t="s">
        <v>370</v>
      </c>
      <c r="R198" s="46">
        <v>250.0</v>
      </c>
      <c r="S198" s="22">
        <v>1000.0</v>
      </c>
      <c r="V198" s="43" t="s">
        <v>832</v>
      </c>
    </row>
    <row r="199">
      <c r="A199" s="30" t="s">
        <v>363</v>
      </c>
      <c r="B199" s="43" t="s">
        <v>786</v>
      </c>
      <c r="C199" s="30" t="s">
        <v>365</v>
      </c>
      <c r="D199" s="43"/>
      <c r="E199" s="43"/>
      <c r="F199" s="43"/>
      <c r="G199" s="29" t="s">
        <v>833</v>
      </c>
      <c r="H199" s="43" t="s">
        <v>834</v>
      </c>
      <c r="I199" s="44">
        <f t="shared" si="1"/>
        <v>40</v>
      </c>
      <c r="J199" s="45" t="s">
        <v>368</v>
      </c>
      <c r="K199" s="43" t="s">
        <v>828</v>
      </c>
      <c r="L199" s="43" t="str">
        <f>IFERROR(__xludf.DUMMYFUNCTION("CONCATENATE(REGEXEXTRACT(G199,""[\d]+""),"" x 300"")"),"450 x 300")</f>
        <v>450 x 300</v>
      </c>
      <c r="M199" s="46">
        <v>0.5</v>
      </c>
      <c r="N199" s="46">
        <v>0.5</v>
      </c>
      <c r="O199" s="46">
        <v>9.4036E7</v>
      </c>
      <c r="P199" s="38">
        <v>1.0</v>
      </c>
      <c r="Q199" s="39" t="s">
        <v>370</v>
      </c>
      <c r="R199" s="46">
        <v>250.0</v>
      </c>
      <c r="S199" s="22">
        <v>1000.0</v>
      </c>
      <c r="V199" s="43" t="s">
        <v>834</v>
      </c>
    </row>
    <row r="200">
      <c r="A200" s="30" t="s">
        <v>363</v>
      </c>
      <c r="B200" s="43" t="s">
        <v>786</v>
      </c>
      <c r="C200" s="30" t="s">
        <v>365</v>
      </c>
      <c r="D200" s="43"/>
      <c r="E200" s="43"/>
      <c r="F200" s="43"/>
      <c r="G200" s="29" t="s">
        <v>835</v>
      </c>
      <c r="H200" s="43" t="s">
        <v>836</v>
      </c>
      <c r="I200" s="44">
        <f t="shared" si="1"/>
        <v>36</v>
      </c>
      <c r="J200" s="45" t="s">
        <v>368</v>
      </c>
      <c r="K200" s="43" t="s">
        <v>837</v>
      </c>
      <c r="L200" s="43" t="str">
        <f>IFERROR(__xludf.DUMMYFUNCTION("CONCATENATE(REGEXEXTRACT(G200,""[\d]+""),"" x 300"")"),"600 x 300")</f>
        <v>600 x 300</v>
      </c>
      <c r="M200" s="46">
        <v>0.5</v>
      </c>
      <c r="N200" s="46">
        <v>0.5</v>
      </c>
      <c r="O200" s="46">
        <v>9.4036E7</v>
      </c>
      <c r="P200" s="38">
        <v>1.0</v>
      </c>
      <c r="Q200" s="39" t="s">
        <v>370</v>
      </c>
      <c r="R200" s="46">
        <v>250.0</v>
      </c>
      <c r="S200" s="22">
        <v>1000.0</v>
      </c>
      <c r="V200" s="43" t="s">
        <v>836</v>
      </c>
    </row>
    <row r="201">
      <c r="A201" s="30" t="s">
        <v>363</v>
      </c>
      <c r="B201" s="43" t="s">
        <v>786</v>
      </c>
      <c r="C201" s="30" t="s">
        <v>365</v>
      </c>
      <c r="D201" s="43"/>
      <c r="E201" s="43"/>
      <c r="F201" s="43"/>
      <c r="G201" s="29" t="s">
        <v>838</v>
      </c>
      <c r="H201" s="43" t="s">
        <v>839</v>
      </c>
      <c r="I201" s="44">
        <f t="shared" si="1"/>
        <v>37</v>
      </c>
      <c r="J201" s="45" t="s">
        <v>368</v>
      </c>
      <c r="K201" s="43" t="s">
        <v>837</v>
      </c>
      <c r="L201" s="43" t="str">
        <f>IFERROR(__xludf.DUMMYFUNCTION("CONCATENATE(REGEXEXTRACT(G201,""[\d]+""),"" x 300"")"),"600 x 300")</f>
        <v>600 x 300</v>
      </c>
      <c r="M201" s="46">
        <v>0.5</v>
      </c>
      <c r="N201" s="46">
        <v>0.5</v>
      </c>
      <c r="O201" s="46">
        <v>9.4036E7</v>
      </c>
      <c r="P201" s="38">
        <v>1.0</v>
      </c>
      <c r="Q201" s="39" t="s">
        <v>370</v>
      </c>
      <c r="R201" s="46">
        <v>250.0</v>
      </c>
      <c r="S201" s="22">
        <v>1000.0</v>
      </c>
      <c r="V201" s="43" t="s">
        <v>839</v>
      </c>
    </row>
    <row r="202">
      <c r="A202" s="30" t="s">
        <v>363</v>
      </c>
      <c r="B202" s="43" t="s">
        <v>786</v>
      </c>
      <c r="C202" s="30" t="s">
        <v>365</v>
      </c>
      <c r="D202" s="43"/>
      <c r="E202" s="43"/>
      <c r="F202" s="43"/>
      <c r="G202" s="29" t="s">
        <v>285</v>
      </c>
      <c r="H202" s="43" t="s">
        <v>840</v>
      </c>
      <c r="I202" s="44">
        <f t="shared" si="1"/>
        <v>40</v>
      </c>
      <c r="J202" s="45" t="s">
        <v>368</v>
      </c>
      <c r="K202" s="43" t="s">
        <v>837</v>
      </c>
      <c r="L202" s="43" t="str">
        <f>IFERROR(__xludf.DUMMYFUNCTION("CONCATENATE(REGEXEXTRACT(G202,""[\d]+""),"" x 300"")"),"600 x 300")</f>
        <v>600 x 300</v>
      </c>
      <c r="M202" s="46">
        <v>0.5</v>
      </c>
      <c r="N202" s="46">
        <v>0.5</v>
      </c>
      <c r="O202" s="46">
        <v>9.4036E7</v>
      </c>
      <c r="P202" s="38">
        <v>1.0</v>
      </c>
      <c r="Q202" s="39" t="s">
        <v>370</v>
      </c>
      <c r="R202" s="46">
        <v>250.0</v>
      </c>
      <c r="S202" s="22">
        <v>1000.0</v>
      </c>
      <c r="V202" s="43" t="s">
        <v>840</v>
      </c>
    </row>
    <row r="203">
      <c r="A203" s="30" t="s">
        <v>363</v>
      </c>
      <c r="B203" s="43" t="s">
        <v>786</v>
      </c>
      <c r="C203" s="30" t="s">
        <v>365</v>
      </c>
      <c r="D203" s="43"/>
      <c r="E203" s="43"/>
      <c r="F203" s="43"/>
      <c r="G203" s="29" t="s">
        <v>284</v>
      </c>
      <c r="H203" s="43" t="s">
        <v>841</v>
      </c>
      <c r="I203" s="44">
        <f t="shared" si="1"/>
        <v>40</v>
      </c>
      <c r="J203" s="45" t="s">
        <v>368</v>
      </c>
      <c r="K203" s="43" t="s">
        <v>837</v>
      </c>
      <c r="L203" s="43" t="str">
        <f>IFERROR(__xludf.DUMMYFUNCTION("CONCATENATE(REGEXEXTRACT(G203,""[\d]+""),"" x 300"")"),"600 x 300")</f>
        <v>600 x 300</v>
      </c>
      <c r="M203" s="46">
        <v>0.5</v>
      </c>
      <c r="N203" s="46">
        <v>0.5</v>
      </c>
      <c r="O203" s="46">
        <v>9.4036E7</v>
      </c>
      <c r="P203" s="38">
        <v>1.0</v>
      </c>
      <c r="Q203" s="39" t="s">
        <v>370</v>
      </c>
      <c r="R203" s="46">
        <v>250.0</v>
      </c>
      <c r="S203" s="22">
        <v>1000.0</v>
      </c>
      <c r="V203" s="43" t="s">
        <v>841</v>
      </c>
    </row>
    <row r="204">
      <c r="A204" s="30" t="s">
        <v>363</v>
      </c>
      <c r="B204" s="43" t="s">
        <v>786</v>
      </c>
      <c r="C204" s="30" t="s">
        <v>365</v>
      </c>
      <c r="D204" s="43"/>
      <c r="E204" s="43"/>
      <c r="F204" s="43"/>
      <c r="G204" s="29" t="s">
        <v>842</v>
      </c>
      <c r="H204" s="43" t="s">
        <v>843</v>
      </c>
      <c r="I204" s="44">
        <f t="shared" si="1"/>
        <v>40</v>
      </c>
      <c r="J204" s="45" t="s">
        <v>368</v>
      </c>
      <c r="K204" s="43" t="s">
        <v>837</v>
      </c>
      <c r="L204" s="43" t="str">
        <f>IFERROR(__xludf.DUMMYFUNCTION("CONCATENATE(REGEXEXTRACT(G204,""[\d]+""),"" x 300"")"),"600 x 300")</f>
        <v>600 x 300</v>
      </c>
      <c r="M204" s="46">
        <v>0.5</v>
      </c>
      <c r="N204" s="46">
        <v>0.5</v>
      </c>
      <c r="O204" s="46">
        <v>9.4036E7</v>
      </c>
      <c r="P204" s="38">
        <v>1.0</v>
      </c>
      <c r="Q204" s="39" t="s">
        <v>370</v>
      </c>
      <c r="R204" s="46">
        <v>250.0</v>
      </c>
      <c r="S204" s="22">
        <v>1000.0</v>
      </c>
      <c r="V204" s="43" t="s">
        <v>843</v>
      </c>
    </row>
    <row r="205">
      <c r="A205" s="30" t="s">
        <v>363</v>
      </c>
      <c r="B205" s="43" t="s">
        <v>786</v>
      </c>
      <c r="C205" s="30" t="s">
        <v>365</v>
      </c>
      <c r="D205" s="43"/>
      <c r="E205" s="43"/>
      <c r="F205" s="43"/>
      <c r="G205" s="29" t="s">
        <v>844</v>
      </c>
      <c r="H205" s="43" t="s">
        <v>845</v>
      </c>
      <c r="I205" s="44">
        <f t="shared" si="1"/>
        <v>36</v>
      </c>
      <c r="J205" s="45" t="s">
        <v>368</v>
      </c>
      <c r="K205" s="43" t="s">
        <v>846</v>
      </c>
      <c r="L205" s="43" t="str">
        <f>IFERROR(__xludf.DUMMYFUNCTION("CONCATENATE(REGEXEXTRACT(G205,""[\d]+""),"" x 300"")"),"750 x 300")</f>
        <v>750 x 300</v>
      </c>
      <c r="M205" s="46">
        <v>0.5</v>
      </c>
      <c r="N205" s="46">
        <v>0.5</v>
      </c>
      <c r="O205" s="46">
        <v>9.4036E7</v>
      </c>
      <c r="P205" s="38">
        <v>1.0</v>
      </c>
      <c r="Q205" s="39" t="s">
        <v>370</v>
      </c>
      <c r="R205" s="46">
        <v>250.0</v>
      </c>
      <c r="S205" s="22">
        <v>1000.0</v>
      </c>
      <c r="V205" s="43" t="s">
        <v>845</v>
      </c>
    </row>
    <row r="206">
      <c r="A206" s="30" t="s">
        <v>363</v>
      </c>
      <c r="B206" s="43" t="s">
        <v>786</v>
      </c>
      <c r="C206" s="30" t="s">
        <v>365</v>
      </c>
      <c r="D206" s="43"/>
      <c r="E206" s="43"/>
      <c r="F206" s="43"/>
      <c r="G206" s="29" t="s">
        <v>847</v>
      </c>
      <c r="H206" s="43" t="s">
        <v>848</v>
      </c>
      <c r="I206" s="44">
        <f t="shared" si="1"/>
        <v>37</v>
      </c>
      <c r="J206" s="45" t="s">
        <v>368</v>
      </c>
      <c r="K206" s="43" t="s">
        <v>846</v>
      </c>
      <c r="L206" s="43" t="str">
        <f>IFERROR(__xludf.DUMMYFUNCTION("CONCATENATE(REGEXEXTRACT(G206,""[\d]+""),"" x 300"")"),"750 x 300")</f>
        <v>750 x 300</v>
      </c>
      <c r="M206" s="46">
        <v>0.5</v>
      </c>
      <c r="N206" s="46">
        <v>0.5</v>
      </c>
      <c r="O206" s="46">
        <v>9.4036E7</v>
      </c>
      <c r="P206" s="38">
        <v>1.0</v>
      </c>
      <c r="Q206" s="39" t="s">
        <v>370</v>
      </c>
      <c r="R206" s="46">
        <v>250.0</v>
      </c>
      <c r="S206" s="22">
        <v>1000.0</v>
      </c>
      <c r="V206" s="43" t="s">
        <v>848</v>
      </c>
    </row>
    <row r="207">
      <c r="A207" s="30" t="s">
        <v>363</v>
      </c>
      <c r="B207" s="43" t="s">
        <v>786</v>
      </c>
      <c r="C207" s="30" t="s">
        <v>365</v>
      </c>
      <c r="D207" s="43"/>
      <c r="E207" s="43"/>
      <c r="F207" s="43"/>
      <c r="G207" s="29" t="s">
        <v>849</v>
      </c>
      <c r="H207" s="43" t="s">
        <v>850</v>
      </c>
      <c r="I207" s="44">
        <f t="shared" si="1"/>
        <v>40</v>
      </c>
      <c r="J207" s="45" t="s">
        <v>368</v>
      </c>
      <c r="K207" s="43" t="s">
        <v>846</v>
      </c>
      <c r="L207" s="43" t="str">
        <f>IFERROR(__xludf.DUMMYFUNCTION("CONCATENATE(REGEXEXTRACT(G207,""[\d]+""),"" x 300"")"),"750 x 300")</f>
        <v>750 x 300</v>
      </c>
      <c r="M207" s="46">
        <v>0.5</v>
      </c>
      <c r="N207" s="46">
        <v>0.5</v>
      </c>
      <c r="O207" s="46">
        <v>9.4036E7</v>
      </c>
      <c r="P207" s="38">
        <v>1.0</v>
      </c>
      <c r="Q207" s="39" t="s">
        <v>370</v>
      </c>
      <c r="R207" s="46">
        <v>250.0</v>
      </c>
      <c r="S207" s="22">
        <v>1000.0</v>
      </c>
      <c r="V207" s="43" t="s">
        <v>850</v>
      </c>
    </row>
    <row r="208">
      <c r="A208" s="30" t="s">
        <v>363</v>
      </c>
      <c r="B208" s="43" t="s">
        <v>786</v>
      </c>
      <c r="C208" s="30" t="s">
        <v>365</v>
      </c>
      <c r="D208" s="43"/>
      <c r="E208" s="43"/>
      <c r="F208" s="43"/>
      <c r="G208" s="29" t="s">
        <v>851</v>
      </c>
      <c r="H208" s="43" t="s">
        <v>852</v>
      </c>
      <c r="I208" s="44">
        <f t="shared" si="1"/>
        <v>40</v>
      </c>
      <c r="J208" s="45" t="s">
        <v>368</v>
      </c>
      <c r="K208" s="43" t="s">
        <v>846</v>
      </c>
      <c r="L208" s="43" t="str">
        <f>IFERROR(__xludf.DUMMYFUNCTION("CONCATENATE(REGEXEXTRACT(G208,""[\d]+""),"" x 300"")"),"750 x 300")</f>
        <v>750 x 300</v>
      </c>
      <c r="M208" s="46">
        <v>0.5</v>
      </c>
      <c r="N208" s="46">
        <v>0.5</v>
      </c>
      <c r="O208" s="46">
        <v>9.4036E7</v>
      </c>
      <c r="P208" s="38">
        <v>1.0</v>
      </c>
      <c r="Q208" s="39" t="s">
        <v>370</v>
      </c>
      <c r="R208" s="46">
        <v>250.0</v>
      </c>
      <c r="S208" s="22">
        <v>1000.0</v>
      </c>
      <c r="V208" s="43" t="s">
        <v>852</v>
      </c>
    </row>
    <row r="209">
      <c r="A209" s="30" t="s">
        <v>363</v>
      </c>
      <c r="B209" s="43" t="s">
        <v>786</v>
      </c>
      <c r="C209" s="30" t="s">
        <v>365</v>
      </c>
      <c r="D209" s="43"/>
      <c r="E209" s="43"/>
      <c r="F209" s="43"/>
      <c r="G209" s="29" t="s">
        <v>853</v>
      </c>
      <c r="H209" s="43" t="s">
        <v>854</v>
      </c>
      <c r="I209" s="44">
        <f t="shared" si="1"/>
        <v>40</v>
      </c>
      <c r="J209" s="45" t="s">
        <v>368</v>
      </c>
      <c r="K209" s="43" t="s">
        <v>846</v>
      </c>
      <c r="L209" s="43" t="str">
        <f>IFERROR(__xludf.DUMMYFUNCTION("CONCATENATE(REGEXEXTRACT(G209,""[\d]+""),"" x 300"")"),"750 x 300")</f>
        <v>750 x 300</v>
      </c>
      <c r="M209" s="46">
        <v>0.5</v>
      </c>
      <c r="N209" s="46">
        <v>0.5</v>
      </c>
      <c r="O209" s="46">
        <v>9.4036E7</v>
      </c>
      <c r="P209" s="38">
        <v>1.0</v>
      </c>
      <c r="Q209" s="39" t="s">
        <v>370</v>
      </c>
      <c r="R209" s="46">
        <v>250.0</v>
      </c>
      <c r="S209" s="22">
        <v>1000.0</v>
      </c>
      <c r="V209" s="43" t="s">
        <v>854</v>
      </c>
    </row>
    <row r="210">
      <c r="A210" s="30" t="s">
        <v>363</v>
      </c>
      <c r="B210" s="43" t="s">
        <v>786</v>
      </c>
      <c r="C210" s="30" t="s">
        <v>365</v>
      </c>
      <c r="D210" s="30"/>
      <c r="E210" s="30"/>
      <c r="F210" s="30"/>
      <c r="G210" s="24" t="s">
        <v>855</v>
      </c>
      <c r="H210" s="30" t="s">
        <v>856</v>
      </c>
      <c r="I210" s="44">
        <f t="shared" si="1"/>
        <v>19</v>
      </c>
      <c r="J210" s="45" t="s">
        <v>368</v>
      </c>
      <c r="K210" s="30" t="s">
        <v>857</v>
      </c>
      <c r="L210" s="30" t="s">
        <v>857</v>
      </c>
      <c r="M210" s="19">
        <v>0.1</v>
      </c>
      <c r="N210" s="19">
        <v>0.1</v>
      </c>
      <c r="O210" s="19">
        <v>2.325909E7</v>
      </c>
      <c r="P210" s="38">
        <v>1.0</v>
      </c>
      <c r="Q210" s="39" t="s">
        <v>370</v>
      </c>
      <c r="R210" s="46">
        <v>200.0</v>
      </c>
      <c r="S210" s="47">
        <v>500.0</v>
      </c>
      <c r="V210" s="30" t="s">
        <v>856</v>
      </c>
    </row>
    <row r="211">
      <c r="A211" s="30" t="s">
        <v>363</v>
      </c>
      <c r="B211" s="43" t="s">
        <v>786</v>
      </c>
      <c r="C211" s="30" t="s">
        <v>365</v>
      </c>
      <c r="D211" s="30"/>
      <c r="E211" s="30"/>
      <c r="F211" s="30"/>
      <c r="G211" s="24" t="s">
        <v>172</v>
      </c>
      <c r="H211" s="30" t="s">
        <v>858</v>
      </c>
      <c r="I211" s="44">
        <f t="shared" si="1"/>
        <v>19</v>
      </c>
      <c r="J211" s="45" t="s">
        <v>368</v>
      </c>
      <c r="K211" s="30" t="s">
        <v>857</v>
      </c>
      <c r="L211" s="30" t="s">
        <v>857</v>
      </c>
      <c r="M211" s="19">
        <v>0.1</v>
      </c>
      <c r="N211" s="19">
        <v>0.1</v>
      </c>
      <c r="O211" s="19">
        <v>2.325909E7</v>
      </c>
      <c r="P211" s="38">
        <v>1.0</v>
      </c>
      <c r="Q211" s="39" t="s">
        <v>370</v>
      </c>
      <c r="R211" s="46">
        <v>200.0</v>
      </c>
      <c r="S211" s="19">
        <v>500.0</v>
      </c>
      <c r="V211" s="30" t="s">
        <v>858</v>
      </c>
    </row>
    <row r="212">
      <c r="A212" s="30" t="s">
        <v>363</v>
      </c>
      <c r="B212" s="43" t="s">
        <v>786</v>
      </c>
      <c r="C212" s="30" t="s">
        <v>365</v>
      </c>
      <c r="D212" s="30"/>
      <c r="E212" s="30"/>
      <c r="F212" s="30"/>
      <c r="G212" s="24" t="s">
        <v>859</v>
      </c>
      <c r="H212" s="30" t="s">
        <v>860</v>
      </c>
      <c r="I212" s="44">
        <f t="shared" si="1"/>
        <v>19</v>
      </c>
      <c r="J212" s="45" t="s">
        <v>368</v>
      </c>
      <c r="K212" s="30" t="s">
        <v>857</v>
      </c>
      <c r="L212" s="30" t="s">
        <v>857</v>
      </c>
      <c r="M212" s="19">
        <v>0.1</v>
      </c>
      <c r="N212" s="19">
        <v>0.1</v>
      </c>
      <c r="O212" s="19">
        <v>2.325909E7</v>
      </c>
      <c r="P212" s="38">
        <v>1.0</v>
      </c>
      <c r="Q212" s="39" t="s">
        <v>370</v>
      </c>
      <c r="R212" s="46">
        <v>200.0</v>
      </c>
      <c r="S212" s="19">
        <v>500.0</v>
      </c>
      <c r="V212" s="30" t="s">
        <v>860</v>
      </c>
    </row>
    <row r="213">
      <c r="A213" s="30" t="s">
        <v>363</v>
      </c>
      <c r="B213" s="43" t="s">
        <v>786</v>
      </c>
      <c r="C213" s="30" t="s">
        <v>365</v>
      </c>
      <c r="D213" s="30"/>
      <c r="E213" s="30"/>
      <c r="F213" s="30"/>
      <c r="G213" s="24" t="s">
        <v>861</v>
      </c>
      <c r="H213" s="30" t="s">
        <v>862</v>
      </c>
      <c r="I213" s="44">
        <f t="shared" si="1"/>
        <v>19</v>
      </c>
      <c r="J213" s="45" t="s">
        <v>368</v>
      </c>
      <c r="K213" s="30" t="s">
        <v>857</v>
      </c>
      <c r="L213" s="30" t="s">
        <v>857</v>
      </c>
      <c r="M213" s="19">
        <v>0.1</v>
      </c>
      <c r="N213" s="19">
        <v>0.1</v>
      </c>
      <c r="O213" s="19">
        <v>2.325909E7</v>
      </c>
      <c r="P213" s="38">
        <v>1.0</v>
      </c>
      <c r="Q213" s="39" t="s">
        <v>370</v>
      </c>
      <c r="R213" s="46">
        <v>200.0</v>
      </c>
      <c r="S213" s="19">
        <v>500.0</v>
      </c>
      <c r="V213" s="30" t="s">
        <v>862</v>
      </c>
    </row>
    <row r="214">
      <c r="A214" s="30" t="s">
        <v>363</v>
      </c>
      <c r="B214" s="43" t="s">
        <v>786</v>
      </c>
      <c r="C214" s="30" t="s">
        <v>365</v>
      </c>
      <c r="D214" s="30"/>
      <c r="E214" s="30"/>
      <c r="F214" s="30"/>
      <c r="G214" s="24" t="s">
        <v>263</v>
      </c>
      <c r="H214" s="30" t="s">
        <v>863</v>
      </c>
      <c r="I214" s="44">
        <f t="shared" si="1"/>
        <v>19</v>
      </c>
      <c r="J214" s="45" t="s">
        <v>368</v>
      </c>
      <c r="K214" s="30" t="s">
        <v>857</v>
      </c>
      <c r="L214" s="30" t="s">
        <v>857</v>
      </c>
      <c r="M214" s="19">
        <v>0.1</v>
      </c>
      <c r="N214" s="19">
        <v>0.1</v>
      </c>
      <c r="O214" s="19">
        <v>2.325909E7</v>
      </c>
      <c r="P214" s="38">
        <v>1.0</v>
      </c>
      <c r="Q214" s="39" t="s">
        <v>370</v>
      </c>
      <c r="R214" s="46">
        <v>200.0</v>
      </c>
      <c r="S214" s="19">
        <v>500.0</v>
      </c>
      <c r="V214" s="30" t="s">
        <v>863</v>
      </c>
    </row>
    <row r="215">
      <c r="A215" s="30" t="s">
        <v>363</v>
      </c>
      <c r="B215" s="43" t="s">
        <v>786</v>
      </c>
      <c r="C215" s="30" t="s">
        <v>365</v>
      </c>
      <c r="D215" s="30"/>
      <c r="E215" s="30"/>
      <c r="F215" s="30"/>
      <c r="G215" s="24" t="s">
        <v>270</v>
      </c>
      <c r="H215" s="30" t="s">
        <v>864</v>
      </c>
      <c r="I215" s="44">
        <f t="shared" si="1"/>
        <v>19</v>
      </c>
      <c r="J215" s="45" t="s">
        <v>368</v>
      </c>
      <c r="K215" s="30" t="s">
        <v>857</v>
      </c>
      <c r="L215" s="30" t="s">
        <v>857</v>
      </c>
      <c r="M215" s="19">
        <v>0.1</v>
      </c>
      <c r="N215" s="19">
        <v>0.1</v>
      </c>
      <c r="O215" s="19">
        <v>2.325909E7</v>
      </c>
      <c r="P215" s="38">
        <v>1.0</v>
      </c>
      <c r="Q215" s="39" t="s">
        <v>370</v>
      </c>
      <c r="R215" s="46">
        <v>200.0</v>
      </c>
      <c r="S215" s="19">
        <v>500.0</v>
      </c>
      <c r="V215" s="30" t="s">
        <v>864</v>
      </c>
    </row>
    <row r="216">
      <c r="A216" s="30" t="s">
        <v>363</v>
      </c>
      <c r="B216" s="43" t="s">
        <v>786</v>
      </c>
      <c r="C216" s="30" t="s">
        <v>365</v>
      </c>
      <c r="D216" s="30"/>
      <c r="E216" s="30"/>
      <c r="F216" s="30"/>
      <c r="G216" s="24" t="s">
        <v>865</v>
      </c>
      <c r="H216" s="30" t="s">
        <v>866</v>
      </c>
      <c r="I216" s="44">
        <f t="shared" si="1"/>
        <v>19</v>
      </c>
      <c r="J216" s="45" t="s">
        <v>368</v>
      </c>
      <c r="K216" s="30" t="s">
        <v>857</v>
      </c>
      <c r="L216" s="30" t="s">
        <v>857</v>
      </c>
      <c r="M216" s="19">
        <v>0.1</v>
      </c>
      <c r="N216" s="19">
        <v>0.1</v>
      </c>
      <c r="O216" s="19">
        <v>2.325909E7</v>
      </c>
      <c r="P216" s="38">
        <v>1.0</v>
      </c>
      <c r="Q216" s="39" t="s">
        <v>370</v>
      </c>
      <c r="R216" s="46">
        <v>200.0</v>
      </c>
      <c r="S216" s="19">
        <v>500.0</v>
      </c>
      <c r="V216" s="30" t="s">
        <v>866</v>
      </c>
    </row>
    <row r="217">
      <c r="A217" s="30" t="s">
        <v>363</v>
      </c>
      <c r="B217" s="43" t="s">
        <v>786</v>
      </c>
      <c r="C217" s="30" t="s">
        <v>365</v>
      </c>
      <c r="D217" s="30"/>
      <c r="E217" s="30"/>
      <c r="F217" s="30"/>
      <c r="G217" s="24" t="s">
        <v>34</v>
      </c>
      <c r="H217" s="30" t="s">
        <v>867</v>
      </c>
      <c r="I217" s="44">
        <f t="shared" si="1"/>
        <v>19</v>
      </c>
      <c r="J217" s="45" t="s">
        <v>368</v>
      </c>
      <c r="K217" s="30" t="s">
        <v>868</v>
      </c>
      <c r="L217" s="30" t="s">
        <v>868</v>
      </c>
      <c r="M217" s="19">
        <v>0.25</v>
      </c>
      <c r="N217" s="19">
        <v>0.25</v>
      </c>
      <c r="O217" s="19">
        <v>2.325909E7</v>
      </c>
      <c r="P217" s="38">
        <v>1.0</v>
      </c>
      <c r="Q217" s="39" t="s">
        <v>370</v>
      </c>
      <c r="R217" s="46">
        <v>250.0</v>
      </c>
      <c r="S217" s="19">
        <v>500.0</v>
      </c>
      <c r="V217" s="30" t="s">
        <v>867</v>
      </c>
    </row>
    <row r="218">
      <c r="A218" s="30" t="s">
        <v>363</v>
      </c>
      <c r="B218" s="43" t="s">
        <v>786</v>
      </c>
      <c r="C218" s="30" t="s">
        <v>365</v>
      </c>
      <c r="D218" s="30"/>
      <c r="E218" s="30"/>
      <c r="F218" s="30"/>
      <c r="G218" s="24" t="s">
        <v>47</v>
      </c>
      <c r="H218" s="30" t="s">
        <v>869</v>
      </c>
      <c r="I218" s="44">
        <f t="shared" si="1"/>
        <v>19</v>
      </c>
      <c r="J218" s="45" t="s">
        <v>368</v>
      </c>
      <c r="K218" s="30" t="s">
        <v>868</v>
      </c>
      <c r="L218" s="30" t="s">
        <v>868</v>
      </c>
      <c r="M218" s="19">
        <v>0.25</v>
      </c>
      <c r="N218" s="19">
        <v>0.25</v>
      </c>
      <c r="O218" s="19">
        <v>2.325909E7</v>
      </c>
      <c r="P218" s="38">
        <v>1.0</v>
      </c>
      <c r="Q218" s="39" t="s">
        <v>370</v>
      </c>
      <c r="R218" s="46">
        <v>250.0</v>
      </c>
      <c r="S218" s="19">
        <v>500.0</v>
      </c>
      <c r="V218" s="30" t="s">
        <v>869</v>
      </c>
    </row>
    <row r="219">
      <c r="A219" s="30" t="s">
        <v>363</v>
      </c>
      <c r="B219" s="43" t="s">
        <v>786</v>
      </c>
      <c r="C219" s="30" t="s">
        <v>365</v>
      </c>
      <c r="D219" s="30"/>
      <c r="E219" s="30"/>
      <c r="F219" s="30"/>
      <c r="G219" s="24" t="s">
        <v>42</v>
      </c>
      <c r="H219" s="30" t="s">
        <v>870</v>
      </c>
      <c r="I219" s="44">
        <f t="shared" si="1"/>
        <v>19</v>
      </c>
      <c r="J219" s="45" t="s">
        <v>368</v>
      </c>
      <c r="K219" s="30" t="s">
        <v>868</v>
      </c>
      <c r="L219" s="30" t="s">
        <v>868</v>
      </c>
      <c r="M219" s="19">
        <v>0.25</v>
      </c>
      <c r="N219" s="19">
        <v>0.25</v>
      </c>
      <c r="O219" s="19">
        <v>2.325909E7</v>
      </c>
      <c r="P219" s="38">
        <v>1.0</v>
      </c>
      <c r="Q219" s="39" t="s">
        <v>370</v>
      </c>
      <c r="R219" s="46">
        <v>250.0</v>
      </c>
      <c r="S219" s="19">
        <v>500.0</v>
      </c>
      <c r="V219" s="30" t="s">
        <v>870</v>
      </c>
    </row>
    <row r="220">
      <c r="A220" s="30" t="s">
        <v>363</v>
      </c>
      <c r="B220" s="43" t="s">
        <v>786</v>
      </c>
      <c r="C220" s="30" t="s">
        <v>365</v>
      </c>
      <c r="D220" s="30"/>
      <c r="E220" s="30"/>
      <c r="F220" s="30"/>
      <c r="G220" s="24" t="s">
        <v>871</v>
      </c>
      <c r="H220" s="30" t="s">
        <v>872</v>
      </c>
      <c r="I220" s="44">
        <f t="shared" si="1"/>
        <v>19</v>
      </c>
      <c r="J220" s="45" t="s">
        <v>368</v>
      </c>
      <c r="K220" s="30" t="s">
        <v>868</v>
      </c>
      <c r="L220" s="30" t="s">
        <v>868</v>
      </c>
      <c r="M220" s="19">
        <v>0.25</v>
      </c>
      <c r="N220" s="19">
        <v>0.25</v>
      </c>
      <c r="O220" s="19">
        <v>2.325909E7</v>
      </c>
      <c r="P220" s="38">
        <v>1.0</v>
      </c>
      <c r="Q220" s="39" t="s">
        <v>370</v>
      </c>
      <c r="R220" s="46">
        <v>250.0</v>
      </c>
      <c r="S220" s="19">
        <v>500.0</v>
      </c>
      <c r="V220" s="30" t="s">
        <v>872</v>
      </c>
    </row>
    <row r="221">
      <c r="A221" s="30" t="s">
        <v>363</v>
      </c>
      <c r="B221" s="43" t="s">
        <v>786</v>
      </c>
      <c r="C221" s="30" t="s">
        <v>365</v>
      </c>
      <c r="D221" s="30"/>
      <c r="E221" s="30"/>
      <c r="F221" s="30"/>
      <c r="G221" s="24" t="s">
        <v>269</v>
      </c>
      <c r="H221" s="30" t="s">
        <v>873</v>
      </c>
      <c r="I221" s="44">
        <f t="shared" si="1"/>
        <v>19</v>
      </c>
      <c r="J221" s="45" t="s">
        <v>368</v>
      </c>
      <c r="K221" s="30" t="s">
        <v>868</v>
      </c>
      <c r="L221" s="30" t="s">
        <v>868</v>
      </c>
      <c r="M221" s="19">
        <v>0.25</v>
      </c>
      <c r="N221" s="19">
        <v>0.25</v>
      </c>
      <c r="O221" s="19">
        <v>2.325909E7</v>
      </c>
      <c r="P221" s="38">
        <v>1.0</v>
      </c>
      <c r="Q221" s="39" t="s">
        <v>370</v>
      </c>
      <c r="R221" s="46">
        <v>250.0</v>
      </c>
      <c r="S221" s="19">
        <v>500.0</v>
      </c>
      <c r="V221" s="30" t="s">
        <v>873</v>
      </c>
    </row>
    <row r="222">
      <c r="A222" s="30" t="s">
        <v>363</v>
      </c>
      <c r="B222" s="43" t="s">
        <v>786</v>
      </c>
      <c r="C222" s="30" t="s">
        <v>365</v>
      </c>
      <c r="D222" s="30"/>
      <c r="E222" s="30"/>
      <c r="F222" s="30"/>
      <c r="G222" s="24" t="s">
        <v>874</v>
      </c>
      <c r="H222" s="30" t="s">
        <v>875</v>
      </c>
      <c r="I222" s="44">
        <f t="shared" si="1"/>
        <v>19</v>
      </c>
      <c r="J222" s="45" t="s">
        <v>368</v>
      </c>
      <c r="K222" s="30" t="s">
        <v>868</v>
      </c>
      <c r="L222" s="30" t="s">
        <v>868</v>
      </c>
      <c r="M222" s="19">
        <v>0.25</v>
      </c>
      <c r="N222" s="19">
        <v>0.25</v>
      </c>
      <c r="O222" s="19">
        <v>2.325909E7</v>
      </c>
      <c r="P222" s="38">
        <v>1.0</v>
      </c>
      <c r="Q222" s="39" t="s">
        <v>370</v>
      </c>
      <c r="R222" s="46">
        <v>250.0</v>
      </c>
      <c r="S222" s="19">
        <v>500.0</v>
      </c>
      <c r="V222" s="30" t="s">
        <v>875</v>
      </c>
    </row>
    <row r="223">
      <c r="A223" s="30" t="s">
        <v>363</v>
      </c>
      <c r="B223" s="43" t="s">
        <v>786</v>
      </c>
      <c r="C223" s="30" t="s">
        <v>365</v>
      </c>
      <c r="D223" s="30"/>
      <c r="E223" s="30"/>
      <c r="F223" s="30"/>
      <c r="G223" s="24" t="s">
        <v>273</v>
      </c>
      <c r="H223" s="30" t="s">
        <v>876</v>
      </c>
      <c r="I223" s="44">
        <f t="shared" si="1"/>
        <v>19</v>
      </c>
      <c r="J223" s="45" t="s">
        <v>368</v>
      </c>
      <c r="K223" s="30" t="s">
        <v>868</v>
      </c>
      <c r="L223" s="30" t="s">
        <v>868</v>
      </c>
      <c r="M223" s="19">
        <v>0.25</v>
      </c>
      <c r="N223" s="19">
        <v>0.25</v>
      </c>
      <c r="O223" s="19">
        <v>2.325909E7</v>
      </c>
      <c r="P223" s="38">
        <v>1.0</v>
      </c>
      <c r="Q223" s="39" t="s">
        <v>370</v>
      </c>
      <c r="R223" s="46">
        <v>250.0</v>
      </c>
      <c r="S223" s="19">
        <v>500.0</v>
      </c>
      <c r="V223" s="30" t="s">
        <v>876</v>
      </c>
    </row>
    <row r="224">
      <c r="A224" s="30" t="s">
        <v>363</v>
      </c>
      <c r="B224" s="43" t="s">
        <v>786</v>
      </c>
      <c r="C224" s="30" t="s">
        <v>365</v>
      </c>
      <c r="D224" s="30"/>
      <c r="E224" s="30"/>
      <c r="F224" s="30"/>
      <c r="G224" s="24" t="s">
        <v>30</v>
      </c>
      <c r="H224" s="30" t="s">
        <v>877</v>
      </c>
      <c r="I224" s="44">
        <f t="shared" si="1"/>
        <v>19</v>
      </c>
      <c r="J224" s="45" t="s">
        <v>368</v>
      </c>
      <c r="K224" s="30" t="s">
        <v>868</v>
      </c>
      <c r="L224" s="30" t="s">
        <v>868</v>
      </c>
      <c r="M224" s="19">
        <v>0.25</v>
      </c>
      <c r="N224" s="19">
        <v>0.25</v>
      </c>
      <c r="O224" s="19">
        <v>2.325909E7</v>
      </c>
      <c r="P224" s="38">
        <v>1.0</v>
      </c>
      <c r="Q224" s="39" t="s">
        <v>370</v>
      </c>
      <c r="R224" s="46">
        <v>250.0</v>
      </c>
      <c r="S224" s="19">
        <v>500.0</v>
      </c>
      <c r="V224" s="30" t="s">
        <v>877</v>
      </c>
    </row>
    <row r="225">
      <c r="A225" s="30" t="s">
        <v>363</v>
      </c>
      <c r="B225" s="43" t="s">
        <v>786</v>
      </c>
      <c r="C225" s="30" t="s">
        <v>365</v>
      </c>
      <c r="D225" s="30"/>
      <c r="E225" s="30"/>
      <c r="F225" s="30"/>
      <c r="G225" s="24" t="s">
        <v>261</v>
      </c>
      <c r="H225" s="30" t="s">
        <v>878</v>
      </c>
      <c r="I225" s="44">
        <f t="shared" si="1"/>
        <v>19</v>
      </c>
      <c r="J225" s="45" t="s">
        <v>368</v>
      </c>
      <c r="K225" s="30" t="s">
        <v>868</v>
      </c>
      <c r="L225" s="30" t="s">
        <v>868</v>
      </c>
      <c r="M225" s="19">
        <v>0.25</v>
      </c>
      <c r="N225" s="19">
        <v>0.25</v>
      </c>
      <c r="O225" s="19">
        <v>2.325909E7</v>
      </c>
      <c r="P225" s="38">
        <v>1.0</v>
      </c>
      <c r="Q225" s="39" t="s">
        <v>370</v>
      </c>
      <c r="R225" s="46">
        <v>250.0</v>
      </c>
      <c r="S225" s="19">
        <v>500.0</v>
      </c>
      <c r="V225" s="30" t="s">
        <v>878</v>
      </c>
    </row>
    <row r="226">
      <c r="A226" s="30" t="s">
        <v>363</v>
      </c>
      <c r="B226" s="43" t="s">
        <v>786</v>
      </c>
      <c r="C226" s="30" t="s">
        <v>365</v>
      </c>
      <c r="D226" s="30"/>
      <c r="E226" s="30"/>
      <c r="F226" s="30"/>
      <c r="G226" s="24" t="s">
        <v>119</v>
      </c>
      <c r="H226" s="30" t="s">
        <v>879</v>
      </c>
      <c r="I226" s="44">
        <f t="shared" si="1"/>
        <v>19</v>
      </c>
      <c r="J226" s="45" t="s">
        <v>368</v>
      </c>
      <c r="K226" s="30" t="s">
        <v>868</v>
      </c>
      <c r="L226" s="30" t="s">
        <v>868</v>
      </c>
      <c r="M226" s="19">
        <v>0.25</v>
      </c>
      <c r="N226" s="19">
        <v>0.25</v>
      </c>
      <c r="O226" s="19">
        <v>2.325909E7</v>
      </c>
      <c r="P226" s="38">
        <v>1.0</v>
      </c>
      <c r="Q226" s="39" t="s">
        <v>370</v>
      </c>
      <c r="R226" s="46">
        <v>250.0</v>
      </c>
      <c r="S226" s="19">
        <v>500.0</v>
      </c>
      <c r="V226" s="30" t="s">
        <v>879</v>
      </c>
    </row>
    <row r="227">
      <c r="A227" s="30" t="s">
        <v>363</v>
      </c>
      <c r="B227" s="43" t="s">
        <v>786</v>
      </c>
      <c r="C227" s="30" t="s">
        <v>365</v>
      </c>
      <c r="D227" s="30"/>
      <c r="E227" s="30"/>
      <c r="F227" s="30"/>
      <c r="G227" s="24" t="s">
        <v>880</v>
      </c>
      <c r="H227" s="30" t="s">
        <v>881</v>
      </c>
      <c r="I227" s="44">
        <f t="shared" si="1"/>
        <v>19</v>
      </c>
      <c r="J227" s="45" t="s">
        <v>368</v>
      </c>
      <c r="K227" s="30" t="s">
        <v>868</v>
      </c>
      <c r="L227" s="30" t="s">
        <v>868</v>
      </c>
      <c r="M227" s="19">
        <v>0.25</v>
      </c>
      <c r="N227" s="19">
        <v>0.25</v>
      </c>
      <c r="O227" s="19">
        <v>2.325909E7</v>
      </c>
      <c r="P227" s="38">
        <v>1.0</v>
      </c>
      <c r="Q227" s="39" t="s">
        <v>370</v>
      </c>
      <c r="R227" s="46">
        <v>250.0</v>
      </c>
      <c r="S227" s="19">
        <v>500.0</v>
      </c>
      <c r="V227" s="30" t="s">
        <v>881</v>
      </c>
    </row>
    <row r="228">
      <c r="A228" s="30" t="s">
        <v>363</v>
      </c>
      <c r="B228" s="43" t="s">
        <v>786</v>
      </c>
      <c r="C228" s="30" t="s">
        <v>365</v>
      </c>
      <c r="D228" s="30"/>
      <c r="E228" s="30"/>
      <c r="F228" s="30"/>
      <c r="G228" s="24" t="s">
        <v>882</v>
      </c>
      <c r="H228" s="30" t="s">
        <v>883</v>
      </c>
      <c r="I228" s="44">
        <f t="shared" si="1"/>
        <v>19</v>
      </c>
      <c r="J228" s="45" t="s">
        <v>368</v>
      </c>
      <c r="K228" s="30" t="s">
        <v>868</v>
      </c>
      <c r="L228" s="30" t="s">
        <v>868</v>
      </c>
      <c r="M228" s="19">
        <v>0.25</v>
      </c>
      <c r="N228" s="19">
        <v>0.25</v>
      </c>
      <c r="O228" s="19">
        <v>2.325909E7</v>
      </c>
      <c r="P228" s="38">
        <v>1.0</v>
      </c>
      <c r="Q228" s="39" t="s">
        <v>370</v>
      </c>
      <c r="R228" s="46">
        <v>250.0</v>
      </c>
      <c r="S228" s="19">
        <v>500.0</v>
      </c>
      <c r="V228" s="30" t="s">
        <v>883</v>
      </c>
    </row>
    <row r="229">
      <c r="A229" s="30" t="s">
        <v>363</v>
      </c>
      <c r="B229" s="43" t="s">
        <v>786</v>
      </c>
      <c r="C229" s="30" t="s">
        <v>365</v>
      </c>
      <c r="D229" s="30"/>
      <c r="E229" s="30"/>
      <c r="F229" s="30"/>
      <c r="G229" s="24" t="s">
        <v>884</v>
      </c>
      <c r="H229" s="30" t="s">
        <v>885</v>
      </c>
      <c r="I229" s="44">
        <f t="shared" si="1"/>
        <v>19</v>
      </c>
      <c r="J229" s="45" t="s">
        <v>368</v>
      </c>
      <c r="K229" s="30" t="s">
        <v>868</v>
      </c>
      <c r="L229" s="30" t="s">
        <v>868</v>
      </c>
      <c r="M229" s="19">
        <v>0.25</v>
      </c>
      <c r="N229" s="19">
        <v>0.25</v>
      </c>
      <c r="O229" s="19">
        <v>2.325909E7</v>
      </c>
      <c r="P229" s="38">
        <v>1.0</v>
      </c>
      <c r="Q229" s="39" t="s">
        <v>370</v>
      </c>
      <c r="R229" s="46">
        <v>250.0</v>
      </c>
      <c r="S229" s="19">
        <v>500.0</v>
      </c>
      <c r="V229" s="30" t="s">
        <v>885</v>
      </c>
    </row>
    <row r="230">
      <c r="A230" s="30" t="s">
        <v>363</v>
      </c>
      <c r="B230" s="43" t="s">
        <v>786</v>
      </c>
      <c r="C230" s="30" t="s">
        <v>365</v>
      </c>
      <c r="D230" s="30"/>
      <c r="E230" s="30"/>
      <c r="F230" s="30"/>
      <c r="G230" s="24" t="s">
        <v>886</v>
      </c>
      <c r="H230" s="30" t="s">
        <v>887</v>
      </c>
      <c r="I230" s="44">
        <f t="shared" si="1"/>
        <v>19</v>
      </c>
      <c r="J230" s="45" t="s">
        <v>368</v>
      </c>
      <c r="K230" s="30" t="s">
        <v>868</v>
      </c>
      <c r="L230" s="30" t="s">
        <v>868</v>
      </c>
      <c r="M230" s="19">
        <v>0.25</v>
      </c>
      <c r="N230" s="19">
        <v>0.25</v>
      </c>
      <c r="O230" s="19">
        <v>2.325909E7</v>
      </c>
      <c r="P230" s="38">
        <v>1.0</v>
      </c>
      <c r="Q230" s="39" t="s">
        <v>370</v>
      </c>
      <c r="R230" s="46">
        <v>250.0</v>
      </c>
      <c r="S230" s="19">
        <v>500.0</v>
      </c>
      <c r="V230" s="30" t="s">
        <v>887</v>
      </c>
    </row>
    <row r="231">
      <c r="A231" s="30" t="s">
        <v>363</v>
      </c>
      <c r="B231" s="43" t="s">
        <v>786</v>
      </c>
      <c r="C231" s="30" t="s">
        <v>365</v>
      </c>
      <c r="D231" s="30"/>
      <c r="E231" s="30"/>
      <c r="F231" s="30"/>
      <c r="G231" s="24" t="s">
        <v>888</v>
      </c>
      <c r="H231" s="30" t="s">
        <v>889</v>
      </c>
      <c r="I231" s="44">
        <f t="shared" si="1"/>
        <v>19</v>
      </c>
      <c r="J231" s="45" t="s">
        <v>368</v>
      </c>
      <c r="K231" s="30" t="s">
        <v>868</v>
      </c>
      <c r="L231" s="30" t="s">
        <v>868</v>
      </c>
      <c r="M231" s="19">
        <v>0.25</v>
      </c>
      <c r="N231" s="19">
        <v>0.25</v>
      </c>
      <c r="O231" s="19">
        <v>2.325909E7</v>
      </c>
      <c r="P231" s="38">
        <v>1.0</v>
      </c>
      <c r="Q231" s="39" t="s">
        <v>370</v>
      </c>
      <c r="R231" s="46">
        <v>250.0</v>
      </c>
      <c r="S231" s="19">
        <v>500.0</v>
      </c>
      <c r="V231" s="30" t="s">
        <v>889</v>
      </c>
    </row>
    <row r="232">
      <c r="A232" s="30" t="s">
        <v>363</v>
      </c>
      <c r="B232" s="30" t="s">
        <v>890</v>
      </c>
      <c r="C232" s="30" t="s">
        <v>365</v>
      </c>
      <c r="D232" s="30"/>
      <c r="E232" s="30"/>
      <c r="F232" s="30"/>
      <c r="G232" s="24" t="s">
        <v>268</v>
      </c>
      <c r="H232" s="30" t="s">
        <v>891</v>
      </c>
      <c r="I232" s="44">
        <f t="shared" si="1"/>
        <v>32</v>
      </c>
      <c r="J232" s="45" t="s">
        <v>368</v>
      </c>
      <c r="K232" s="30" t="s">
        <v>892</v>
      </c>
      <c r="L232" s="30" t="s">
        <v>892</v>
      </c>
      <c r="M232" s="19">
        <v>0.5</v>
      </c>
      <c r="N232" s="19">
        <v>0.5</v>
      </c>
      <c r="O232" s="22">
        <v>3.925909E7</v>
      </c>
      <c r="P232" s="19">
        <v>1.0</v>
      </c>
      <c r="Q232" s="39" t="s">
        <v>370</v>
      </c>
      <c r="R232" s="19">
        <v>500.0</v>
      </c>
      <c r="S232" s="19">
        <v>600.0</v>
      </c>
      <c r="V232" s="30" t="s">
        <v>891</v>
      </c>
    </row>
    <row r="233">
      <c r="A233" s="30" t="s">
        <v>363</v>
      </c>
      <c r="B233" s="30" t="s">
        <v>890</v>
      </c>
      <c r="C233" s="30" t="s">
        <v>365</v>
      </c>
      <c r="D233" s="30"/>
      <c r="E233" s="30"/>
      <c r="F233" s="30"/>
      <c r="G233" s="24" t="s">
        <v>264</v>
      </c>
      <c r="H233" s="30" t="s">
        <v>893</v>
      </c>
      <c r="I233" s="44">
        <f t="shared" si="1"/>
        <v>35</v>
      </c>
      <c r="J233" s="45" t="s">
        <v>368</v>
      </c>
      <c r="K233" s="30" t="s">
        <v>892</v>
      </c>
      <c r="L233" s="30" t="s">
        <v>892</v>
      </c>
      <c r="M233" s="19">
        <v>0.5</v>
      </c>
      <c r="N233" s="19">
        <v>0.5</v>
      </c>
      <c r="O233" s="22">
        <v>3.925909E7</v>
      </c>
      <c r="P233" s="19">
        <v>1.0</v>
      </c>
      <c r="Q233" s="39" t="s">
        <v>370</v>
      </c>
      <c r="R233" s="19">
        <v>500.0</v>
      </c>
      <c r="S233" s="19">
        <v>600.0</v>
      </c>
      <c r="V233" s="30" t="s">
        <v>893</v>
      </c>
    </row>
    <row r="234">
      <c r="A234" s="30" t="s">
        <v>363</v>
      </c>
      <c r="B234" s="30" t="s">
        <v>890</v>
      </c>
      <c r="C234" s="30" t="s">
        <v>365</v>
      </c>
      <c r="D234" s="30"/>
      <c r="E234" s="30"/>
      <c r="F234" s="30"/>
      <c r="G234" s="24" t="s">
        <v>237</v>
      </c>
      <c r="H234" s="30" t="s">
        <v>894</v>
      </c>
      <c r="I234" s="44">
        <f t="shared" si="1"/>
        <v>31</v>
      </c>
      <c r="J234" s="45" t="s">
        <v>368</v>
      </c>
      <c r="K234" s="30" t="s">
        <v>892</v>
      </c>
      <c r="L234" s="30" t="s">
        <v>892</v>
      </c>
      <c r="M234" s="19">
        <v>0.5</v>
      </c>
      <c r="N234" s="19">
        <v>0.5</v>
      </c>
      <c r="O234" s="22">
        <v>3.925909E7</v>
      </c>
      <c r="P234" s="19">
        <v>1.0</v>
      </c>
      <c r="Q234" s="39" t="s">
        <v>370</v>
      </c>
      <c r="R234" s="19">
        <v>500.0</v>
      </c>
      <c r="S234" s="19">
        <v>600.0</v>
      </c>
      <c r="V234" s="30" t="s">
        <v>894</v>
      </c>
    </row>
    <row r="235">
      <c r="A235" s="30" t="s">
        <v>363</v>
      </c>
      <c r="B235" s="43" t="s">
        <v>364</v>
      </c>
      <c r="C235" s="30" t="s">
        <v>365</v>
      </c>
      <c r="D235" s="30"/>
      <c r="E235" s="30"/>
      <c r="F235" s="30"/>
      <c r="G235" s="24" t="s">
        <v>895</v>
      </c>
      <c r="H235" s="3" t="s">
        <v>896</v>
      </c>
      <c r="I235" s="44">
        <f t="shared" si="1"/>
        <v>36</v>
      </c>
      <c r="J235" s="45" t="s">
        <v>368</v>
      </c>
      <c r="K235" s="30" t="s">
        <v>897</v>
      </c>
      <c r="L235" s="30" t="s">
        <v>897</v>
      </c>
      <c r="M235" s="19">
        <v>20.0</v>
      </c>
      <c r="N235" s="19">
        <v>20.0</v>
      </c>
      <c r="O235" s="19">
        <v>3.9259E7</v>
      </c>
      <c r="P235" s="19">
        <v>1.0</v>
      </c>
      <c r="Q235" s="39" t="s">
        <v>370</v>
      </c>
      <c r="R235" s="19">
        <v>2900.0</v>
      </c>
      <c r="S235" s="19">
        <v>7500.0</v>
      </c>
      <c r="V235" s="3" t="s">
        <v>896</v>
      </c>
    </row>
    <row r="236">
      <c r="A236" s="30" t="s">
        <v>363</v>
      </c>
      <c r="B236" s="43" t="s">
        <v>364</v>
      </c>
      <c r="C236" s="30" t="s">
        <v>365</v>
      </c>
      <c r="D236" s="30"/>
      <c r="E236" s="30"/>
      <c r="F236" s="30"/>
      <c r="G236" s="24" t="s">
        <v>898</v>
      </c>
      <c r="H236" s="3" t="s">
        <v>899</v>
      </c>
      <c r="I236" s="44">
        <f t="shared" si="1"/>
        <v>35</v>
      </c>
      <c r="J236" s="45" t="s">
        <v>368</v>
      </c>
      <c r="K236" s="30" t="s">
        <v>897</v>
      </c>
      <c r="L236" s="30" t="s">
        <v>897</v>
      </c>
      <c r="M236" s="19">
        <v>20.0</v>
      </c>
      <c r="N236" s="19">
        <v>20.0</v>
      </c>
      <c r="O236" s="19">
        <v>3.9259E7</v>
      </c>
      <c r="P236" s="19">
        <v>1.0</v>
      </c>
      <c r="Q236" s="39" t="s">
        <v>370</v>
      </c>
      <c r="R236" s="19">
        <v>2900.0</v>
      </c>
      <c r="S236" s="19">
        <v>7500.0</v>
      </c>
      <c r="V236" s="3" t="s">
        <v>899</v>
      </c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21</v>
      </c>
      <c r="C2" s="2" t="s">
        <v>21</v>
      </c>
      <c r="D2" s="1" t="s">
        <v>22</v>
      </c>
      <c r="E2" s="1" t="s">
        <v>23</v>
      </c>
    </row>
    <row r="3">
      <c r="A3" s="1">
        <v>2.0</v>
      </c>
      <c r="B3" s="2" t="s">
        <v>24</v>
      </c>
      <c r="C3" s="2" t="s">
        <v>24</v>
      </c>
      <c r="D3" s="1" t="s">
        <v>22</v>
      </c>
      <c r="E3" s="1" t="s">
        <v>23</v>
      </c>
    </row>
    <row r="4">
      <c r="A4" s="1">
        <v>3.0</v>
      </c>
      <c r="B4" s="2" t="s">
        <v>25</v>
      </c>
      <c r="C4" s="2" t="s">
        <v>25</v>
      </c>
      <c r="D4" s="1" t="s">
        <v>22</v>
      </c>
      <c r="E4" s="1" t="s">
        <v>23</v>
      </c>
    </row>
    <row r="5">
      <c r="A5" s="1">
        <v>4.0</v>
      </c>
      <c r="B5" s="30" t="s">
        <v>26</v>
      </c>
      <c r="C5" s="2" t="s">
        <v>26</v>
      </c>
      <c r="D5" s="1" t="s">
        <v>22</v>
      </c>
      <c r="E5" s="1" t="s">
        <v>23</v>
      </c>
    </row>
    <row r="6">
      <c r="A6" s="1">
        <v>5.0</v>
      </c>
      <c r="B6" s="3" t="s">
        <v>27</v>
      </c>
      <c r="C6" s="2" t="s">
        <v>28</v>
      </c>
      <c r="D6" s="1" t="s">
        <v>23</v>
      </c>
      <c r="E6" s="1" t="s">
        <v>23</v>
      </c>
    </row>
    <row r="7">
      <c r="A7" s="1">
        <v>6.0</v>
      </c>
      <c r="B7" s="3" t="s">
        <v>32</v>
      </c>
      <c r="C7" s="2" t="s">
        <v>33</v>
      </c>
      <c r="D7" s="1" t="s">
        <v>23</v>
      </c>
      <c r="E7" s="1" t="s">
        <v>23</v>
      </c>
    </row>
    <row r="8">
      <c r="A8" s="1">
        <v>7.0</v>
      </c>
      <c r="B8" s="7" t="s">
        <v>36</v>
      </c>
      <c r="C8" s="2" t="s">
        <v>37</v>
      </c>
      <c r="D8" s="1" t="s">
        <v>23</v>
      </c>
      <c r="E8" s="1" t="s">
        <v>23</v>
      </c>
    </row>
    <row r="9">
      <c r="A9" s="1">
        <v>8.0</v>
      </c>
      <c r="B9" s="1" t="s">
        <v>40</v>
      </c>
      <c r="C9" s="2" t="s">
        <v>41</v>
      </c>
      <c r="D9" s="1" t="s">
        <v>23</v>
      </c>
      <c r="E9" s="1" t="s">
        <v>23</v>
      </c>
    </row>
    <row r="10">
      <c r="A10" s="1">
        <v>9.0</v>
      </c>
      <c r="B10" s="2" t="s">
        <v>43</v>
      </c>
      <c r="C10" s="2" t="s">
        <v>43</v>
      </c>
      <c r="D10" s="1" t="s">
        <v>22</v>
      </c>
      <c r="E10" s="1" t="s">
        <v>23</v>
      </c>
    </row>
    <row r="11">
      <c r="A11" s="1">
        <v>10.0</v>
      </c>
      <c r="B11" s="48" t="s">
        <v>44</v>
      </c>
      <c r="C11" s="2" t="s">
        <v>44</v>
      </c>
      <c r="D11" s="1" t="s">
        <v>22</v>
      </c>
      <c r="E11" s="1" t="s">
        <v>23</v>
      </c>
    </row>
    <row r="12">
      <c r="A12" s="1">
        <v>11.0</v>
      </c>
      <c r="B12" s="3" t="s">
        <v>45</v>
      </c>
      <c r="C12" s="2" t="s">
        <v>46</v>
      </c>
      <c r="D12" s="1" t="s">
        <v>23</v>
      </c>
      <c r="E12" s="1" t="s">
        <v>23</v>
      </c>
    </row>
    <row r="13">
      <c r="A13" s="1">
        <v>12.0</v>
      </c>
      <c r="B13" s="1" t="s">
        <v>49</v>
      </c>
      <c r="C13" s="2" t="s">
        <v>50</v>
      </c>
      <c r="D13" s="1" t="s">
        <v>23</v>
      </c>
      <c r="E13" s="1" t="s">
        <v>23</v>
      </c>
    </row>
    <row r="14">
      <c r="A14" s="1">
        <v>13.0</v>
      </c>
      <c r="B14" s="2" t="s">
        <v>51</v>
      </c>
      <c r="C14" s="2" t="s">
        <v>51</v>
      </c>
      <c r="D14" s="1" t="s">
        <v>22</v>
      </c>
      <c r="E14" s="1" t="s">
        <v>23</v>
      </c>
    </row>
    <row r="15">
      <c r="A15" s="1">
        <v>14.0</v>
      </c>
      <c r="B15" s="30" t="s">
        <v>52</v>
      </c>
      <c r="C15" s="2" t="s">
        <v>52</v>
      </c>
      <c r="D15" s="1" t="s">
        <v>22</v>
      </c>
      <c r="E15" s="1" t="s">
        <v>23</v>
      </c>
    </row>
    <row r="16">
      <c r="A16" s="1">
        <v>15.0</v>
      </c>
      <c r="B16" s="3" t="s">
        <v>53</v>
      </c>
      <c r="C16" s="2" t="s">
        <v>54</v>
      </c>
      <c r="D16" s="1" t="s">
        <v>23</v>
      </c>
      <c r="E16" s="1" t="s">
        <v>23</v>
      </c>
    </row>
    <row r="17">
      <c r="A17" s="1">
        <v>16.0</v>
      </c>
      <c r="B17" s="1" t="s">
        <v>57</v>
      </c>
      <c r="C17" s="2" t="s">
        <v>58</v>
      </c>
      <c r="D17" s="1" t="s">
        <v>23</v>
      </c>
      <c r="E17" s="1" t="s">
        <v>23</v>
      </c>
    </row>
    <row r="18">
      <c r="A18" s="1">
        <v>17.0</v>
      </c>
      <c r="B18" s="1" t="s">
        <v>59</v>
      </c>
      <c r="C18" s="2" t="s">
        <v>60</v>
      </c>
      <c r="D18" s="1" t="s">
        <v>23</v>
      </c>
      <c r="E18" s="1" t="s">
        <v>23</v>
      </c>
    </row>
    <row r="19">
      <c r="A19" s="1">
        <v>18.0</v>
      </c>
      <c r="B19" s="30" t="s">
        <v>62</v>
      </c>
      <c r="C19" s="2" t="s">
        <v>62</v>
      </c>
      <c r="D19" s="1" t="s">
        <v>22</v>
      </c>
      <c r="E19" s="1" t="s">
        <v>23</v>
      </c>
    </row>
    <row r="20">
      <c r="A20" s="1">
        <v>19.0</v>
      </c>
      <c r="B20" s="3" t="s">
        <v>63</v>
      </c>
      <c r="C20" s="2" t="s">
        <v>64</v>
      </c>
      <c r="D20" s="1" t="s">
        <v>23</v>
      </c>
      <c r="E20" s="1" t="s">
        <v>23</v>
      </c>
    </row>
    <row r="21">
      <c r="A21" s="1">
        <v>20.0</v>
      </c>
      <c r="B21" s="1" t="s">
        <v>65</v>
      </c>
      <c r="C21" s="2" t="s">
        <v>66</v>
      </c>
      <c r="D21" s="1" t="s">
        <v>23</v>
      </c>
      <c r="E21" s="1" t="s">
        <v>23</v>
      </c>
    </row>
    <row r="22">
      <c r="A22" s="1">
        <v>21.0</v>
      </c>
      <c r="B22" s="2" t="s">
        <v>67</v>
      </c>
      <c r="C22" s="2" t="s">
        <v>67</v>
      </c>
      <c r="D22" s="1" t="s">
        <v>22</v>
      </c>
      <c r="E22" s="1" t="s">
        <v>23</v>
      </c>
    </row>
    <row r="23">
      <c r="A23" s="1">
        <v>22.0</v>
      </c>
      <c r="B23" s="30" t="s">
        <v>68</v>
      </c>
      <c r="C23" s="2" t="s">
        <v>68</v>
      </c>
      <c r="D23" s="1" t="s">
        <v>22</v>
      </c>
      <c r="E23" s="1" t="s">
        <v>23</v>
      </c>
    </row>
    <row r="24">
      <c r="A24" s="1">
        <v>23.0</v>
      </c>
      <c r="B24" s="3" t="s">
        <v>69</v>
      </c>
      <c r="C24" s="2" t="s">
        <v>70</v>
      </c>
      <c r="D24" s="1" t="s">
        <v>23</v>
      </c>
      <c r="E24" s="1" t="s">
        <v>23</v>
      </c>
    </row>
    <row r="25">
      <c r="A25" s="1">
        <v>24.0</v>
      </c>
      <c r="B25" s="1" t="s">
        <v>71</v>
      </c>
      <c r="C25" s="2" t="s">
        <v>72</v>
      </c>
      <c r="D25" s="1" t="s">
        <v>23</v>
      </c>
      <c r="E25" s="1" t="s">
        <v>23</v>
      </c>
    </row>
    <row r="26">
      <c r="A26" s="1">
        <v>25.0</v>
      </c>
      <c r="B26" s="2" t="s">
        <v>73</v>
      </c>
      <c r="C26" s="2" t="s">
        <v>73</v>
      </c>
      <c r="D26" s="1" t="s">
        <v>22</v>
      </c>
      <c r="E26" s="1" t="s">
        <v>23</v>
      </c>
    </row>
    <row r="27">
      <c r="A27" s="1">
        <v>26.0</v>
      </c>
      <c r="B27" s="2" t="s">
        <v>74</v>
      </c>
      <c r="C27" s="2" t="s">
        <v>74</v>
      </c>
      <c r="D27" s="1" t="s">
        <v>22</v>
      </c>
      <c r="E27" s="1" t="s">
        <v>23</v>
      </c>
    </row>
    <row r="28">
      <c r="A28" s="1">
        <v>27.0</v>
      </c>
      <c r="B28" s="2" t="s">
        <v>75</v>
      </c>
      <c r="C28" s="2" t="s">
        <v>75</v>
      </c>
      <c r="D28" s="1" t="s">
        <v>22</v>
      </c>
      <c r="E28" s="1" t="s">
        <v>23</v>
      </c>
    </row>
    <row r="29">
      <c r="A29" s="1">
        <v>28.0</v>
      </c>
      <c r="B29" s="2" t="s">
        <v>76</v>
      </c>
      <c r="C29" s="2" t="s">
        <v>76</v>
      </c>
      <c r="D29" s="1" t="s">
        <v>22</v>
      </c>
      <c r="E29" s="1" t="s">
        <v>23</v>
      </c>
    </row>
    <row r="30">
      <c r="A30" s="1">
        <v>29.0</v>
      </c>
      <c r="B30" s="2" t="s">
        <v>77</v>
      </c>
      <c r="C30" s="2" t="s">
        <v>77</v>
      </c>
      <c r="D30" s="1" t="s">
        <v>22</v>
      </c>
      <c r="E30" s="1" t="s">
        <v>23</v>
      </c>
    </row>
    <row r="31">
      <c r="A31" s="1">
        <v>30.0</v>
      </c>
      <c r="B31" s="2" t="s">
        <v>78</v>
      </c>
      <c r="C31" s="2" t="s">
        <v>78</v>
      </c>
      <c r="D31" s="1" t="s">
        <v>22</v>
      </c>
      <c r="E31" s="1" t="s">
        <v>23</v>
      </c>
    </row>
    <row r="32">
      <c r="A32" s="1">
        <v>31.0</v>
      </c>
      <c r="B32" s="2" t="s">
        <v>79</v>
      </c>
      <c r="C32" s="2" t="s">
        <v>79</v>
      </c>
      <c r="D32" s="1" t="s">
        <v>22</v>
      </c>
      <c r="E32" s="1" t="s">
        <v>23</v>
      </c>
    </row>
    <row r="33">
      <c r="A33" s="1">
        <v>32.0</v>
      </c>
      <c r="B33" s="2" t="s">
        <v>80</v>
      </c>
      <c r="C33" s="2" t="s">
        <v>80</v>
      </c>
      <c r="D33" s="1" t="s">
        <v>22</v>
      </c>
      <c r="E33" s="1" t="s">
        <v>23</v>
      </c>
    </row>
    <row r="34">
      <c r="A34" s="1">
        <v>33.0</v>
      </c>
      <c r="B34" s="2" t="s">
        <v>81</v>
      </c>
      <c r="C34" s="2" t="s">
        <v>81</v>
      </c>
      <c r="D34" s="1" t="s">
        <v>22</v>
      </c>
      <c r="E34" s="1" t="s">
        <v>23</v>
      </c>
    </row>
    <row r="35">
      <c r="A35" s="1">
        <v>34.0</v>
      </c>
      <c r="B35" s="2" t="s">
        <v>82</v>
      </c>
      <c r="C35" s="2" t="s">
        <v>82</v>
      </c>
      <c r="D35" s="1" t="s">
        <v>22</v>
      </c>
      <c r="E35" s="1" t="s">
        <v>23</v>
      </c>
    </row>
    <row r="36">
      <c r="A36" s="1">
        <v>35.0</v>
      </c>
      <c r="B36" s="2" t="s">
        <v>83</v>
      </c>
      <c r="C36" s="2" t="s">
        <v>83</v>
      </c>
      <c r="D36" s="1" t="s">
        <v>22</v>
      </c>
      <c r="E36" s="1" t="s">
        <v>23</v>
      </c>
    </row>
    <row r="37">
      <c r="A37" s="1">
        <v>36.0</v>
      </c>
      <c r="B37" s="2" t="s">
        <v>84</v>
      </c>
      <c r="C37" s="2" t="s">
        <v>84</v>
      </c>
      <c r="D37" s="1" t="s">
        <v>22</v>
      </c>
      <c r="E37" s="1" t="s">
        <v>23</v>
      </c>
    </row>
    <row r="38">
      <c r="A38" s="1">
        <v>37.0</v>
      </c>
      <c r="B38" s="2" t="s">
        <v>85</v>
      </c>
      <c r="C38" s="2" t="s">
        <v>85</v>
      </c>
      <c r="D38" s="1" t="s">
        <v>22</v>
      </c>
      <c r="E38" s="1" t="s">
        <v>23</v>
      </c>
    </row>
    <row r="39">
      <c r="A39" s="1">
        <v>38.0</v>
      </c>
      <c r="B39" s="2" t="s">
        <v>86</v>
      </c>
      <c r="C39" s="2" t="s">
        <v>86</v>
      </c>
      <c r="D39" s="1" t="s">
        <v>22</v>
      </c>
      <c r="E39" s="1" t="s">
        <v>23</v>
      </c>
    </row>
    <row r="40">
      <c r="A40" s="1">
        <v>39.0</v>
      </c>
      <c r="B40" s="2" t="s">
        <v>87</v>
      </c>
      <c r="C40" s="2" t="s">
        <v>87</v>
      </c>
      <c r="D40" s="1" t="s">
        <v>22</v>
      </c>
      <c r="E40" s="1" t="s">
        <v>23</v>
      </c>
    </row>
    <row r="41">
      <c r="A41" s="1">
        <v>40.0</v>
      </c>
      <c r="B41" s="2" t="s">
        <v>88</v>
      </c>
      <c r="C41" s="2" t="s">
        <v>88</v>
      </c>
      <c r="D41" s="1" t="s">
        <v>22</v>
      </c>
      <c r="E41" s="1" t="s">
        <v>23</v>
      </c>
    </row>
    <row r="42">
      <c r="A42" s="1">
        <v>41.0</v>
      </c>
      <c r="B42" s="2" t="s">
        <v>89</v>
      </c>
      <c r="C42" s="2" t="s">
        <v>89</v>
      </c>
      <c r="D42" s="1" t="s">
        <v>22</v>
      </c>
      <c r="E42" s="1" t="s">
        <v>23</v>
      </c>
    </row>
    <row r="43">
      <c r="A43" s="1">
        <v>42.0</v>
      </c>
      <c r="B43" s="2" t="s">
        <v>90</v>
      </c>
      <c r="C43" s="2" t="s">
        <v>90</v>
      </c>
      <c r="D43" s="1" t="s">
        <v>22</v>
      </c>
      <c r="E43" s="1" t="s">
        <v>23</v>
      </c>
    </row>
    <row r="44">
      <c r="A44" s="1">
        <v>43.0</v>
      </c>
      <c r="B44" s="2" t="s">
        <v>91</v>
      </c>
      <c r="C44" s="2" t="s">
        <v>91</v>
      </c>
      <c r="D44" s="1" t="s">
        <v>22</v>
      </c>
      <c r="E44" s="1" t="s">
        <v>23</v>
      </c>
    </row>
    <row r="45">
      <c r="A45" s="1">
        <v>44.0</v>
      </c>
      <c r="B45" s="2" t="s">
        <v>92</v>
      </c>
      <c r="C45" s="2" t="s">
        <v>92</v>
      </c>
      <c r="D45" s="1" t="s">
        <v>22</v>
      </c>
      <c r="E45" s="1" t="s">
        <v>23</v>
      </c>
    </row>
    <row r="46">
      <c r="A46" s="1">
        <v>45.0</v>
      </c>
      <c r="B46" s="2" t="s">
        <v>93</v>
      </c>
      <c r="C46" s="2" t="s">
        <v>93</v>
      </c>
      <c r="D46" s="1" t="s">
        <v>22</v>
      </c>
      <c r="E46" s="1" t="s">
        <v>23</v>
      </c>
    </row>
    <row r="47">
      <c r="A47" s="1">
        <v>46.0</v>
      </c>
      <c r="B47" s="2" t="s">
        <v>94</v>
      </c>
      <c r="C47" s="2" t="s">
        <v>94</v>
      </c>
      <c r="D47" s="1" t="s">
        <v>22</v>
      </c>
      <c r="E47" s="1" t="s">
        <v>23</v>
      </c>
    </row>
    <row r="48">
      <c r="A48" s="1">
        <v>47.0</v>
      </c>
      <c r="B48" s="2" t="s">
        <v>95</v>
      </c>
      <c r="C48" s="2" t="s">
        <v>95</v>
      </c>
      <c r="D48" s="1" t="s">
        <v>22</v>
      </c>
      <c r="E48" s="1" t="s">
        <v>23</v>
      </c>
    </row>
    <row r="49">
      <c r="A49" s="1">
        <v>48.0</v>
      </c>
      <c r="B49" s="2" t="s">
        <v>96</v>
      </c>
      <c r="C49" s="2" t="s">
        <v>96</v>
      </c>
      <c r="D49" s="1" t="s">
        <v>22</v>
      </c>
      <c r="E49" s="1" t="s">
        <v>23</v>
      </c>
    </row>
    <row r="50">
      <c r="A50" s="1">
        <v>49.0</v>
      </c>
      <c r="B50" s="2" t="s">
        <v>97</v>
      </c>
      <c r="C50" s="2" t="s">
        <v>97</v>
      </c>
      <c r="D50" s="1" t="s">
        <v>22</v>
      </c>
      <c r="E50" s="1" t="s">
        <v>23</v>
      </c>
    </row>
    <row r="51">
      <c r="A51" s="1">
        <v>50.0</v>
      </c>
      <c r="B51" s="2" t="s">
        <v>98</v>
      </c>
      <c r="C51" s="2" t="s">
        <v>98</v>
      </c>
      <c r="D51" s="1" t="s">
        <v>22</v>
      </c>
      <c r="E51" s="1" t="s">
        <v>23</v>
      </c>
    </row>
    <row r="52">
      <c r="A52" s="1">
        <v>51.0</v>
      </c>
      <c r="B52" s="2" t="s">
        <v>99</v>
      </c>
      <c r="C52" s="2" t="s">
        <v>99</v>
      </c>
      <c r="D52" s="1" t="s">
        <v>22</v>
      </c>
      <c r="E52" s="1" t="s">
        <v>23</v>
      </c>
    </row>
    <row r="53">
      <c r="A53" s="1">
        <v>52.0</v>
      </c>
      <c r="B53" s="2" t="s">
        <v>100</v>
      </c>
      <c r="C53" s="2" t="s">
        <v>100</v>
      </c>
      <c r="D53" s="1" t="s">
        <v>22</v>
      </c>
      <c r="E53" s="1" t="s">
        <v>23</v>
      </c>
    </row>
    <row r="54">
      <c r="A54" s="1">
        <v>53.0</v>
      </c>
      <c r="B54" s="2" t="s">
        <v>101</v>
      </c>
      <c r="C54" s="2" t="s">
        <v>101</v>
      </c>
      <c r="D54" s="1" t="s">
        <v>22</v>
      </c>
      <c r="E54" s="1" t="s">
        <v>23</v>
      </c>
    </row>
    <row r="55">
      <c r="A55" s="1">
        <v>54.0</v>
      </c>
      <c r="B55" s="2" t="s">
        <v>102</v>
      </c>
      <c r="C55" s="2" t="s">
        <v>102</v>
      </c>
      <c r="D55" s="1" t="s">
        <v>22</v>
      </c>
      <c r="E55" s="1" t="s">
        <v>23</v>
      </c>
    </row>
    <row r="56">
      <c r="A56" s="1">
        <v>55.0</v>
      </c>
      <c r="B56" s="48" t="s">
        <v>103</v>
      </c>
      <c r="C56" s="2" t="s">
        <v>103</v>
      </c>
      <c r="D56" s="1" t="s">
        <v>22</v>
      </c>
      <c r="E56" s="1" t="s">
        <v>23</v>
      </c>
    </row>
    <row r="57">
      <c r="A57" s="1">
        <v>56.0</v>
      </c>
      <c r="B57" s="3" t="s">
        <v>104</v>
      </c>
      <c r="C57" s="2" t="s">
        <v>105</v>
      </c>
      <c r="D57" s="1" t="s">
        <v>23</v>
      </c>
      <c r="E57" s="1" t="s">
        <v>23</v>
      </c>
    </row>
    <row r="58">
      <c r="A58" s="1">
        <v>57.0</v>
      </c>
      <c r="B58" s="8" t="s">
        <v>107</v>
      </c>
      <c r="C58" s="2" t="s">
        <v>108</v>
      </c>
      <c r="D58" s="1" t="s">
        <v>23</v>
      </c>
      <c r="E58" s="1" t="s">
        <v>23</v>
      </c>
    </row>
    <row r="59">
      <c r="A59" s="1">
        <v>58.0</v>
      </c>
      <c r="B59" s="3" t="s">
        <v>111</v>
      </c>
      <c r="C59" s="2" t="s">
        <v>112</v>
      </c>
      <c r="D59" s="1" t="s">
        <v>23</v>
      </c>
      <c r="E59" s="1" t="s">
        <v>23</v>
      </c>
    </row>
    <row r="60">
      <c r="A60" s="1">
        <v>59.0</v>
      </c>
      <c r="B60" s="1" t="s">
        <v>113</v>
      </c>
      <c r="C60" s="1" t="s">
        <v>114</v>
      </c>
      <c r="D60" s="1" t="s">
        <v>23</v>
      </c>
      <c r="E60" s="1" t="s">
        <v>23</v>
      </c>
    </row>
    <row r="61">
      <c r="A61" s="1">
        <v>60.0</v>
      </c>
      <c r="B61" s="30" t="s">
        <v>116</v>
      </c>
      <c r="C61" s="2" t="s">
        <v>116</v>
      </c>
      <c r="D61" s="1" t="s">
        <v>22</v>
      </c>
      <c r="E61" s="1" t="s">
        <v>23</v>
      </c>
    </row>
    <row r="62">
      <c r="A62" s="1">
        <v>61.0</v>
      </c>
      <c r="B62" s="3" t="s">
        <v>117</v>
      </c>
      <c r="C62" s="2" t="s">
        <v>118</v>
      </c>
      <c r="D62" s="1" t="s">
        <v>23</v>
      </c>
      <c r="E62" s="1" t="s">
        <v>23</v>
      </c>
    </row>
    <row r="63">
      <c r="A63" s="1">
        <v>62.0</v>
      </c>
      <c r="B63" s="1" t="s">
        <v>120</v>
      </c>
      <c r="C63" s="2" t="s">
        <v>121</v>
      </c>
      <c r="D63" s="1" t="s">
        <v>23</v>
      </c>
      <c r="E63" s="1" t="s">
        <v>23</v>
      </c>
    </row>
    <row r="64">
      <c r="A64" s="1">
        <v>63.0</v>
      </c>
      <c r="B64" s="2" t="s">
        <v>122</v>
      </c>
      <c r="C64" s="2" t="s">
        <v>122</v>
      </c>
      <c r="D64" s="1" t="s">
        <v>22</v>
      </c>
      <c r="E64" s="1" t="s">
        <v>23</v>
      </c>
    </row>
    <row r="65">
      <c r="A65" s="1">
        <v>64.0</v>
      </c>
      <c r="B65" s="30" t="s">
        <v>123</v>
      </c>
      <c r="C65" s="2" t="s">
        <v>123</v>
      </c>
      <c r="D65" s="1" t="s">
        <v>22</v>
      </c>
      <c r="E65" s="1" t="s">
        <v>23</v>
      </c>
    </row>
    <row r="66">
      <c r="A66" s="1">
        <v>65.0</v>
      </c>
      <c r="B66" s="3" t="s">
        <v>124</v>
      </c>
      <c r="C66" s="2" t="s">
        <v>125</v>
      </c>
      <c r="D66" s="1" t="s">
        <v>23</v>
      </c>
      <c r="E66" s="1" t="s">
        <v>23</v>
      </c>
    </row>
    <row r="67">
      <c r="A67" s="1">
        <v>66.0</v>
      </c>
      <c r="B67" s="1" t="s">
        <v>127</v>
      </c>
      <c r="C67" s="2" t="s">
        <v>128</v>
      </c>
      <c r="D67" s="1" t="s">
        <v>23</v>
      </c>
      <c r="E67" s="1" t="s">
        <v>23</v>
      </c>
    </row>
    <row r="68">
      <c r="A68" s="1">
        <v>67.0</v>
      </c>
      <c r="B68" s="2" t="s">
        <v>129</v>
      </c>
      <c r="C68" s="2" t="s">
        <v>129</v>
      </c>
      <c r="D68" s="1" t="s">
        <v>22</v>
      </c>
      <c r="E68" s="1" t="s">
        <v>23</v>
      </c>
    </row>
    <row r="69">
      <c r="A69" s="1">
        <v>68.0</v>
      </c>
      <c r="B69" s="2" t="s">
        <v>130</v>
      </c>
      <c r="C69" s="2" t="s">
        <v>130</v>
      </c>
      <c r="D69" s="1" t="s">
        <v>22</v>
      </c>
      <c r="E69" s="1" t="s">
        <v>23</v>
      </c>
    </row>
    <row r="70">
      <c r="A70" s="1">
        <v>69.0</v>
      </c>
      <c r="B70" s="2" t="s">
        <v>131</v>
      </c>
      <c r="C70" s="2" t="s">
        <v>131</v>
      </c>
      <c r="D70" s="1" t="s">
        <v>22</v>
      </c>
      <c r="E70" s="1" t="s">
        <v>23</v>
      </c>
    </row>
    <row r="71">
      <c r="A71" s="1">
        <v>70.0</v>
      </c>
      <c r="B71" s="2" t="s">
        <v>132</v>
      </c>
      <c r="C71" s="2" t="s">
        <v>132</v>
      </c>
      <c r="D71" s="1" t="s">
        <v>22</v>
      </c>
      <c r="E71" s="1" t="s">
        <v>23</v>
      </c>
    </row>
    <row r="72">
      <c r="A72" s="1">
        <v>71.0</v>
      </c>
      <c r="B72" s="2" t="s">
        <v>133</v>
      </c>
      <c r="C72" s="2" t="s">
        <v>133</v>
      </c>
      <c r="D72" s="1" t="s">
        <v>22</v>
      </c>
      <c r="E72" s="1" t="s">
        <v>23</v>
      </c>
    </row>
    <row r="73">
      <c r="A73" s="1">
        <v>72.0</v>
      </c>
      <c r="B73" s="2" t="s">
        <v>134</v>
      </c>
      <c r="C73" s="2" t="s">
        <v>134</v>
      </c>
      <c r="D73" s="1" t="s">
        <v>22</v>
      </c>
      <c r="E73" s="1" t="s">
        <v>23</v>
      </c>
    </row>
    <row r="74">
      <c r="A74" s="1">
        <v>73.0</v>
      </c>
      <c r="B74" s="2" t="s">
        <v>135</v>
      </c>
      <c r="C74" s="2" t="s">
        <v>135</v>
      </c>
      <c r="D74" s="1" t="s">
        <v>22</v>
      </c>
      <c r="E74" s="1" t="s">
        <v>23</v>
      </c>
    </row>
    <row r="75">
      <c r="A75" s="1">
        <v>74.0</v>
      </c>
      <c r="B75" s="2" t="s">
        <v>136</v>
      </c>
      <c r="C75" s="2" t="s">
        <v>136</v>
      </c>
      <c r="D75" s="1" t="s">
        <v>22</v>
      </c>
      <c r="E75" s="1" t="s">
        <v>23</v>
      </c>
    </row>
    <row r="76">
      <c r="A76" s="1">
        <v>75.0</v>
      </c>
      <c r="B76" s="1" t="s">
        <v>137</v>
      </c>
      <c r="C76" s="2" t="s">
        <v>138</v>
      </c>
      <c r="D76" s="1" t="s">
        <v>23</v>
      </c>
      <c r="E76" s="1" t="s">
        <v>23</v>
      </c>
    </row>
    <row r="77">
      <c r="A77" s="1">
        <v>76.0</v>
      </c>
      <c r="B77" s="1" t="s">
        <v>139</v>
      </c>
      <c r="C77" s="2" t="s">
        <v>140</v>
      </c>
      <c r="D77" s="1" t="s">
        <v>23</v>
      </c>
      <c r="E77" s="1" t="s">
        <v>23</v>
      </c>
    </row>
    <row r="78">
      <c r="A78" s="1">
        <v>77.0</v>
      </c>
      <c r="B78" s="1" t="s">
        <v>141</v>
      </c>
      <c r="C78" s="2" t="s">
        <v>142</v>
      </c>
      <c r="D78" s="1" t="s">
        <v>23</v>
      </c>
      <c r="E78" s="1" t="s">
        <v>23</v>
      </c>
    </row>
    <row r="79">
      <c r="A79" s="1">
        <v>78.0</v>
      </c>
      <c r="B79" s="2" t="s">
        <v>143</v>
      </c>
      <c r="C79" s="2" t="s">
        <v>143</v>
      </c>
      <c r="D79" s="1" t="s">
        <v>22</v>
      </c>
      <c r="E79" s="1" t="s">
        <v>23</v>
      </c>
    </row>
    <row r="80">
      <c r="A80" s="1">
        <v>79.0</v>
      </c>
      <c r="B80" s="1" t="s">
        <v>144</v>
      </c>
      <c r="C80" s="2" t="s">
        <v>145</v>
      </c>
      <c r="D80" s="1" t="s">
        <v>23</v>
      </c>
      <c r="E80" s="1" t="s">
        <v>23</v>
      </c>
    </row>
    <row r="81">
      <c r="A81" s="1">
        <v>80.0</v>
      </c>
      <c r="B81" s="2" t="s">
        <v>146</v>
      </c>
      <c r="C81" s="2" t="s">
        <v>146</v>
      </c>
      <c r="D81" s="1" t="s">
        <v>22</v>
      </c>
      <c r="E81" s="1" t="s">
        <v>23</v>
      </c>
    </row>
    <row r="82">
      <c r="A82" s="1">
        <v>81.0</v>
      </c>
      <c r="B82" s="2" t="s">
        <v>147</v>
      </c>
      <c r="C82" s="2" t="s">
        <v>147</v>
      </c>
      <c r="D82" s="1" t="s">
        <v>22</v>
      </c>
      <c r="E82" s="1" t="s">
        <v>23</v>
      </c>
    </row>
    <row r="83">
      <c r="A83" s="1">
        <v>82.0</v>
      </c>
      <c r="B83" s="2" t="s">
        <v>148</v>
      </c>
      <c r="C83" s="2" t="s">
        <v>148</v>
      </c>
      <c r="D83" s="1" t="s">
        <v>22</v>
      </c>
      <c r="E83" s="1" t="s">
        <v>23</v>
      </c>
    </row>
    <row r="84">
      <c r="A84" s="1">
        <v>83.0</v>
      </c>
      <c r="B84" s="1" t="s">
        <v>149</v>
      </c>
      <c r="C84" s="2" t="s">
        <v>150</v>
      </c>
      <c r="D84" s="1" t="s">
        <v>23</v>
      </c>
      <c r="E84" s="1" t="s">
        <v>23</v>
      </c>
    </row>
    <row r="85">
      <c r="A85" s="1">
        <v>84.0</v>
      </c>
      <c r="B85" s="2" t="s">
        <v>151</v>
      </c>
      <c r="C85" s="2" t="s">
        <v>151</v>
      </c>
      <c r="D85" s="1" t="s">
        <v>22</v>
      </c>
      <c r="E85" s="1" t="s">
        <v>23</v>
      </c>
    </row>
    <row r="86">
      <c r="A86" s="1">
        <v>85.0</v>
      </c>
      <c r="B86" s="2" t="s">
        <v>152</v>
      </c>
      <c r="C86" s="2" t="s">
        <v>152</v>
      </c>
      <c r="D86" s="1" t="s">
        <v>23</v>
      </c>
      <c r="E86" s="1" t="s">
        <v>23</v>
      </c>
    </row>
    <row r="87">
      <c r="A87" s="1">
        <v>86.0</v>
      </c>
      <c r="B87" s="2" t="s">
        <v>153</v>
      </c>
      <c r="C87" s="2" t="s">
        <v>153</v>
      </c>
      <c r="D87" s="1" t="s">
        <v>22</v>
      </c>
      <c r="E87" s="1" t="s">
        <v>23</v>
      </c>
    </row>
    <row r="88">
      <c r="A88" s="1">
        <v>87.0</v>
      </c>
      <c r="B88" s="1" t="s">
        <v>154</v>
      </c>
      <c r="C88" s="2" t="s">
        <v>155</v>
      </c>
      <c r="D88" s="1" t="s">
        <v>23</v>
      </c>
      <c r="E88" s="1" t="s">
        <v>23</v>
      </c>
    </row>
    <row r="89">
      <c r="A89" s="1">
        <v>88.0</v>
      </c>
      <c r="B89" s="2" t="s">
        <v>156</v>
      </c>
      <c r="C89" s="2" t="s">
        <v>156</v>
      </c>
      <c r="D89" s="1" t="s">
        <v>22</v>
      </c>
      <c r="E89" s="1" t="s">
        <v>23</v>
      </c>
    </row>
    <row r="90">
      <c r="A90" s="1">
        <v>89.0</v>
      </c>
      <c r="B90" s="2" t="s">
        <v>157</v>
      </c>
      <c r="C90" s="2" t="s">
        <v>157</v>
      </c>
      <c r="D90" s="1" t="s">
        <v>22</v>
      </c>
      <c r="E90" s="1" t="s">
        <v>23</v>
      </c>
    </row>
    <row r="91">
      <c r="A91" s="1">
        <v>90.0</v>
      </c>
      <c r="B91" s="1" t="s">
        <v>158</v>
      </c>
      <c r="C91" s="2" t="s">
        <v>159</v>
      </c>
      <c r="D91" s="1" t="s">
        <v>23</v>
      </c>
      <c r="E91" s="1" t="s">
        <v>23</v>
      </c>
    </row>
    <row r="92">
      <c r="A92" s="1">
        <v>91.0</v>
      </c>
      <c r="B92" s="2" t="s">
        <v>160</v>
      </c>
      <c r="C92" s="2" t="s">
        <v>160</v>
      </c>
      <c r="D92" s="1" t="s">
        <v>22</v>
      </c>
      <c r="E92" s="1" t="s">
        <v>23</v>
      </c>
    </row>
    <row r="93">
      <c r="A93" s="1">
        <v>92.0</v>
      </c>
      <c r="B93" s="30" t="s">
        <v>161</v>
      </c>
      <c r="C93" s="2" t="s">
        <v>161</v>
      </c>
      <c r="D93" s="1" t="s">
        <v>22</v>
      </c>
      <c r="E93" s="1" t="s">
        <v>23</v>
      </c>
    </row>
    <row r="94">
      <c r="A94" s="1">
        <v>93.0</v>
      </c>
      <c r="B94" s="3" t="s">
        <v>162</v>
      </c>
      <c r="C94" s="1" t="s">
        <v>163</v>
      </c>
      <c r="D94" s="1" t="s">
        <v>23</v>
      </c>
      <c r="E94" s="1" t="s">
        <v>23</v>
      </c>
    </row>
    <row r="95">
      <c r="A95" s="1">
        <v>94.0</v>
      </c>
      <c r="B95" s="1" t="s">
        <v>164</v>
      </c>
      <c r="C95" s="1" t="s">
        <v>165</v>
      </c>
      <c r="D95" s="1" t="s">
        <v>23</v>
      </c>
      <c r="E95" s="1" t="s">
        <v>23</v>
      </c>
    </row>
    <row r="96">
      <c r="A96" s="1">
        <v>95.0</v>
      </c>
      <c r="B96" s="3" t="s">
        <v>166</v>
      </c>
      <c r="C96" s="1" t="s">
        <v>167</v>
      </c>
      <c r="D96" s="1" t="s">
        <v>23</v>
      </c>
      <c r="E96" s="1" t="s">
        <v>23</v>
      </c>
    </row>
    <row r="97">
      <c r="A97" s="1">
        <v>96.0</v>
      </c>
      <c r="B97" s="1" t="s">
        <v>168</v>
      </c>
      <c r="C97" s="1" t="s">
        <v>169</v>
      </c>
      <c r="D97" s="1" t="s">
        <v>23</v>
      </c>
      <c r="E97" s="1" t="s">
        <v>23</v>
      </c>
    </row>
    <row r="98">
      <c r="A98" s="1">
        <v>97.0</v>
      </c>
      <c r="B98" s="3" t="s">
        <v>170</v>
      </c>
      <c r="C98" s="2" t="s">
        <v>171</v>
      </c>
      <c r="D98" s="1" t="s">
        <v>23</v>
      </c>
      <c r="E98" s="1" t="s">
        <v>23</v>
      </c>
    </row>
    <row r="99">
      <c r="A99" s="1">
        <v>98.0</v>
      </c>
      <c r="B99" s="3" t="s">
        <v>173</v>
      </c>
      <c r="C99" s="2" t="s">
        <v>174</v>
      </c>
      <c r="D99" s="1" t="s">
        <v>23</v>
      </c>
      <c r="E99" s="1" t="s">
        <v>23</v>
      </c>
    </row>
    <row r="100">
      <c r="A100" s="1">
        <v>99.0</v>
      </c>
      <c r="B100" s="30" t="s">
        <v>177</v>
      </c>
      <c r="C100" s="2" t="s">
        <v>177</v>
      </c>
      <c r="D100" s="1" t="s">
        <v>23</v>
      </c>
      <c r="E100" s="1" t="s">
        <v>23</v>
      </c>
    </row>
    <row r="101">
      <c r="A101" s="1">
        <v>100.0</v>
      </c>
      <c r="B101" s="1" t="s">
        <v>178</v>
      </c>
      <c r="C101" s="2" t="s">
        <v>179</v>
      </c>
      <c r="D101" s="1" t="s">
        <v>23</v>
      </c>
      <c r="E101" s="1" t="s">
        <v>23</v>
      </c>
    </row>
    <row r="102">
      <c r="A102" s="1">
        <v>101.0</v>
      </c>
      <c r="B102" s="2" t="s">
        <v>180</v>
      </c>
      <c r="C102" s="2" t="s">
        <v>180</v>
      </c>
      <c r="D102" s="1" t="s">
        <v>23</v>
      </c>
      <c r="E102" s="1" t="s">
        <v>23</v>
      </c>
    </row>
    <row r="103">
      <c r="A103" s="1">
        <v>102.0</v>
      </c>
      <c r="B103" s="1" t="s">
        <v>181</v>
      </c>
      <c r="C103" s="2" t="s">
        <v>182</v>
      </c>
      <c r="D103" s="1" t="s">
        <v>23</v>
      </c>
      <c r="E103" s="1" t="s">
        <v>23</v>
      </c>
    </row>
    <row r="104">
      <c r="A104" s="1">
        <v>103.0</v>
      </c>
      <c r="B104" s="1" t="s">
        <v>183</v>
      </c>
      <c r="C104" s="2" t="s">
        <v>184</v>
      </c>
      <c r="D104" s="1" t="s">
        <v>23</v>
      </c>
      <c r="E104" s="1" t="s">
        <v>23</v>
      </c>
    </row>
    <row r="105">
      <c r="A105" s="1">
        <v>104.0</v>
      </c>
      <c r="B105" s="1" t="s">
        <v>185</v>
      </c>
      <c r="C105" s="2" t="s">
        <v>186</v>
      </c>
      <c r="D105" s="1" t="s">
        <v>23</v>
      </c>
      <c r="E105" s="1" t="s">
        <v>23</v>
      </c>
    </row>
    <row r="106">
      <c r="A106" s="1">
        <v>105.0</v>
      </c>
      <c r="B106" s="2" t="s">
        <v>187</v>
      </c>
      <c r="C106" s="2" t="s">
        <v>187</v>
      </c>
      <c r="D106" s="1" t="s">
        <v>23</v>
      </c>
      <c r="E106" s="1" t="s">
        <v>23</v>
      </c>
    </row>
    <row r="107">
      <c r="A107" s="1">
        <v>106.0</v>
      </c>
      <c r="B107" s="2" t="s">
        <v>188</v>
      </c>
      <c r="C107" s="2" t="s">
        <v>188</v>
      </c>
      <c r="D107" s="1" t="s">
        <v>23</v>
      </c>
      <c r="E107" s="1" t="s">
        <v>23</v>
      </c>
    </row>
    <row r="108">
      <c r="A108" s="1">
        <v>107.0</v>
      </c>
      <c r="B108" s="2" t="s">
        <v>189</v>
      </c>
      <c r="C108" s="2" t="s">
        <v>189</v>
      </c>
      <c r="D108" s="1" t="s">
        <v>23</v>
      </c>
      <c r="E108" s="1" t="s">
        <v>23</v>
      </c>
    </row>
    <row r="109">
      <c r="A109" s="1">
        <v>108.0</v>
      </c>
      <c r="B109" s="2" t="s">
        <v>190</v>
      </c>
      <c r="C109" s="2" t="s">
        <v>190</v>
      </c>
      <c r="D109" s="1" t="s">
        <v>22</v>
      </c>
      <c r="E109" s="1" t="s">
        <v>23</v>
      </c>
    </row>
    <row r="110">
      <c r="A110" s="1">
        <v>109.0</v>
      </c>
      <c r="B110" s="2" t="s">
        <v>191</v>
      </c>
      <c r="C110" s="2" t="s">
        <v>191</v>
      </c>
      <c r="D110" s="1" t="s">
        <v>23</v>
      </c>
      <c r="E110" s="1" t="s">
        <v>23</v>
      </c>
    </row>
    <row r="111">
      <c r="A111" s="1">
        <v>110.0</v>
      </c>
      <c r="B111" s="2" t="s">
        <v>192</v>
      </c>
      <c r="C111" s="2" t="s">
        <v>192</v>
      </c>
      <c r="D111" s="1" t="s">
        <v>23</v>
      </c>
      <c r="E111" s="1" t="s">
        <v>23</v>
      </c>
    </row>
    <row r="112">
      <c r="A112" s="1">
        <v>111.0</v>
      </c>
      <c r="B112" s="2" t="s">
        <v>193</v>
      </c>
      <c r="C112" s="2" t="s">
        <v>193</v>
      </c>
      <c r="D112" s="1" t="s">
        <v>23</v>
      </c>
      <c r="E112" s="1" t="s">
        <v>23</v>
      </c>
    </row>
    <row r="113">
      <c r="A113" s="1">
        <v>112.0</v>
      </c>
      <c r="B113" s="2" t="s">
        <v>194</v>
      </c>
      <c r="C113" s="2" t="s">
        <v>194</v>
      </c>
      <c r="D113" s="1" t="s">
        <v>23</v>
      </c>
      <c r="E113" s="1" t="s">
        <v>23</v>
      </c>
    </row>
    <row r="114">
      <c r="A114" s="1">
        <v>113.0</v>
      </c>
      <c r="B114" s="2" t="s">
        <v>195</v>
      </c>
      <c r="C114" s="2" t="s">
        <v>195</v>
      </c>
      <c r="D114" s="1" t="s">
        <v>22</v>
      </c>
      <c r="E114" s="1" t="s">
        <v>23</v>
      </c>
    </row>
    <row r="115">
      <c r="A115" s="1">
        <v>114.0</v>
      </c>
      <c r="B115" s="2" t="s">
        <v>196</v>
      </c>
      <c r="C115" s="2" t="s">
        <v>196</v>
      </c>
      <c r="D115" s="1" t="s">
        <v>23</v>
      </c>
      <c r="E115" s="1" t="s">
        <v>23</v>
      </c>
    </row>
    <row r="116">
      <c r="A116" s="1">
        <v>115.0</v>
      </c>
      <c r="B116" s="2" t="s">
        <v>197</v>
      </c>
      <c r="C116" s="2" t="s">
        <v>197</v>
      </c>
      <c r="D116" s="1" t="s">
        <v>23</v>
      </c>
      <c r="E116" s="1" t="s">
        <v>23</v>
      </c>
    </row>
    <row r="117">
      <c r="A117" s="1">
        <v>116.0</v>
      </c>
      <c r="B117" s="2" t="s">
        <v>198</v>
      </c>
      <c r="C117" s="2" t="s">
        <v>198</v>
      </c>
      <c r="D117" s="1" t="s">
        <v>23</v>
      </c>
      <c r="E117" s="1" t="s">
        <v>23</v>
      </c>
    </row>
    <row r="118">
      <c r="A118" s="1">
        <v>117.0</v>
      </c>
      <c r="B118" s="1" t="s">
        <v>199</v>
      </c>
      <c r="C118" s="1" t="s">
        <v>200</v>
      </c>
      <c r="D118" s="1" t="s">
        <v>23</v>
      </c>
      <c r="E118" s="1" t="s">
        <v>23</v>
      </c>
    </row>
    <row r="119">
      <c r="A119" s="1">
        <v>118.0</v>
      </c>
      <c r="B119" s="1" t="s">
        <v>201</v>
      </c>
      <c r="C119" s="1" t="s">
        <v>202</v>
      </c>
      <c r="D119" s="1" t="s">
        <v>23</v>
      </c>
      <c r="E119" s="1" t="s">
        <v>23</v>
      </c>
    </row>
    <row r="120">
      <c r="A120" s="1">
        <v>119.0</v>
      </c>
      <c r="B120" s="1" t="s">
        <v>203</v>
      </c>
      <c r="C120" s="1" t="s">
        <v>204</v>
      </c>
      <c r="D120" s="1" t="s">
        <v>23</v>
      </c>
      <c r="E120" s="1" t="s">
        <v>23</v>
      </c>
    </row>
    <row r="121">
      <c r="A121" s="1">
        <v>120.0</v>
      </c>
      <c r="B121" s="1" t="s">
        <v>205</v>
      </c>
      <c r="C121" s="1" t="s">
        <v>206</v>
      </c>
      <c r="D121" s="1" t="s">
        <v>23</v>
      </c>
      <c r="E121" s="1" t="s">
        <v>23</v>
      </c>
    </row>
    <row r="122">
      <c r="A122" s="1">
        <v>121.0</v>
      </c>
      <c r="B122" s="1" t="s">
        <v>207</v>
      </c>
      <c r="C122" s="1" t="s">
        <v>208</v>
      </c>
      <c r="D122" s="1" t="s">
        <v>23</v>
      </c>
      <c r="E122" s="1" t="s">
        <v>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5.0"/>
    <col customWidth="1" min="3" max="4" width="17.0"/>
    <col customWidth="1" min="5" max="5" width="16.88"/>
    <col customWidth="1" min="6" max="6" width="8.13"/>
  </cols>
  <sheetData>
    <row r="1">
      <c r="A1" s="1" t="s">
        <v>209</v>
      </c>
      <c r="B1" s="1" t="s">
        <v>210</v>
      </c>
      <c r="C1" s="1" t="s">
        <v>211</v>
      </c>
      <c r="D1" s="12" t="s">
        <v>212</v>
      </c>
      <c r="E1" s="1" t="s">
        <v>213</v>
      </c>
      <c r="F1" s="1" t="s">
        <v>214</v>
      </c>
    </row>
    <row r="2">
      <c r="A2" s="1">
        <v>1.0</v>
      </c>
      <c r="B2" s="1" t="s">
        <v>419</v>
      </c>
      <c r="C2" s="1" t="s">
        <v>216</v>
      </c>
      <c r="D2" s="13" t="s">
        <v>217</v>
      </c>
      <c r="E2" s="13" t="s">
        <v>217</v>
      </c>
      <c r="F2" s="19">
        <v>2500.0</v>
      </c>
    </row>
    <row r="3">
      <c r="A3" s="1">
        <v>2.0</v>
      </c>
      <c r="B3" s="1" t="s">
        <v>427</v>
      </c>
      <c r="C3" s="1" t="s">
        <v>216</v>
      </c>
      <c r="D3" s="13" t="s">
        <v>218</v>
      </c>
      <c r="E3" s="13" t="s">
        <v>218</v>
      </c>
      <c r="F3" s="19">
        <v>1500.0</v>
      </c>
    </row>
    <row r="4">
      <c r="A4" s="1">
        <v>3.0</v>
      </c>
      <c r="B4" s="1" t="s">
        <v>657</v>
      </c>
      <c r="C4" s="1" t="s">
        <v>216</v>
      </c>
      <c r="D4" s="13" t="s">
        <v>219</v>
      </c>
      <c r="E4" s="13" t="s">
        <v>219</v>
      </c>
      <c r="F4" s="19">
        <v>1500.0</v>
      </c>
    </row>
    <row r="5">
      <c r="A5" s="1">
        <v>4.0</v>
      </c>
      <c r="B5" s="1" t="s">
        <v>590</v>
      </c>
      <c r="C5" s="1" t="s">
        <v>216</v>
      </c>
      <c r="D5" s="13" t="s">
        <v>220</v>
      </c>
      <c r="E5" s="13" t="s">
        <v>220</v>
      </c>
      <c r="F5" s="19">
        <v>2000.0</v>
      </c>
    </row>
    <row r="6">
      <c r="A6" s="1">
        <v>5.0</v>
      </c>
      <c r="B6" s="1" t="s">
        <v>770</v>
      </c>
      <c r="C6" s="1" t="s">
        <v>216</v>
      </c>
      <c r="D6" s="13" t="s">
        <v>221</v>
      </c>
      <c r="E6" s="13" t="s">
        <v>221</v>
      </c>
      <c r="F6" s="19">
        <v>1500.0</v>
      </c>
    </row>
    <row r="7">
      <c r="A7" s="1">
        <v>6.0</v>
      </c>
      <c r="B7" s="1" t="s">
        <v>774</v>
      </c>
      <c r="C7" s="1" t="s">
        <v>216</v>
      </c>
      <c r="D7" s="13" t="s">
        <v>222</v>
      </c>
      <c r="E7" s="13" t="s">
        <v>222</v>
      </c>
      <c r="F7" s="19">
        <v>500.0</v>
      </c>
    </row>
    <row r="8">
      <c r="A8" s="1">
        <v>7.0</v>
      </c>
      <c r="B8" s="1" t="s">
        <v>781</v>
      </c>
      <c r="C8" s="1" t="s">
        <v>216</v>
      </c>
      <c r="D8" s="13" t="s">
        <v>223</v>
      </c>
      <c r="E8" s="13" t="s">
        <v>223</v>
      </c>
      <c r="F8" s="19">
        <v>1500.0</v>
      </c>
    </row>
    <row r="9">
      <c r="A9" s="1">
        <v>8.0</v>
      </c>
      <c r="B9" s="1" t="s">
        <v>763</v>
      </c>
      <c r="C9" s="1" t="s">
        <v>216</v>
      </c>
      <c r="D9" s="13" t="s">
        <v>224</v>
      </c>
      <c r="E9" s="13" t="s">
        <v>224</v>
      </c>
      <c r="F9" s="19">
        <v>1000.0</v>
      </c>
    </row>
    <row r="10">
      <c r="A10" s="1">
        <v>9.0</v>
      </c>
      <c r="B10" s="1" t="s">
        <v>759</v>
      </c>
      <c r="C10" s="1" t="s">
        <v>216</v>
      </c>
      <c r="D10" s="13" t="s">
        <v>225</v>
      </c>
      <c r="E10" s="13" t="s">
        <v>225</v>
      </c>
      <c r="F10" s="19">
        <v>2500.0</v>
      </c>
    </row>
    <row r="11">
      <c r="A11" s="1">
        <v>10.0</v>
      </c>
      <c r="B11" s="1" t="s">
        <v>877</v>
      </c>
      <c r="C11" s="1" t="s">
        <v>216</v>
      </c>
      <c r="D11" s="13" t="s">
        <v>30</v>
      </c>
      <c r="E11" s="13" t="s">
        <v>30</v>
      </c>
      <c r="F11" s="19">
        <v>500.0</v>
      </c>
    </row>
    <row r="12">
      <c r="A12" s="1">
        <v>11.0</v>
      </c>
      <c r="B12" s="1" t="s">
        <v>484</v>
      </c>
      <c r="C12" s="1" t="s">
        <v>216</v>
      </c>
      <c r="D12" s="13" t="s">
        <v>226</v>
      </c>
      <c r="E12" s="13" t="s">
        <v>226</v>
      </c>
      <c r="F12" s="19">
        <v>2000.0</v>
      </c>
    </row>
    <row r="13">
      <c r="A13" s="1">
        <v>12.0</v>
      </c>
      <c r="B13" s="1" t="s">
        <v>867</v>
      </c>
      <c r="C13" s="1" t="s">
        <v>216</v>
      </c>
      <c r="D13" s="13" t="s">
        <v>34</v>
      </c>
      <c r="E13" s="13" t="s">
        <v>34</v>
      </c>
      <c r="F13" s="19">
        <v>500.0</v>
      </c>
    </row>
    <row r="14">
      <c r="A14" s="1">
        <v>13.0</v>
      </c>
      <c r="B14" s="1" t="s">
        <v>429</v>
      </c>
      <c r="C14" s="1" t="s">
        <v>216</v>
      </c>
      <c r="D14" s="13" t="s">
        <v>227</v>
      </c>
      <c r="E14" s="13" t="s">
        <v>227</v>
      </c>
      <c r="F14" s="19">
        <v>1500.0</v>
      </c>
    </row>
    <row r="15">
      <c r="A15" s="1">
        <v>14.0</v>
      </c>
      <c r="B15" s="1" t="s">
        <v>791</v>
      </c>
      <c r="C15" s="1" t="s">
        <v>216</v>
      </c>
      <c r="D15" s="13" t="s">
        <v>38</v>
      </c>
      <c r="E15" s="13" t="s">
        <v>38</v>
      </c>
      <c r="F15" s="19">
        <v>1000.0</v>
      </c>
    </row>
    <row r="16">
      <c r="A16" s="1">
        <v>15.0</v>
      </c>
      <c r="B16" s="1" t="s">
        <v>808</v>
      </c>
      <c r="C16" s="1" t="s">
        <v>216</v>
      </c>
      <c r="D16" s="13" t="s">
        <v>39</v>
      </c>
      <c r="E16" s="13" t="s">
        <v>39</v>
      </c>
      <c r="F16" s="19">
        <v>1000.0</v>
      </c>
    </row>
    <row r="17">
      <c r="A17" s="1">
        <v>16.0</v>
      </c>
      <c r="B17" s="1" t="s">
        <v>520</v>
      </c>
      <c r="C17" s="1" t="s">
        <v>216</v>
      </c>
      <c r="D17" s="13" t="s">
        <v>228</v>
      </c>
      <c r="E17" s="13" t="s">
        <v>228</v>
      </c>
      <c r="F17" s="19">
        <v>2000.0</v>
      </c>
    </row>
    <row r="18">
      <c r="A18" s="1">
        <v>17.0</v>
      </c>
      <c r="B18" s="1" t="s">
        <v>870</v>
      </c>
      <c r="C18" s="1" t="s">
        <v>216</v>
      </c>
      <c r="D18" s="13" t="s">
        <v>42</v>
      </c>
      <c r="E18" s="13" t="s">
        <v>42</v>
      </c>
      <c r="F18" s="19">
        <v>500.0</v>
      </c>
    </row>
    <row r="19">
      <c r="A19" s="1">
        <v>18.0</v>
      </c>
      <c r="B19" s="49" t="s">
        <v>665</v>
      </c>
      <c r="C19" s="1" t="s">
        <v>216</v>
      </c>
      <c r="D19" s="13" t="s">
        <v>229</v>
      </c>
      <c r="E19" s="13" t="s">
        <v>229</v>
      </c>
      <c r="F19" s="19">
        <v>1500.0</v>
      </c>
    </row>
    <row r="20">
      <c r="A20" s="1">
        <v>19.0</v>
      </c>
      <c r="B20" s="49" t="s">
        <v>439</v>
      </c>
      <c r="C20" s="1" t="s">
        <v>216</v>
      </c>
      <c r="D20" s="13" t="s">
        <v>230</v>
      </c>
      <c r="E20" s="13" t="s">
        <v>230</v>
      </c>
      <c r="F20" s="19">
        <v>2000.0</v>
      </c>
    </row>
    <row r="21">
      <c r="A21" s="1">
        <v>20.0</v>
      </c>
      <c r="B21" s="49" t="s">
        <v>869</v>
      </c>
      <c r="C21" s="1" t="s">
        <v>216</v>
      </c>
      <c r="D21" s="13" t="s">
        <v>47</v>
      </c>
      <c r="E21" s="13" t="s">
        <v>47</v>
      </c>
      <c r="F21" s="19">
        <v>500.0</v>
      </c>
    </row>
    <row r="22">
      <c r="A22" s="1">
        <v>21.0</v>
      </c>
      <c r="B22" s="49" t="s">
        <v>655</v>
      </c>
      <c r="C22" s="1" t="s">
        <v>216</v>
      </c>
      <c r="D22" s="13" t="s">
        <v>231</v>
      </c>
      <c r="E22" s="13" t="s">
        <v>231</v>
      </c>
      <c r="F22" s="19">
        <v>1500.0</v>
      </c>
    </row>
    <row r="23">
      <c r="A23" s="1">
        <v>22.0</v>
      </c>
      <c r="B23" s="49" t="s">
        <v>582</v>
      </c>
      <c r="C23" s="1" t="s">
        <v>216</v>
      </c>
      <c r="D23" s="13" t="s">
        <v>232</v>
      </c>
      <c r="E23" s="13" t="s">
        <v>232</v>
      </c>
      <c r="F23" s="19">
        <v>1500.0</v>
      </c>
    </row>
    <row r="24">
      <c r="A24" s="1">
        <v>23.0</v>
      </c>
      <c r="B24" s="49" t="s">
        <v>509</v>
      </c>
      <c r="C24" s="1" t="s">
        <v>216</v>
      </c>
      <c r="D24" s="13" t="s">
        <v>233</v>
      </c>
      <c r="E24" s="13" t="s">
        <v>233</v>
      </c>
      <c r="F24" s="2">
        <v>1500.0</v>
      </c>
    </row>
    <row r="25">
      <c r="A25" s="1">
        <v>24.0</v>
      </c>
      <c r="B25" s="49" t="s">
        <v>450</v>
      </c>
      <c r="C25" s="1" t="s">
        <v>216</v>
      </c>
      <c r="D25" s="13" t="s">
        <v>234</v>
      </c>
      <c r="E25" s="13" t="s">
        <v>234</v>
      </c>
      <c r="F25" s="2">
        <v>1500.0</v>
      </c>
    </row>
    <row r="26">
      <c r="A26" s="1">
        <v>25.0</v>
      </c>
      <c r="B26" s="49" t="s">
        <v>792</v>
      </c>
      <c r="C26" s="1" t="s">
        <v>216</v>
      </c>
      <c r="D26" s="13" t="s">
        <v>56</v>
      </c>
      <c r="E26" s="13" t="s">
        <v>56</v>
      </c>
      <c r="F26" s="2">
        <v>1000.0</v>
      </c>
    </row>
    <row r="27">
      <c r="A27" s="1">
        <v>26.0</v>
      </c>
      <c r="B27" s="49" t="s">
        <v>823</v>
      </c>
      <c r="C27" s="1" t="s">
        <v>216</v>
      </c>
      <c r="D27" s="13" t="s">
        <v>61</v>
      </c>
      <c r="E27" s="13" t="s">
        <v>61</v>
      </c>
      <c r="F27" s="2">
        <v>1000.0</v>
      </c>
    </row>
    <row r="28">
      <c r="A28" s="1">
        <v>27.0</v>
      </c>
      <c r="B28" s="49" t="s">
        <v>467</v>
      </c>
      <c r="C28" s="1" t="s">
        <v>216</v>
      </c>
      <c r="D28" s="13" t="s">
        <v>235</v>
      </c>
      <c r="E28" s="13" t="s">
        <v>235</v>
      </c>
      <c r="F28" s="19">
        <v>2500.0</v>
      </c>
    </row>
    <row r="29">
      <c r="A29" s="1">
        <v>28.0</v>
      </c>
      <c r="B29" s="49" t="s">
        <v>693</v>
      </c>
      <c r="C29" s="1" t="s">
        <v>216</v>
      </c>
      <c r="D29" s="13" t="s">
        <v>236</v>
      </c>
      <c r="E29" s="13" t="s">
        <v>236</v>
      </c>
      <c r="F29" s="19">
        <v>7500.0</v>
      </c>
    </row>
    <row r="30">
      <c r="A30" s="1">
        <v>29.0</v>
      </c>
      <c r="B30" s="49" t="s">
        <v>894</v>
      </c>
      <c r="C30" s="1" t="s">
        <v>216</v>
      </c>
      <c r="D30" s="13" t="s">
        <v>237</v>
      </c>
      <c r="E30" s="13" t="s">
        <v>237</v>
      </c>
      <c r="F30" s="2">
        <v>600.0</v>
      </c>
    </row>
    <row r="31">
      <c r="A31" s="1">
        <v>30.0</v>
      </c>
      <c r="B31" s="49" t="s">
        <v>742</v>
      </c>
      <c r="C31" s="1" t="s">
        <v>216</v>
      </c>
      <c r="D31" s="13" t="s">
        <v>238</v>
      </c>
      <c r="E31" s="13" t="s">
        <v>238</v>
      </c>
      <c r="F31" s="2">
        <v>7500.0</v>
      </c>
    </row>
    <row r="32">
      <c r="A32" s="1">
        <v>31.0</v>
      </c>
      <c r="B32" s="49" t="s">
        <v>722</v>
      </c>
      <c r="C32" s="1" t="s">
        <v>216</v>
      </c>
      <c r="D32" s="13" t="s">
        <v>239</v>
      </c>
      <c r="E32" s="13" t="s">
        <v>239</v>
      </c>
      <c r="F32" s="2">
        <v>7500.0</v>
      </c>
    </row>
    <row r="33">
      <c r="A33" s="1">
        <v>32.0</v>
      </c>
      <c r="B33" s="49" t="s">
        <v>713</v>
      </c>
      <c r="C33" s="1" t="s">
        <v>216</v>
      </c>
      <c r="D33" s="13" t="s">
        <v>240</v>
      </c>
      <c r="E33" s="13" t="s">
        <v>240</v>
      </c>
      <c r="F33" s="2">
        <v>7500.0</v>
      </c>
    </row>
    <row r="34">
      <c r="A34" s="1">
        <v>33.0</v>
      </c>
      <c r="B34" s="49" t="s">
        <v>745</v>
      </c>
      <c r="C34" s="1" t="s">
        <v>216</v>
      </c>
      <c r="D34" s="13" t="s">
        <v>241</v>
      </c>
      <c r="E34" s="13" t="s">
        <v>241</v>
      </c>
      <c r="F34" s="2">
        <v>7500.0</v>
      </c>
    </row>
    <row r="35">
      <c r="A35" s="1">
        <v>34.0</v>
      </c>
      <c r="B35" s="1" t="s">
        <v>712</v>
      </c>
      <c r="C35" s="1" t="s">
        <v>216</v>
      </c>
      <c r="D35" s="13" t="s">
        <v>242</v>
      </c>
      <c r="E35" s="13" t="s">
        <v>242</v>
      </c>
      <c r="F35" s="19">
        <v>7500.0</v>
      </c>
    </row>
    <row r="36">
      <c r="A36" s="1">
        <v>35.0</v>
      </c>
      <c r="B36" s="1" t="s">
        <v>709</v>
      </c>
      <c r="C36" s="1" t="s">
        <v>216</v>
      </c>
      <c r="D36" s="13" t="s">
        <v>243</v>
      </c>
      <c r="E36" s="13" t="s">
        <v>243</v>
      </c>
      <c r="F36" s="19">
        <v>7500.0</v>
      </c>
    </row>
    <row r="37">
      <c r="A37" s="1">
        <v>36.0</v>
      </c>
      <c r="B37" s="1" t="s">
        <v>708</v>
      </c>
      <c r="C37" s="1" t="s">
        <v>216</v>
      </c>
      <c r="D37" s="13" t="s">
        <v>244</v>
      </c>
      <c r="E37" s="13" t="s">
        <v>244</v>
      </c>
      <c r="F37" s="19">
        <v>7500.0</v>
      </c>
    </row>
    <row r="38">
      <c r="A38" s="1">
        <v>37.0</v>
      </c>
      <c r="B38" s="1" t="s">
        <v>704</v>
      </c>
      <c r="C38" s="1" t="s">
        <v>216</v>
      </c>
      <c r="D38" s="13" t="s">
        <v>245</v>
      </c>
      <c r="E38" s="13" t="s">
        <v>245</v>
      </c>
      <c r="F38" s="19">
        <v>7500.0</v>
      </c>
    </row>
    <row r="39">
      <c r="A39" s="1">
        <v>38.0</v>
      </c>
      <c r="B39" s="49" t="s">
        <v>714</v>
      </c>
      <c r="C39" s="1" t="s">
        <v>216</v>
      </c>
      <c r="D39" s="13" t="s">
        <v>246</v>
      </c>
      <c r="E39" s="13" t="s">
        <v>246</v>
      </c>
      <c r="F39" s="19">
        <v>2500.0</v>
      </c>
    </row>
    <row r="40">
      <c r="A40" s="1">
        <v>39.0</v>
      </c>
      <c r="B40" s="49" t="s">
        <v>711</v>
      </c>
      <c r="C40" s="1" t="s">
        <v>216</v>
      </c>
      <c r="D40" s="13" t="s">
        <v>247</v>
      </c>
      <c r="E40" s="13" t="s">
        <v>247</v>
      </c>
      <c r="F40" s="19">
        <v>2500.0</v>
      </c>
    </row>
    <row r="41">
      <c r="A41" s="1">
        <v>40.0</v>
      </c>
      <c r="B41" s="49" t="s">
        <v>688</v>
      </c>
      <c r="C41" s="1" t="s">
        <v>216</v>
      </c>
      <c r="D41" s="13" t="s">
        <v>248</v>
      </c>
      <c r="E41" s="13" t="s">
        <v>248</v>
      </c>
      <c r="F41" s="19">
        <v>7500.0</v>
      </c>
    </row>
    <row r="42">
      <c r="A42" s="1">
        <v>41.0</v>
      </c>
      <c r="B42" s="1" t="s">
        <v>682</v>
      </c>
      <c r="C42" s="1" t="s">
        <v>216</v>
      </c>
      <c r="D42" s="13" t="s">
        <v>249</v>
      </c>
      <c r="E42" s="13" t="s">
        <v>249</v>
      </c>
      <c r="F42" s="19">
        <v>7500.0</v>
      </c>
    </row>
    <row r="43">
      <c r="A43" s="1">
        <v>42.0</v>
      </c>
      <c r="B43" s="1" t="s">
        <v>754</v>
      </c>
      <c r="C43" s="1" t="s">
        <v>216</v>
      </c>
      <c r="D43" s="13" t="s">
        <v>250</v>
      </c>
      <c r="E43" s="15" t="s">
        <v>250</v>
      </c>
      <c r="F43" s="19">
        <v>7500.0</v>
      </c>
    </row>
    <row r="44">
      <c r="A44" s="1">
        <v>43.0</v>
      </c>
      <c r="B44" s="1" t="s">
        <v>744</v>
      </c>
      <c r="C44" s="1" t="s">
        <v>216</v>
      </c>
      <c r="D44" s="13" t="s">
        <v>251</v>
      </c>
      <c r="E44" s="13" t="s">
        <v>251</v>
      </c>
      <c r="F44" s="19">
        <v>7500.0</v>
      </c>
    </row>
    <row r="45">
      <c r="A45" s="1">
        <v>44.0</v>
      </c>
      <c r="B45" s="49" t="s">
        <v>747</v>
      </c>
      <c r="C45" s="1" t="s">
        <v>216</v>
      </c>
      <c r="D45" s="13" t="s">
        <v>252</v>
      </c>
      <c r="E45" s="13" t="s">
        <v>252</v>
      </c>
      <c r="F45" s="19">
        <v>7500.0</v>
      </c>
    </row>
    <row r="46">
      <c r="A46" s="1">
        <v>45.0</v>
      </c>
      <c r="B46" s="49" t="s">
        <v>387</v>
      </c>
      <c r="C46" s="1" t="s">
        <v>216</v>
      </c>
      <c r="D46" s="13" t="s">
        <v>253</v>
      </c>
      <c r="E46" s="13" t="s">
        <v>253</v>
      </c>
      <c r="F46" s="19">
        <v>1500.0</v>
      </c>
    </row>
    <row r="47">
      <c r="A47" s="1">
        <v>46.0</v>
      </c>
      <c r="B47" s="1" t="s">
        <v>459</v>
      </c>
      <c r="C47" s="1" t="s">
        <v>216</v>
      </c>
      <c r="D47" s="13" t="s">
        <v>254</v>
      </c>
      <c r="E47" s="13" t="s">
        <v>254</v>
      </c>
      <c r="F47" s="19">
        <v>1500.0</v>
      </c>
    </row>
    <row r="48">
      <c r="A48" s="1">
        <v>47.0</v>
      </c>
      <c r="B48" s="1" t="s">
        <v>587</v>
      </c>
      <c r="C48" s="1" t="s">
        <v>216</v>
      </c>
      <c r="D48" s="13" t="s">
        <v>255</v>
      </c>
      <c r="E48" s="13" t="s">
        <v>255</v>
      </c>
      <c r="F48" s="19">
        <v>2500.0</v>
      </c>
    </row>
    <row r="49">
      <c r="A49" s="1">
        <v>48.0</v>
      </c>
      <c r="B49" s="1" t="s">
        <v>465</v>
      </c>
      <c r="C49" s="1" t="s">
        <v>216</v>
      </c>
      <c r="D49" s="13" t="s">
        <v>256</v>
      </c>
      <c r="E49" s="13" t="s">
        <v>256</v>
      </c>
      <c r="F49" s="19">
        <v>2500.0</v>
      </c>
    </row>
    <row r="50">
      <c r="A50" s="1">
        <v>49.0</v>
      </c>
      <c r="B50" s="1" t="s">
        <v>725</v>
      </c>
      <c r="C50" s="1" t="s">
        <v>216</v>
      </c>
      <c r="D50" s="13" t="s">
        <v>257</v>
      </c>
      <c r="E50" s="13" t="s">
        <v>257</v>
      </c>
      <c r="F50" s="19">
        <v>2500.0</v>
      </c>
    </row>
    <row r="51">
      <c r="A51" s="1">
        <v>50.0</v>
      </c>
      <c r="B51" s="1" t="s">
        <v>687</v>
      </c>
      <c r="C51" s="1" t="s">
        <v>216</v>
      </c>
      <c r="D51" s="13" t="s">
        <v>258</v>
      </c>
      <c r="E51" s="13" t="s">
        <v>258</v>
      </c>
      <c r="F51" s="19">
        <v>2500.0</v>
      </c>
    </row>
    <row r="52">
      <c r="A52" s="1">
        <v>51.0</v>
      </c>
      <c r="B52" s="1" t="s">
        <v>746</v>
      </c>
      <c r="C52" s="1" t="s">
        <v>216</v>
      </c>
      <c r="D52" s="13" t="s">
        <v>259</v>
      </c>
      <c r="E52" s="13" t="s">
        <v>259</v>
      </c>
      <c r="F52" s="2">
        <v>2500.0</v>
      </c>
    </row>
    <row r="53">
      <c r="A53" s="1">
        <v>52.0</v>
      </c>
      <c r="B53" s="1" t="s">
        <v>732</v>
      </c>
      <c r="C53" s="1" t="s">
        <v>216</v>
      </c>
      <c r="D53" s="13" t="s">
        <v>260</v>
      </c>
      <c r="E53" s="13" t="s">
        <v>260</v>
      </c>
      <c r="F53" s="2">
        <v>7500.0</v>
      </c>
    </row>
    <row r="54">
      <c r="A54" s="1">
        <v>53.0</v>
      </c>
      <c r="B54" s="1" t="s">
        <v>878</v>
      </c>
      <c r="C54" s="1" t="s">
        <v>216</v>
      </c>
      <c r="D54" s="13" t="s">
        <v>261</v>
      </c>
      <c r="E54" s="13" t="s">
        <v>261</v>
      </c>
      <c r="F54" s="2">
        <v>500.0</v>
      </c>
    </row>
    <row r="55">
      <c r="A55" s="1">
        <v>54.0</v>
      </c>
      <c r="B55" s="1" t="s">
        <v>831</v>
      </c>
      <c r="C55" s="1" t="s">
        <v>216</v>
      </c>
      <c r="D55" s="13" t="s">
        <v>262</v>
      </c>
      <c r="E55" s="13" t="s">
        <v>262</v>
      </c>
      <c r="F55" s="2">
        <v>1000.0</v>
      </c>
    </row>
    <row r="56">
      <c r="A56" s="1">
        <v>55.0</v>
      </c>
      <c r="B56" s="1" t="s">
        <v>863</v>
      </c>
      <c r="C56" s="1" t="s">
        <v>216</v>
      </c>
      <c r="D56" s="13" t="s">
        <v>263</v>
      </c>
      <c r="E56" s="13" t="s">
        <v>263</v>
      </c>
      <c r="F56" s="2">
        <v>500.0</v>
      </c>
    </row>
    <row r="57">
      <c r="A57" s="1">
        <v>56.0</v>
      </c>
      <c r="B57" s="1" t="s">
        <v>893</v>
      </c>
      <c r="C57" s="1" t="s">
        <v>216</v>
      </c>
      <c r="D57" s="13" t="s">
        <v>264</v>
      </c>
      <c r="E57" s="13" t="s">
        <v>264</v>
      </c>
      <c r="F57" s="2">
        <v>600.0</v>
      </c>
    </row>
    <row r="58">
      <c r="A58" s="1">
        <v>57.0</v>
      </c>
      <c r="B58" s="1" t="s">
        <v>824</v>
      </c>
      <c r="C58" s="1" t="s">
        <v>216</v>
      </c>
      <c r="D58" s="13" t="s">
        <v>126</v>
      </c>
      <c r="E58" s="13" t="s">
        <v>126</v>
      </c>
      <c r="F58" s="2">
        <v>1000.0</v>
      </c>
    </row>
    <row r="59">
      <c r="A59" s="1">
        <v>58.0</v>
      </c>
      <c r="B59" s="1" t="s">
        <v>858</v>
      </c>
      <c r="C59" s="1" t="s">
        <v>216</v>
      </c>
      <c r="D59" s="13" t="s">
        <v>172</v>
      </c>
      <c r="E59" s="13" t="s">
        <v>172</v>
      </c>
      <c r="F59" s="2">
        <v>500.0</v>
      </c>
    </row>
    <row r="60">
      <c r="A60" s="1">
        <v>59.0</v>
      </c>
      <c r="B60" s="1" t="s">
        <v>825</v>
      </c>
      <c r="C60" s="1" t="s">
        <v>216</v>
      </c>
      <c r="D60" s="13" t="s">
        <v>176</v>
      </c>
      <c r="E60" s="13" t="s">
        <v>176</v>
      </c>
      <c r="F60" s="2">
        <v>1000.0</v>
      </c>
    </row>
    <row r="61">
      <c r="A61" s="1">
        <v>60.0</v>
      </c>
      <c r="B61" s="1" t="s">
        <v>457</v>
      </c>
      <c r="C61" s="1" t="s">
        <v>216</v>
      </c>
      <c r="D61" s="13" t="s">
        <v>265</v>
      </c>
      <c r="E61" s="13" t="s">
        <v>265</v>
      </c>
      <c r="F61" s="2">
        <v>1500.0</v>
      </c>
    </row>
    <row r="62">
      <c r="A62" s="1">
        <v>61.0</v>
      </c>
      <c r="B62" s="1" t="s">
        <v>817</v>
      </c>
      <c r="C62" s="1" t="s">
        <v>216</v>
      </c>
      <c r="D62" s="13" t="s">
        <v>266</v>
      </c>
      <c r="E62" s="13" t="s">
        <v>266</v>
      </c>
      <c r="F62" s="2">
        <v>1000.0</v>
      </c>
    </row>
    <row r="63">
      <c r="A63" s="1">
        <v>62.0</v>
      </c>
      <c r="B63" s="1" t="s">
        <v>580</v>
      </c>
      <c r="C63" s="1" t="s">
        <v>216</v>
      </c>
      <c r="D63" s="13" t="s">
        <v>267</v>
      </c>
      <c r="E63" s="13" t="s">
        <v>267</v>
      </c>
      <c r="F63" s="2">
        <v>1500.0</v>
      </c>
    </row>
    <row r="64">
      <c r="A64" s="1">
        <v>63.0</v>
      </c>
      <c r="B64" s="1" t="s">
        <v>891</v>
      </c>
      <c r="C64" s="1" t="s">
        <v>216</v>
      </c>
      <c r="D64" s="13" t="s">
        <v>268</v>
      </c>
      <c r="E64" s="13" t="s">
        <v>268</v>
      </c>
      <c r="F64" s="2">
        <v>600.0</v>
      </c>
    </row>
    <row r="65">
      <c r="A65" s="1">
        <v>64.0</v>
      </c>
      <c r="B65" s="1" t="s">
        <v>873</v>
      </c>
      <c r="C65" s="1" t="s">
        <v>216</v>
      </c>
      <c r="D65" s="13" t="s">
        <v>269</v>
      </c>
      <c r="E65" s="13" t="s">
        <v>269</v>
      </c>
      <c r="F65" s="2">
        <v>500.0</v>
      </c>
    </row>
    <row r="66">
      <c r="A66" s="1">
        <v>65.0</v>
      </c>
      <c r="B66" s="1" t="s">
        <v>864</v>
      </c>
      <c r="C66" s="1" t="s">
        <v>216</v>
      </c>
      <c r="D66" s="13" t="s">
        <v>270</v>
      </c>
      <c r="E66" s="13" t="s">
        <v>270</v>
      </c>
      <c r="F66" s="2">
        <v>500.0</v>
      </c>
    </row>
    <row r="67">
      <c r="A67" s="1">
        <v>66.0</v>
      </c>
      <c r="B67" s="1" t="s">
        <v>389</v>
      </c>
      <c r="C67" s="1" t="s">
        <v>216</v>
      </c>
      <c r="D67" s="13" t="s">
        <v>271</v>
      </c>
      <c r="E67" s="13" t="s">
        <v>271</v>
      </c>
      <c r="F67" s="2">
        <v>1500.0</v>
      </c>
    </row>
    <row r="68">
      <c r="A68" s="1">
        <v>67.0</v>
      </c>
      <c r="B68" s="1" t="s">
        <v>535</v>
      </c>
      <c r="C68" s="1" t="s">
        <v>216</v>
      </c>
      <c r="D68" s="13" t="s">
        <v>272</v>
      </c>
      <c r="E68" s="13" t="s">
        <v>272</v>
      </c>
      <c r="F68" s="2">
        <v>1500.0</v>
      </c>
    </row>
    <row r="69">
      <c r="A69" s="1">
        <v>68.0</v>
      </c>
      <c r="B69" s="1" t="s">
        <v>879</v>
      </c>
      <c r="C69" s="1" t="s">
        <v>216</v>
      </c>
      <c r="D69" s="13" t="s">
        <v>119</v>
      </c>
      <c r="E69" s="13" t="s">
        <v>119</v>
      </c>
      <c r="F69" s="2">
        <v>500.0</v>
      </c>
    </row>
    <row r="70">
      <c r="A70" s="1">
        <v>69.0</v>
      </c>
      <c r="B70" s="1" t="s">
        <v>876</v>
      </c>
      <c r="C70" s="1" t="s">
        <v>216</v>
      </c>
      <c r="D70" s="13" t="s">
        <v>273</v>
      </c>
      <c r="E70" s="13" t="s">
        <v>273</v>
      </c>
      <c r="F70" s="2">
        <v>500.0</v>
      </c>
    </row>
    <row r="71">
      <c r="A71" s="1">
        <v>70.0</v>
      </c>
      <c r="B71" s="1" t="s">
        <v>452</v>
      </c>
      <c r="C71" s="1" t="s">
        <v>216</v>
      </c>
      <c r="D71" s="13" t="s">
        <v>274</v>
      </c>
      <c r="E71" s="13" t="s">
        <v>274</v>
      </c>
      <c r="F71" s="2">
        <v>1500.0</v>
      </c>
    </row>
    <row r="72">
      <c r="A72" s="1">
        <v>71.0</v>
      </c>
      <c r="B72" s="1" t="s">
        <v>482</v>
      </c>
      <c r="C72" s="1" t="s">
        <v>216</v>
      </c>
      <c r="D72" s="13" t="s">
        <v>275</v>
      </c>
      <c r="E72" s="13" t="s">
        <v>275</v>
      </c>
      <c r="F72" s="2">
        <v>1500.0</v>
      </c>
    </row>
    <row r="73">
      <c r="A73" s="1">
        <v>72.0</v>
      </c>
      <c r="B73" s="1" t="s">
        <v>707</v>
      </c>
      <c r="C73" s="1" t="s">
        <v>216</v>
      </c>
      <c r="D73" s="13" t="s">
        <v>276</v>
      </c>
      <c r="E73" s="13" t="s">
        <v>276</v>
      </c>
      <c r="F73" s="2">
        <v>2500.0</v>
      </c>
    </row>
    <row r="74">
      <c r="A74" s="1">
        <v>73.0</v>
      </c>
      <c r="B74" s="1" t="s">
        <v>743</v>
      </c>
      <c r="C74" s="1" t="s">
        <v>216</v>
      </c>
      <c r="D74" s="13" t="s">
        <v>277</v>
      </c>
      <c r="E74" s="13" t="s">
        <v>277</v>
      </c>
      <c r="F74" s="2">
        <v>2500.0</v>
      </c>
    </row>
    <row r="75">
      <c r="A75" s="1">
        <v>74.0</v>
      </c>
      <c r="B75" s="1" t="s">
        <v>719</v>
      </c>
      <c r="C75" s="1" t="s">
        <v>216</v>
      </c>
      <c r="D75" s="13" t="s">
        <v>278</v>
      </c>
      <c r="E75" s="13" t="s">
        <v>278</v>
      </c>
      <c r="F75" s="2">
        <v>2500.0</v>
      </c>
    </row>
    <row r="76">
      <c r="A76" s="1">
        <v>75.0</v>
      </c>
      <c r="B76" s="1" t="s">
        <v>710</v>
      </c>
      <c r="C76" s="1" t="s">
        <v>216</v>
      </c>
      <c r="D76" s="13" t="s">
        <v>279</v>
      </c>
      <c r="E76" s="13" t="s">
        <v>279</v>
      </c>
      <c r="F76" s="2">
        <v>2500.0</v>
      </c>
    </row>
    <row r="77">
      <c r="A77" s="1">
        <v>76.0</v>
      </c>
      <c r="B77" s="1" t="s">
        <v>394</v>
      </c>
      <c r="C77" s="1" t="s">
        <v>216</v>
      </c>
      <c r="D77" s="13" t="s">
        <v>280</v>
      </c>
      <c r="E77" s="13" t="s">
        <v>280</v>
      </c>
      <c r="F77" s="2">
        <v>2000.0</v>
      </c>
    </row>
    <row r="78">
      <c r="A78" s="1">
        <v>77.0</v>
      </c>
      <c r="B78" s="1" t="s">
        <v>809</v>
      </c>
      <c r="C78" s="1" t="s">
        <v>216</v>
      </c>
      <c r="D78" s="13" t="s">
        <v>106</v>
      </c>
      <c r="E78" s="13" t="s">
        <v>106</v>
      </c>
      <c r="F78" s="2">
        <v>1000.0</v>
      </c>
    </row>
    <row r="79">
      <c r="A79" s="1">
        <v>78.0</v>
      </c>
      <c r="B79" s="1" t="s">
        <v>544</v>
      </c>
      <c r="C79" s="1" t="s">
        <v>216</v>
      </c>
      <c r="D79" s="13" t="s">
        <v>281</v>
      </c>
      <c r="E79" s="13" t="s">
        <v>281</v>
      </c>
      <c r="F79" s="2">
        <v>1500.0</v>
      </c>
    </row>
    <row r="80">
      <c r="A80" s="1">
        <v>79.0</v>
      </c>
      <c r="B80" s="1" t="s">
        <v>804</v>
      </c>
      <c r="C80" s="1" t="s">
        <v>216</v>
      </c>
      <c r="D80" s="13" t="s">
        <v>110</v>
      </c>
      <c r="E80" s="13" t="s">
        <v>110</v>
      </c>
      <c r="F80" s="2">
        <v>1000.0</v>
      </c>
    </row>
    <row r="81">
      <c r="A81" s="1">
        <v>80.0</v>
      </c>
      <c r="B81" s="1" t="s">
        <v>616</v>
      </c>
      <c r="C81" s="1" t="s">
        <v>216</v>
      </c>
      <c r="D81" s="13" t="s">
        <v>282</v>
      </c>
      <c r="E81" s="13" t="s">
        <v>282</v>
      </c>
      <c r="F81" s="2">
        <v>2000.0</v>
      </c>
    </row>
    <row r="82">
      <c r="A82" s="1">
        <v>81.0</v>
      </c>
      <c r="B82" s="1" t="s">
        <v>787</v>
      </c>
      <c r="C82" s="1" t="s">
        <v>216</v>
      </c>
      <c r="D82" s="13" t="s">
        <v>115</v>
      </c>
      <c r="E82" s="13" t="s">
        <v>115</v>
      </c>
      <c r="F82" s="2">
        <v>1000.0</v>
      </c>
    </row>
    <row r="83">
      <c r="A83" s="1">
        <v>82.0</v>
      </c>
      <c r="B83" s="1" t="s">
        <v>653</v>
      </c>
      <c r="C83" s="1" t="s">
        <v>216</v>
      </c>
      <c r="D83" s="13" t="s">
        <v>283</v>
      </c>
      <c r="E83" s="13" t="s">
        <v>283</v>
      </c>
      <c r="F83" s="2">
        <v>1500.0</v>
      </c>
    </row>
    <row r="84">
      <c r="A84" s="1">
        <v>83.0</v>
      </c>
      <c r="B84" s="1" t="s">
        <v>841</v>
      </c>
      <c r="C84" s="1" t="s">
        <v>216</v>
      </c>
      <c r="D84" s="13" t="s">
        <v>284</v>
      </c>
      <c r="E84" s="13" t="s">
        <v>284</v>
      </c>
      <c r="F84" s="2">
        <v>1000.0</v>
      </c>
    </row>
    <row r="85">
      <c r="A85" s="1">
        <v>84.0</v>
      </c>
      <c r="B85" s="1" t="s">
        <v>840</v>
      </c>
      <c r="C85" s="1" t="s">
        <v>216</v>
      </c>
      <c r="D85" s="13" t="s">
        <v>285</v>
      </c>
      <c r="E85" s="13" t="s">
        <v>285</v>
      </c>
      <c r="F85" s="2">
        <v>1000.0</v>
      </c>
    </row>
    <row r="86">
      <c r="A86" s="1">
        <v>85.0</v>
      </c>
      <c r="B86" s="1" t="s">
        <v>621</v>
      </c>
      <c r="C86" s="1" t="s">
        <v>216</v>
      </c>
      <c r="D86" s="13" t="s">
        <v>286</v>
      </c>
      <c r="E86" s="13" t="s">
        <v>286</v>
      </c>
      <c r="F86" s="2">
        <v>1500.0</v>
      </c>
    </row>
    <row r="87">
      <c r="A87" s="1">
        <v>86.0</v>
      </c>
      <c r="B87" s="1" t="s">
        <v>434</v>
      </c>
      <c r="C87" s="1" t="s">
        <v>216</v>
      </c>
      <c r="D87" s="13" t="s">
        <v>287</v>
      </c>
      <c r="E87" s="13" t="s">
        <v>287</v>
      </c>
      <c r="F87" s="2">
        <v>1500.0</v>
      </c>
    </row>
    <row r="88">
      <c r="A88" s="1">
        <v>87.0</v>
      </c>
      <c r="B88" s="1" t="s">
        <v>818</v>
      </c>
      <c r="C88" s="1" t="s">
        <v>216</v>
      </c>
      <c r="D88" s="13" t="s">
        <v>288</v>
      </c>
      <c r="E88" s="13" t="s">
        <v>288</v>
      </c>
      <c r="F88" s="2">
        <v>1000.0</v>
      </c>
    </row>
    <row r="89">
      <c r="A89" s="1">
        <v>88.0</v>
      </c>
      <c r="B89" s="1" t="s">
        <v>803</v>
      </c>
      <c r="C89" s="1" t="s">
        <v>216</v>
      </c>
      <c r="D89" s="13" t="s">
        <v>289</v>
      </c>
      <c r="E89" s="13" t="s">
        <v>289</v>
      </c>
      <c r="F89" s="2">
        <v>1000.0</v>
      </c>
    </row>
    <row r="90">
      <c r="A90" s="1">
        <v>89.0</v>
      </c>
      <c r="B90" s="1" t="s">
        <v>486</v>
      </c>
      <c r="C90" s="1" t="s">
        <v>216</v>
      </c>
      <c r="D90" s="13" t="s">
        <v>290</v>
      </c>
      <c r="E90" s="13" t="s">
        <v>290</v>
      </c>
      <c r="F90" s="2">
        <v>1500.0</v>
      </c>
    </row>
    <row r="91">
      <c r="A91" s="1">
        <v>90.0</v>
      </c>
      <c r="B91" s="1" t="s">
        <v>812</v>
      </c>
      <c r="C91" s="1" t="s">
        <v>216</v>
      </c>
      <c r="D91" s="13" t="s">
        <v>291</v>
      </c>
      <c r="E91" s="13" t="s">
        <v>291</v>
      </c>
      <c r="F91" s="2">
        <v>1000.0</v>
      </c>
    </row>
    <row r="92">
      <c r="A92" s="1">
        <v>91.0</v>
      </c>
      <c r="B92" s="1" t="s">
        <v>741</v>
      </c>
      <c r="C92" s="1" t="s">
        <v>216</v>
      </c>
      <c r="D92" s="13" t="s">
        <v>292</v>
      </c>
      <c r="E92" s="13" t="s">
        <v>292</v>
      </c>
      <c r="F92" s="2">
        <v>2500.0</v>
      </c>
    </row>
    <row r="93">
      <c r="A93" s="1">
        <v>92.0</v>
      </c>
      <c r="B93" s="1" t="s">
        <v>832</v>
      </c>
      <c r="C93" s="1" t="s">
        <v>216</v>
      </c>
      <c r="D93" s="13" t="s">
        <v>293</v>
      </c>
      <c r="E93" s="13" t="s">
        <v>293</v>
      </c>
      <c r="F93" s="2">
        <v>1000.0</v>
      </c>
    </row>
    <row r="94">
      <c r="A94" s="1">
        <v>93.0</v>
      </c>
      <c r="B94" s="1" t="s">
        <v>785</v>
      </c>
      <c r="C94" s="1" t="s">
        <v>216</v>
      </c>
      <c r="D94" s="13" t="s">
        <v>294</v>
      </c>
      <c r="E94" s="13" t="s">
        <v>294</v>
      </c>
      <c r="F94" s="2">
        <v>500.0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5"/>
    <col customWidth="1" min="3" max="3" width="17.0"/>
    <col customWidth="1" min="4" max="4" width="14.75"/>
  </cols>
  <sheetData>
    <row r="1">
      <c r="A1" s="1" t="s">
        <v>209</v>
      </c>
      <c r="B1" s="1" t="s">
        <v>2</v>
      </c>
      <c r="C1" s="1" t="s">
        <v>212</v>
      </c>
      <c r="D1" s="16" t="s">
        <v>295</v>
      </c>
      <c r="E1" s="17" t="s">
        <v>296</v>
      </c>
      <c r="F1" s="1" t="s">
        <v>214</v>
      </c>
    </row>
    <row r="2">
      <c r="B2" s="2" t="s">
        <v>21</v>
      </c>
      <c r="C2" s="18" t="s">
        <v>217</v>
      </c>
      <c r="D2" s="19">
        <v>6167.0</v>
      </c>
      <c r="E2" s="17">
        <v>0.0</v>
      </c>
      <c r="F2" s="2">
        <v>2500.0</v>
      </c>
    </row>
    <row r="3">
      <c r="B3" s="2" t="s">
        <v>24</v>
      </c>
      <c r="C3" s="18" t="s">
        <v>218</v>
      </c>
      <c r="D3" s="19">
        <v>3221.0</v>
      </c>
      <c r="E3" s="17">
        <v>0.0</v>
      </c>
      <c r="F3" s="2">
        <v>1500.0</v>
      </c>
    </row>
    <row r="4">
      <c r="B4" s="2" t="s">
        <v>25</v>
      </c>
      <c r="C4" s="18" t="s">
        <v>219</v>
      </c>
      <c r="D4" s="19">
        <v>6277.0</v>
      </c>
      <c r="E4" s="17">
        <v>0.0</v>
      </c>
      <c r="F4" s="2">
        <v>1500.0</v>
      </c>
    </row>
    <row r="5">
      <c r="B5" s="2" t="s">
        <v>26</v>
      </c>
      <c r="C5" s="18" t="s">
        <v>220</v>
      </c>
      <c r="D5" s="19">
        <v>3399.0</v>
      </c>
      <c r="E5" s="17">
        <v>0.0</v>
      </c>
      <c r="F5" s="2">
        <v>2000.0</v>
      </c>
    </row>
    <row r="6">
      <c r="B6" s="2" t="s">
        <v>28</v>
      </c>
      <c r="C6" s="18" t="s">
        <v>217</v>
      </c>
      <c r="D6" s="19">
        <v>6167.0</v>
      </c>
      <c r="E6" s="17">
        <v>5.0</v>
      </c>
      <c r="F6" s="2">
        <v>2500.0</v>
      </c>
    </row>
    <row r="7">
      <c r="B7" s="2" t="s">
        <v>28</v>
      </c>
      <c r="C7" s="20" t="s">
        <v>221</v>
      </c>
      <c r="D7" s="16" t="s">
        <v>298</v>
      </c>
      <c r="E7" s="17">
        <v>1.0</v>
      </c>
      <c r="F7" s="2">
        <v>1500.0</v>
      </c>
    </row>
    <row r="8">
      <c r="B8" s="2" t="s">
        <v>28</v>
      </c>
      <c r="C8" s="18" t="s">
        <v>222</v>
      </c>
      <c r="D8" s="16" t="s">
        <v>299</v>
      </c>
      <c r="E8" s="17">
        <v>1.0</v>
      </c>
      <c r="F8" s="2">
        <v>500.0</v>
      </c>
    </row>
    <row r="9">
      <c r="B9" s="2" t="s">
        <v>28</v>
      </c>
      <c r="C9" s="20" t="s">
        <v>223</v>
      </c>
      <c r="D9" s="16" t="s">
        <v>300</v>
      </c>
      <c r="E9" s="17">
        <v>1.0</v>
      </c>
      <c r="F9" s="2">
        <v>1500.0</v>
      </c>
    </row>
    <row r="10">
      <c r="B10" s="2" t="s">
        <v>28</v>
      </c>
      <c r="C10" s="18" t="s">
        <v>224</v>
      </c>
      <c r="D10" s="22" t="s">
        <v>301</v>
      </c>
      <c r="E10" s="17">
        <v>2.0</v>
      </c>
      <c r="F10" s="2">
        <v>1000.0</v>
      </c>
    </row>
    <row r="11">
      <c r="B11" s="1" t="s">
        <v>28</v>
      </c>
      <c r="C11" s="15" t="s">
        <v>225</v>
      </c>
      <c r="D11" s="16" t="s">
        <v>302</v>
      </c>
      <c r="E11" s="17">
        <v>1.0</v>
      </c>
      <c r="F11" s="2">
        <v>2500.0</v>
      </c>
    </row>
    <row r="12">
      <c r="B12" s="2" t="s">
        <v>28</v>
      </c>
      <c r="C12" s="20" t="s">
        <v>30</v>
      </c>
      <c r="D12" s="16" t="s">
        <v>303</v>
      </c>
      <c r="E12" s="17">
        <v>2.0</v>
      </c>
      <c r="F12" s="2">
        <v>500.0</v>
      </c>
    </row>
    <row r="13">
      <c r="B13" s="2" t="s">
        <v>33</v>
      </c>
      <c r="C13" s="18" t="s">
        <v>226</v>
      </c>
      <c r="D13" s="25">
        <v>2746.0</v>
      </c>
      <c r="E13" s="17">
        <v>5.0</v>
      </c>
      <c r="F13" s="2">
        <v>2000.0</v>
      </c>
    </row>
    <row r="14">
      <c r="B14" s="2" t="s">
        <v>33</v>
      </c>
      <c r="C14" s="20" t="s">
        <v>221</v>
      </c>
      <c r="D14" s="22" t="s">
        <v>298</v>
      </c>
      <c r="E14" s="17">
        <v>1.0</v>
      </c>
      <c r="F14" s="2">
        <v>1500.0</v>
      </c>
    </row>
    <row r="15">
      <c r="B15" s="2" t="s">
        <v>33</v>
      </c>
      <c r="C15" s="18" t="s">
        <v>222</v>
      </c>
      <c r="D15" s="16" t="s">
        <v>299</v>
      </c>
      <c r="E15" s="17">
        <v>1.0</v>
      </c>
      <c r="F15" s="2">
        <v>500.0</v>
      </c>
    </row>
    <row r="16">
      <c r="B16" s="2" t="s">
        <v>33</v>
      </c>
      <c r="C16" s="20" t="s">
        <v>223</v>
      </c>
      <c r="D16" s="16" t="s">
        <v>300</v>
      </c>
      <c r="E16" s="17">
        <v>1.0</v>
      </c>
      <c r="F16" s="2">
        <v>1500.0</v>
      </c>
    </row>
    <row r="17">
      <c r="B17" s="2" t="s">
        <v>33</v>
      </c>
      <c r="C17" s="18" t="s">
        <v>224</v>
      </c>
      <c r="D17" s="16" t="s">
        <v>301</v>
      </c>
      <c r="E17" s="17">
        <v>2.0</v>
      </c>
      <c r="F17" s="2">
        <v>1000.0</v>
      </c>
    </row>
    <row r="18">
      <c r="B18" s="1" t="s">
        <v>33</v>
      </c>
      <c r="C18" s="15" t="s">
        <v>225</v>
      </c>
      <c r="D18" s="22" t="s">
        <v>302</v>
      </c>
      <c r="E18" s="17">
        <v>1.0</v>
      </c>
      <c r="F18" s="2">
        <v>2500.0</v>
      </c>
    </row>
    <row r="19">
      <c r="B19" s="2" t="s">
        <v>33</v>
      </c>
      <c r="C19" s="20" t="s">
        <v>34</v>
      </c>
      <c r="D19" s="16" t="s">
        <v>304</v>
      </c>
      <c r="E19" s="17">
        <v>2.0</v>
      </c>
      <c r="F19" s="2">
        <v>500.0</v>
      </c>
    </row>
    <row r="20">
      <c r="B20" s="2" t="s">
        <v>37</v>
      </c>
      <c r="C20" s="18" t="s">
        <v>227</v>
      </c>
      <c r="D20" s="25">
        <v>3223.0</v>
      </c>
      <c r="E20" s="17">
        <v>10.0</v>
      </c>
      <c r="F20" s="2">
        <v>1500.0</v>
      </c>
    </row>
    <row r="21">
      <c r="B21" s="2" t="s">
        <v>37</v>
      </c>
      <c r="C21" s="20" t="s">
        <v>221</v>
      </c>
      <c r="D21" s="16" t="s">
        <v>298</v>
      </c>
      <c r="E21" s="17">
        <v>1.0</v>
      </c>
      <c r="F21" s="2">
        <v>1500.0</v>
      </c>
    </row>
    <row r="22">
      <c r="B22" s="2" t="s">
        <v>37</v>
      </c>
      <c r="C22" s="18" t="s">
        <v>222</v>
      </c>
      <c r="D22" s="22" t="s">
        <v>299</v>
      </c>
      <c r="E22" s="17">
        <v>1.0</v>
      </c>
      <c r="F22" s="2">
        <v>500.0</v>
      </c>
    </row>
    <row r="23">
      <c r="B23" s="2" t="s">
        <v>37</v>
      </c>
      <c r="C23" s="20" t="s">
        <v>223</v>
      </c>
      <c r="D23" s="22" t="s">
        <v>300</v>
      </c>
      <c r="E23" s="17">
        <v>1.0</v>
      </c>
      <c r="F23" s="2">
        <v>1500.0</v>
      </c>
    </row>
    <row r="24">
      <c r="B24" s="2" t="s">
        <v>37</v>
      </c>
      <c r="C24" s="18" t="s">
        <v>224</v>
      </c>
      <c r="D24" s="22" t="s">
        <v>301</v>
      </c>
      <c r="E24" s="17">
        <v>2.0</v>
      </c>
      <c r="F24" s="2">
        <v>1000.0</v>
      </c>
    </row>
    <row r="25">
      <c r="B25" s="1" t="s">
        <v>37</v>
      </c>
      <c r="C25" s="15" t="s">
        <v>225</v>
      </c>
      <c r="D25" s="16" t="s">
        <v>302</v>
      </c>
      <c r="E25" s="17">
        <v>2.0</v>
      </c>
      <c r="F25" s="2">
        <v>2500.0</v>
      </c>
    </row>
    <row r="26">
      <c r="B26" s="2" t="s">
        <v>37</v>
      </c>
      <c r="C26" s="18" t="s">
        <v>38</v>
      </c>
      <c r="D26" s="16" t="s">
        <v>305</v>
      </c>
      <c r="E26" s="17">
        <v>2.0</v>
      </c>
      <c r="F26" s="2">
        <v>1000.0</v>
      </c>
    </row>
    <row r="27">
      <c r="B27" s="2" t="s">
        <v>37</v>
      </c>
      <c r="C27" s="20" t="s">
        <v>39</v>
      </c>
      <c r="D27" s="16" t="s">
        <v>11</v>
      </c>
      <c r="E27" s="17">
        <v>1.0</v>
      </c>
      <c r="F27" s="2">
        <v>1000.0</v>
      </c>
    </row>
    <row r="28">
      <c r="B28" s="2" t="s">
        <v>37</v>
      </c>
      <c r="C28" s="20" t="s">
        <v>34</v>
      </c>
      <c r="D28" s="22" t="s">
        <v>304</v>
      </c>
      <c r="E28" s="17">
        <v>2.0</v>
      </c>
      <c r="F28" s="2">
        <v>500.0</v>
      </c>
    </row>
    <row r="29">
      <c r="B29" s="2" t="s">
        <v>41</v>
      </c>
      <c r="C29" s="18" t="s">
        <v>228</v>
      </c>
      <c r="D29" s="25">
        <v>5656.0</v>
      </c>
      <c r="E29" s="17">
        <v>10.0</v>
      </c>
      <c r="F29" s="2">
        <v>2000.0</v>
      </c>
    </row>
    <row r="30">
      <c r="B30" s="2" t="s">
        <v>41</v>
      </c>
      <c r="C30" s="20" t="s">
        <v>221</v>
      </c>
      <c r="D30" s="16" t="s">
        <v>298</v>
      </c>
      <c r="E30" s="17">
        <v>1.0</v>
      </c>
      <c r="F30" s="2">
        <v>1500.0</v>
      </c>
    </row>
    <row r="31">
      <c r="B31" s="2" t="s">
        <v>41</v>
      </c>
      <c r="C31" s="18" t="s">
        <v>222</v>
      </c>
      <c r="D31" s="16" t="s">
        <v>299</v>
      </c>
      <c r="E31" s="17">
        <v>1.0</v>
      </c>
      <c r="F31" s="2">
        <v>500.0</v>
      </c>
    </row>
    <row r="32">
      <c r="B32" s="2" t="s">
        <v>41</v>
      </c>
      <c r="C32" s="20" t="s">
        <v>223</v>
      </c>
      <c r="D32" s="22" t="s">
        <v>300</v>
      </c>
      <c r="E32" s="17">
        <v>1.0</v>
      </c>
      <c r="F32" s="2">
        <v>1500.0</v>
      </c>
    </row>
    <row r="33">
      <c r="B33" s="2" t="s">
        <v>41</v>
      </c>
      <c r="C33" s="18" t="s">
        <v>224</v>
      </c>
      <c r="D33" s="22" t="s">
        <v>301</v>
      </c>
      <c r="E33" s="17">
        <v>2.0</v>
      </c>
      <c r="F33" s="2">
        <v>1000.0</v>
      </c>
    </row>
    <row r="34">
      <c r="B34" s="1" t="s">
        <v>41</v>
      </c>
      <c r="C34" s="15" t="s">
        <v>225</v>
      </c>
      <c r="D34" s="22" t="s">
        <v>302</v>
      </c>
      <c r="E34" s="17">
        <v>2.0</v>
      </c>
      <c r="F34" s="2">
        <v>2500.0</v>
      </c>
    </row>
    <row r="35">
      <c r="B35" s="2" t="s">
        <v>41</v>
      </c>
      <c r="C35" s="18" t="s">
        <v>38</v>
      </c>
      <c r="D35" s="16" t="s">
        <v>305</v>
      </c>
      <c r="E35" s="17">
        <v>2.0</v>
      </c>
      <c r="F35" s="2">
        <v>1000.0</v>
      </c>
    </row>
    <row r="36">
      <c r="B36" s="2" t="s">
        <v>41</v>
      </c>
      <c r="C36" s="20" t="s">
        <v>39</v>
      </c>
      <c r="D36" s="16" t="s">
        <v>11</v>
      </c>
      <c r="E36" s="17">
        <v>1.0</v>
      </c>
      <c r="F36" s="2">
        <v>1000.0</v>
      </c>
    </row>
    <row r="37">
      <c r="B37" s="2" t="s">
        <v>41</v>
      </c>
      <c r="C37" s="20" t="s">
        <v>42</v>
      </c>
      <c r="D37" s="16" t="s">
        <v>306</v>
      </c>
      <c r="E37" s="17">
        <v>2.0</v>
      </c>
      <c r="F37" s="2">
        <v>500.0</v>
      </c>
    </row>
    <row r="38">
      <c r="B38" s="2" t="s">
        <v>43</v>
      </c>
      <c r="C38" s="18" t="s">
        <v>229</v>
      </c>
      <c r="D38" s="19">
        <v>3889.0</v>
      </c>
      <c r="E38" s="17">
        <v>20.0</v>
      </c>
      <c r="F38" s="2">
        <v>1500.0</v>
      </c>
    </row>
    <row r="39">
      <c r="B39" s="2" t="s">
        <v>44</v>
      </c>
      <c r="C39" s="18" t="s">
        <v>218</v>
      </c>
      <c r="D39" s="25">
        <v>3221.0</v>
      </c>
      <c r="E39" s="17">
        <v>20.0</v>
      </c>
      <c r="F39" s="2">
        <v>1500.0</v>
      </c>
    </row>
    <row r="40">
      <c r="B40" s="2" t="s">
        <v>46</v>
      </c>
      <c r="C40" s="18" t="s">
        <v>230</v>
      </c>
      <c r="D40" s="25">
        <v>545.0</v>
      </c>
      <c r="E40" s="17">
        <v>20.0</v>
      </c>
      <c r="F40" s="2">
        <v>2000.0</v>
      </c>
    </row>
    <row r="41">
      <c r="B41" s="2" t="s">
        <v>46</v>
      </c>
      <c r="C41" s="20" t="s">
        <v>221</v>
      </c>
      <c r="D41" s="16" t="s">
        <v>298</v>
      </c>
      <c r="E41" s="17">
        <v>1.0</v>
      </c>
      <c r="F41" s="2">
        <v>1500.0</v>
      </c>
    </row>
    <row r="42">
      <c r="B42" s="2" t="s">
        <v>46</v>
      </c>
      <c r="C42" s="18" t="s">
        <v>222</v>
      </c>
      <c r="D42" s="22" t="s">
        <v>299</v>
      </c>
      <c r="E42" s="17">
        <v>1.0</v>
      </c>
      <c r="F42" s="2">
        <v>500.0</v>
      </c>
    </row>
    <row r="43">
      <c r="B43" s="2" t="s">
        <v>46</v>
      </c>
      <c r="C43" s="20" t="s">
        <v>223</v>
      </c>
      <c r="D43" s="16" t="s">
        <v>300</v>
      </c>
      <c r="E43" s="17">
        <v>1.0</v>
      </c>
      <c r="F43" s="2">
        <v>1500.0</v>
      </c>
    </row>
    <row r="44">
      <c r="B44" s="2" t="s">
        <v>46</v>
      </c>
      <c r="C44" s="18" t="s">
        <v>224</v>
      </c>
      <c r="D44" s="16" t="s">
        <v>301</v>
      </c>
      <c r="E44" s="17">
        <v>2.0</v>
      </c>
      <c r="F44" s="2">
        <v>1000.0</v>
      </c>
    </row>
    <row r="45">
      <c r="B45" s="1" t="s">
        <v>46</v>
      </c>
      <c r="C45" s="15" t="s">
        <v>225</v>
      </c>
      <c r="D45" s="16" t="s">
        <v>302</v>
      </c>
      <c r="E45" s="17">
        <v>3.0</v>
      </c>
      <c r="F45" s="2">
        <v>2500.0</v>
      </c>
    </row>
    <row r="46">
      <c r="B46" s="2" t="s">
        <v>46</v>
      </c>
      <c r="C46" s="18" t="s">
        <v>38</v>
      </c>
      <c r="D46" s="22" t="s">
        <v>305</v>
      </c>
      <c r="E46" s="17">
        <v>4.0</v>
      </c>
      <c r="F46" s="2">
        <v>1000.0</v>
      </c>
    </row>
    <row r="47">
      <c r="B47" s="2" t="s">
        <v>46</v>
      </c>
      <c r="C47" s="20" t="s">
        <v>47</v>
      </c>
      <c r="D47" s="22" t="s">
        <v>307</v>
      </c>
      <c r="E47" s="17">
        <v>2.0</v>
      </c>
      <c r="F47" s="2">
        <v>500.0</v>
      </c>
    </row>
    <row r="48">
      <c r="B48" s="2" t="s">
        <v>50</v>
      </c>
      <c r="C48" s="18" t="s">
        <v>231</v>
      </c>
      <c r="D48" s="25">
        <v>5667.0</v>
      </c>
      <c r="E48" s="17">
        <v>20.0</v>
      </c>
      <c r="F48" s="2">
        <v>1500.0</v>
      </c>
    </row>
    <row r="49">
      <c r="B49" s="2" t="s">
        <v>50</v>
      </c>
      <c r="C49" s="20" t="s">
        <v>221</v>
      </c>
      <c r="D49" s="16" t="s">
        <v>298</v>
      </c>
      <c r="E49" s="17">
        <v>1.0</v>
      </c>
      <c r="F49" s="2">
        <v>1500.0</v>
      </c>
    </row>
    <row r="50">
      <c r="B50" s="2" t="s">
        <v>50</v>
      </c>
      <c r="C50" s="18" t="s">
        <v>222</v>
      </c>
      <c r="D50" s="16" t="s">
        <v>299</v>
      </c>
      <c r="E50" s="17">
        <v>1.0</v>
      </c>
      <c r="F50" s="2">
        <v>500.0</v>
      </c>
    </row>
    <row r="51">
      <c r="B51" s="2" t="s">
        <v>50</v>
      </c>
      <c r="C51" s="20" t="s">
        <v>223</v>
      </c>
      <c r="D51" s="22" t="s">
        <v>300</v>
      </c>
      <c r="E51" s="17">
        <v>1.0</v>
      </c>
      <c r="F51" s="2">
        <v>1500.0</v>
      </c>
    </row>
    <row r="52">
      <c r="B52" s="2" t="s">
        <v>50</v>
      </c>
      <c r="C52" s="18" t="s">
        <v>224</v>
      </c>
      <c r="D52" s="16" t="s">
        <v>301</v>
      </c>
      <c r="E52" s="17">
        <v>2.0</v>
      </c>
      <c r="F52" s="2">
        <v>1000.0</v>
      </c>
    </row>
    <row r="53">
      <c r="B53" s="1" t="s">
        <v>50</v>
      </c>
      <c r="C53" s="15" t="s">
        <v>225</v>
      </c>
      <c r="D53" s="16" t="s">
        <v>302</v>
      </c>
      <c r="E53" s="17">
        <v>3.0</v>
      </c>
      <c r="F53" s="2">
        <v>2500.0</v>
      </c>
    </row>
    <row r="54">
      <c r="B54" s="2" t="s">
        <v>50</v>
      </c>
      <c r="C54" s="18" t="s">
        <v>38</v>
      </c>
      <c r="D54" s="16" t="s">
        <v>305</v>
      </c>
      <c r="E54" s="17">
        <v>4.0</v>
      </c>
      <c r="F54" s="2">
        <v>1000.0</v>
      </c>
    </row>
    <row r="55">
      <c r="B55" s="2" t="s">
        <v>50</v>
      </c>
      <c r="C55" s="20" t="s">
        <v>34</v>
      </c>
      <c r="D55" s="22" t="s">
        <v>304</v>
      </c>
      <c r="E55" s="17">
        <v>2.0</v>
      </c>
      <c r="F55" s="2">
        <v>500.0</v>
      </c>
    </row>
    <row r="56">
      <c r="B56" s="2" t="s">
        <v>51</v>
      </c>
      <c r="C56" s="18" t="s">
        <v>232</v>
      </c>
      <c r="D56" s="25">
        <v>3027.0</v>
      </c>
      <c r="E56" s="17">
        <v>20.0</v>
      </c>
      <c r="F56" s="2">
        <v>1500.0</v>
      </c>
    </row>
    <row r="57">
      <c r="B57" s="2" t="s">
        <v>52</v>
      </c>
      <c r="C57" s="18" t="s">
        <v>233</v>
      </c>
      <c r="D57" s="25">
        <v>149.0</v>
      </c>
      <c r="E57" s="17">
        <v>20.0</v>
      </c>
      <c r="F57" s="2">
        <v>1500.0</v>
      </c>
    </row>
    <row r="58">
      <c r="B58" s="2" t="s">
        <v>54</v>
      </c>
      <c r="C58" s="18" t="s">
        <v>234</v>
      </c>
      <c r="D58" s="25">
        <v>155.0</v>
      </c>
      <c r="E58" s="17">
        <v>14.0</v>
      </c>
      <c r="F58" s="2">
        <v>1500.0</v>
      </c>
    </row>
    <row r="59">
      <c r="B59" s="2" t="s">
        <v>54</v>
      </c>
      <c r="C59" s="20" t="s">
        <v>221</v>
      </c>
      <c r="D59" s="16" t="s">
        <v>298</v>
      </c>
      <c r="E59" s="17">
        <v>2.0</v>
      </c>
      <c r="F59" s="2">
        <v>1500.0</v>
      </c>
    </row>
    <row r="60">
      <c r="B60" s="2" t="s">
        <v>54</v>
      </c>
      <c r="C60" s="18" t="s">
        <v>222</v>
      </c>
      <c r="D60" s="22" t="s">
        <v>299</v>
      </c>
      <c r="E60" s="17">
        <v>2.0</v>
      </c>
      <c r="F60" s="2">
        <v>500.0</v>
      </c>
    </row>
    <row r="61">
      <c r="B61" s="2" t="s">
        <v>54</v>
      </c>
      <c r="C61" s="20" t="s">
        <v>223</v>
      </c>
      <c r="D61" s="22" t="s">
        <v>300</v>
      </c>
      <c r="E61" s="17">
        <v>2.0</v>
      </c>
      <c r="F61" s="2">
        <v>1500.0</v>
      </c>
    </row>
    <row r="62">
      <c r="B62" s="2" t="s">
        <v>54</v>
      </c>
      <c r="C62" s="18" t="s">
        <v>224</v>
      </c>
      <c r="D62" s="22" t="s">
        <v>301</v>
      </c>
      <c r="E62" s="17">
        <v>2.0</v>
      </c>
      <c r="F62" s="2">
        <v>1000.0</v>
      </c>
    </row>
    <row r="63">
      <c r="B63" s="1" t="s">
        <v>54</v>
      </c>
      <c r="C63" s="15" t="s">
        <v>225</v>
      </c>
      <c r="D63" s="22" t="s">
        <v>302</v>
      </c>
      <c r="E63" s="17">
        <v>4.0</v>
      </c>
      <c r="F63" s="2">
        <v>2500.0</v>
      </c>
    </row>
    <row r="64">
      <c r="B64" s="2" t="s">
        <v>54</v>
      </c>
      <c r="C64" s="18" t="s">
        <v>56</v>
      </c>
      <c r="D64" s="22" t="s">
        <v>305</v>
      </c>
      <c r="E64" s="17">
        <v>4.0</v>
      </c>
      <c r="F64" s="2">
        <v>1000.0</v>
      </c>
    </row>
    <row r="65">
      <c r="B65" s="2" t="s">
        <v>54</v>
      </c>
      <c r="C65" s="20" t="s">
        <v>42</v>
      </c>
      <c r="D65" s="22" t="s">
        <v>306</v>
      </c>
      <c r="E65" s="17">
        <v>2.0</v>
      </c>
      <c r="F65" s="2">
        <v>500.0</v>
      </c>
    </row>
    <row r="66">
      <c r="B66" s="2" t="s">
        <v>58</v>
      </c>
      <c r="C66" s="18" t="s">
        <v>233</v>
      </c>
      <c r="D66" s="19">
        <v>149.0</v>
      </c>
      <c r="E66" s="17">
        <v>14.0</v>
      </c>
      <c r="F66" s="2">
        <v>1500.0</v>
      </c>
    </row>
    <row r="67">
      <c r="B67" s="2" t="s">
        <v>58</v>
      </c>
      <c r="C67" s="20" t="s">
        <v>221</v>
      </c>
      <c r="D67" s="22" t="s">
        <v>298</v>
      </c>
      <c r="E67" s="17">
        <v>2.0</v>
      </c>
      <c r="F67" s="2">
        <v>1500.0</v>
      </c>
    </row>
    <row r="68">
      <c r="B68" s="2" t="s">
        <v>58</v>
      </c>
      <c r="C68" s="18" t="s">
        <v>222</v>
      </c>
      <c r="D68" s="22" t="s">
        <v>299</v>
      </c>
      <c r="E68" s="17">
        <v>2.0</v>
      </c>
      <c r="F68" s="2">
        <v>500.0</v>
      </c>
    </row>
    <row r="69">
      <c r="B69" s="2" t="s">
        <v>58</v>
      </c>
      <c r="C69" s="20" t="s">
        <v>223</v>
      </c>
      <c r="D69" s="22" t="s">
        <v>300</v>
      </c>
      <c r="E69" s="17">
        <v>2.0</v>
      </c>
      <c r="F69" s="2">
        <v>1500.0</v>
      </c>
    </row>
    <row r="70">
      <c r="B70" s="2" t="s">
        <v>58</v>
      </c>
      <c r="C70" s="18" t="s">
        <v>224</v>
      </c>
      <c r="D70" s="22" t="s">
        <v>301</v>
      </c>
      <c r="E70" s="17">
        <v>2.0</v>
      </c>
      <c r="F70" s="2">
        <v>1000.0</v>
      </c>
    </row>
    <row r="71">
      <c r="B71" s="1" t="s">
        <v>58</v>
      </c>
      <c r="C71" s="15" t="s">
        <v>225</v>
      </c>
      <c r="D71" s="22" t="s">
        <v>302</v>
      </c>
      <c r="E71" s="17">
        <v>4.0</v>
      </c>
      <c r="F71" s="2">
        <v>2500.0</v>
      </c>
    </row>
    <row r="72">
      <c r="B72" s="2" t="s">
        <v>58</v>
      </c>
      <c r="C72" s="18" t="s">
        <v>56</v>
      </c>
      <c r="D72" s="22" t="s">
        <v>305</v>
      </c>
      <c r="E72" s="17">
        <v>4.0</v>
      </c>
      <c r="F72" s="2">
        <v>1000.0</v>
      </c>
    </row>
    <row r="73">
      <c r="B73" s="2" t="s">
        <v>58</v>
      </c>
      <c r="C73" s="20" t="s">
        <v>47</v>
      </c>
      <c r="D73" s="22" t="s">
        <v>307</v>
      </c>
      <c r="E73" s="17">
        <v>2.0</v>
      </c>
      <c r="F73" s="2">
        <v>500.0</v>
      </c>
    </row>
    <row r="74">
      <c r="B74" s="2" t="s">
        <v>60</v>
      </c>
      <c r="C74" s="18" t="s">
        <v>231</v>
      </c>
      <c r="D74" s="19">
        <v>5667.0</v>
      </c>
      <c r="E74" s="17">
        <v>12.0</v>
      </c>
      <c r="F74" s="2">
        <v>1500.0</v>
      </c>
    </row>
    <row r="75">
      <c r="B75" s="2" t="s">
        <v>60</v>
      </c>
      <c r="C75" s="20" t="s">
        <v>221</v>
      </c>
      <c r="D75" s="22" t="s">
        <v>298</v>
      </c>
      <c r="E75" s="17">
        <v>2.0</v>
      </c>
      <c r="F75" s="2">
        <v>1500.0</v>
      </c>
    </row>
    <row r="76">
      <c r="B76" s="2" t="s">
        <v>60</v>
      </c>
      <c r="C76" s="18" t="s">
        <v>222</v>
      </c>
      <c r="D76" s="22" t="s">
        <v>299</v>
      </c>
      <c r="E76" s="17">
        <v>2.0</v>
      </c>
      <c r="F76" s="2">
        <v>500.0</v>
      </c>
    </row>
    <row r="77">
      <c r="B77" s="2" t="s">
        <v>60</v>
      </c>
      <c r="C77" s="20" t="s">
        <v>223</v>
      </c>
      <c r="D77" s="22" t="s">
        <v>300</v>
      </c>
      <c r="E77" s="17">
        <v>2.0</v>
      </c>
      <c r="F77" s="2">
        <v>1500.0</v>
      </c>
    </row>
    <row r="78">
      <c r="B78" s="2" t="s">
        <v>60</v>
      </c>
      <c r="C78" s="18" t="s">
        <v>224</v>
      </c>
      <c r="D78" s="22" t="s">
        <v>301</v>
      </c>
      <c r="E78" s="17">
        <v>2.0</v>
      </c>
      <c r="F78" s="2">
        <v>1000.0</v>
      </c>
    </row>
    <row r="79">
      <c r="B79" s="1" t="s">
        <v>60</v>
      </c>
      <c r="C79" s="15" t="s">
        <v>225</v>
      </c>
      <c r="D79" s="22" t="s">
        <v>302</v>
      </c>
      <c r="E79" s="17">
        <v>2.0</v>
      </c>
      <c r="F79" s="2">
        <v>2500.0</v>
      </c>
    </row>
    <row r="80">
      <c r="B80" s="2" t="s">
        <v>60</v>
      </c>
      <c r="C80" s="20" t="s">
        <v>39</v>
      </c>
      <c r="D80" s="22" t="s">
        <v>308</v>
      </c>
      <c r="E80" s="17">
        <v>2.0</v>
      </c>
      <c r="F80" s="2">
        <v>1000.0</v>
      </c>
    </row>
    <row r="81">
      <c r="B81" s="2" t="s">
        <v>60</v>
      </c>
      <c r="C81" s="20" t="s">
        <v>61</v>
      </c>
      <c r="D81" s="22" t="s">
        <v>11</v>
      </c>
      <c r="E81" s="17">
        <v>1.0</v>
      </c>
      <c r="F81" s="2">
        <v>1000.0</v>
      </c>
    </row>
    <row r="82">
      <c r="B82" s="2" t="s">
        <v>60</v>
      </c>
      <c r="C82" s="20" t="s">
        <v>47</v>
      </c>
      <c r="D82" s="22" t="s">
        <v>307</v>
      </c>
      <c r="E82" s="17">
        <v>2.0</v>
      </c>
      <c r="F82" s="2">
        <v>500.0</v>
      </c>
    </row>
    <row r="83">
      <c r="B83" s="2" t="s">
        <v>62</v>
      </c>
      <c r="C83" s="18" t="s">
        <v>235</v>
      </c>
      <c r="D83" s="19">
        <v>2347.0</v>
      </c>
      <c r="E83" s="17">
        <v>15.0</v>
      </c>
      <c r="F83" s="2">
        <v>2500.0</v>
      </c>
    </row>
    <row r="84">
      <c r="B84" s="2" t="s">
        <v>64</v>
      </c>
      <c r="C84" s="18" t="s">
        <v>236</v>
      </c>
      <c r="D84" s="19">
        <v>2308.0</v>
      </c>
      <c r="E84" s="17">
        <v>3.0</v>
      </c>
      <c r="F84" s="2">
        <v>7500.0</v>
      </c>
    </row>
    <row r="85">
      <c r="B85" s="2" t="s">
        <v>64</v>
      </c>
      <c r="C85" s="20" t="s">
        <v>221</v>
      </c>
      <c r="D85" s="22" t="s">
        <v>298</v>
      </c>
      <c r="E85" s="17">
        <v>1.0</v>
      </c>
      <c r="F85" s="2">
        <v>1500.0</v>
      </c>
    </row>
    <row r="86">
      <c r="B86" s="2" t="s">
        <v>64</v>
      </c>
      <c r="C86" s="18" t="s">
        <v>222</v>
      </c>
      <c r="D86" s="22" t="s">
        <v>299</v>
      </c>
      <c r="E86" s="17">
        <v>1.0</v>
      </c>
      <c r="F86" s="2">
        <v>500.0</v>
      </c>
    </row>
    <row r="87">
      <c r="B87" s="2" t="s">
        <v>64</v>
      </c>
      <c r="C87" s="20" t="s">
        <v>223</v>
      </c>
      <c r="D87" s="22" t="s">
        <v>300</v>
      </c>
      <c r="E87" s="17">
        <v>1.0</v>
      </c>
      <c r="F87" s="2">
        <v>1500.0</v>
      </c>
    </row>
    <row r="88">
      <c r="B88" s="2" t="s">
        <v>64</v>
      </c>
      <c r="C88" s="18" t="s">
        <v>224</v>
      </c>
      <c r="D88" s="22" t="s">
        <v>301</v>
      </c>
      <c r="E88" s="17">
        <v>2.0</v>
      </c>
      <c r="F88" s="2">
        <v>1000.0</v>
      </c>
    </row>
    <row r="89">
      <c r="B89" s="1" t="s">
        <v>64</v>
      </c>
      <c r="C89" s="15" t="s">
        <v>225</v>
      </c>
      <c r="D89" s="22" t="s">
        <v>302</v>
      </c>
      <c r="E89" s="17">
        <v>2.0</v>
      </c>
      <c r="F89" s="2">
        <v>2500.0</v>
      </c>
    </row>
    <row r="90">
      <c r="B90" s="2" t="s">
        <v>64</v>
      </c>
      <c r="C90" s="18" t="s">
        <v>56</v>
      </c>
      <c r="D90" s="22" t="s">
        <v>305</v>
      </c>
      <c r="E90" s="17">
        <v>3.0</v>
      </c>
      <c r="F90" s="2">
        <v>1000.0</v>
      </c>
    </row>
    <row r="91">
      <c r="B91" s="2" t="s">
        <v>64</v>
      </c>
      <c r="C91" s="20" t="s">
        <v>61</v>
      </c>
      <c r="D91" s="22" t="s">
        <v>11</v>
      </c>
      <c r="E91" s="17">
        <v>2.0</v>
      </c>
      <c r="F91" s="2">
        <v>1000.0</v>
      </c>
    </row>
    <row r="92">
      <c r="B92" s="2" t="s">
        <v>64</v>
      </c>
      <c r="C92" s="15" t="s">
        <v>237</v>
      </c>
      <c r="D92" s="22" t="s">
        <v>309</v>
      </c>
      <c r="E92" s="17">
        <v>3.0</v>
      </c>
      <c r="F92" s="2">
        <v>600.0</v>
      </c>
    </row>
    <row r="93">
      <c r="B93" s="2" t="s">
        <v>64</v>
      </c>
      <c r="C93" s="20" t="s">
        <v>47</v>
      </c>
      <c r="D93" s="22" t="s">
        <v>307</v>
      </c>
      <c r="E93" s="17">
        <v>2.0</v>
      </c>
      <c r="F93" s="2">
        <v>500.0</v>
      </c>
    </row>
    <row r="94">
      <c r="B94" s="2" t="s">
        <v>66</v>
      </c>
      <c r="C94" s="18" t="s">
        <v>238</v>
      </c>
      <c r="D94" s="19">
        <v>2327.0</v>
      </c>
      <c r="E94" s="17">
        <v>3.0</v>
      </c>
      <c r="F94" s="2">
        <v>7500.0</v>
      </c>
    </row>
    <row r="95">
      <c r="B95" s="2" t="s">
        <v>66</v>
      </c>
      <c r="C95" s="20" t="s">
        <v>221</v>
      </c>
      <c r="D95" s="22" t="s">
        <v>298</v>
      </c>
      <c r="E95" s="17">
        <v>1.0</v>
      </c>
      <c r="F95" s="2">
        <v>1500.0</v>
      </c>
    </row>
    <row r="96">
      <c r="B96" s="2" t="s">
        <v>66</v>
      </c>
      <c r="C96" s="18" t="s">
        <v>222</v>
      </c>
      <c r="D96" s="16" t="s">
        <v>299</v>
      </c>
      <c r="E96" s="17">
        <v>1.0</v>
      </c>
      <c r="F96" s="2">
        <v>500.0</v>
      </c>
    </row>
    <row r="97">
      <c r="B97" s="2" t="s">
        <v>66</v>
      </c>
      <c r="C97" s="20" t="s">
        <v>223</v>
      </c>
      <c r="D97" s="16" t="s">
        <v>300</v>
      </c>
      <c r="E97" s="17">
        <v>1.0</v>
      </c>
      <c r="F97" s="2">
        <v>1500.0</v>
      </c>
    </row>
    <row r="98">
      <c r="B98" s="2" t="s">
        <v>66</v>
      </c>
      <c r="C98" s="18" t="s">
        <v>224</v>
      </c>
      <c r="D98" s="16" t="s">
        <v>301</v>
      </c>
      <c r="E98" s="17">
        <v>1.0</v>
      </c>
      <c r="F98" s="2">
        <v>1000.0</v>
      </c>
    </row>
    <row r="99">
      <c r="B99" s="1" t="s">
        <v>66</v>
      </c>
      <c r="C99" s="15" t="s">
        <v>225</v>
      </c>
      <c r="D99" s="16" t="s">
        <v>302</v>
      </c>
      <c r="E99" s="17">
        <v>2.0</v>
      </c>
      <c r="F99" s="2">
        <v>2500.0</v>
      </c>
    </row>
    <row r="100">
      <c r="B100" s="2" t="s">
        <v>66</v>
      </c>
      <c r="C100" s="18" t="s">
        <v>56</v>
      </c>
      <c r="D100" s="16" t="s">
        <v>305</v>
      </c>
      <c r="E100" s="17">
        <v>3.0</v>
      </c>
      <c r="F100" s="2">
        <v>1000.0</v>
      </c>
    </row>
    <row r="101">
      <c r="B101" s="2" t="s">
        <v>66</v>
      </c>
      <c r="C101" s="20" t="s">
        <v>61</v>
      </c>
      <c r="D101" s="16" t="s">
        <v>11</v>
      </c>
      <c r="E101" s="17">
        <v>2.0</v>
      </c>
      <c r="F101" s="2">
        <v>1000.0</v>
      </c>
    </row>
    <row r="102">
      <c r="B102" s="2" t="s">
        <v>66</v>
      </c>
      <c r="C102" s="20" t="s">
        <v>47</v>
      </c>
      <c r="D102" s="16" t="s">
        <v>307</v>
      </c>
      <c r="E102" s="17">
        <v>2.0</v>
      </c>
      <c r="F102" s="2">
        <v>500.0</v>
      </c>
    </row>
    <row r="103">
      <c r="B103" s="2" t="s">
        <v>66</v>
      </c>
      <c r="C103" s="15" t="s">
        <v>237</v>
      </c>
      <c r="D103" s="16" t="s">
        <v>309</v>
      </c>
      <c r="E103" s="17">
        <v>3.0</v>
      </c>
      <c r="F103" s="2">
        <v>600.0</v>
      </c>
    </row>
    <row r="104">
      <c r="B104" s="2" t="s">
        <v>67</v>
      </c>
      <c r="C104" s="18" t="s">
        <v>239</v>
      </c>
      <c r="D104" s="25">
        <v>2314.0</v>
      </c>
      <c r="E104" s="17">
        <v>12.0</v>
      </c>
      <c r="F104" s="2">
        <v>7500.0</v>
      </c>
    </row>
    <row r="105">
      <c r="B105" s="2" t="s">
        <v>72</v>
      </c>
      <c r="C105" s="18" t="s">
        <v>240</v>
      </c>
      <c r="D105" s="25">
        <v>2307.0</v>
      </c>
      <c r="E105" s="17">
        <v>4.0</v>
      </c>
      <c r="F105" s="2">
        <v>7500.0</v>
      </c>
    </row>
    <row r="106">
      <c r="B106" s="2" t="s">
        <v>72</v>
      </c>
      <c r="C106" s="20" t="s">
        <v>221</v>
      </c>
      <c r="D106" s="16" t="s">
        <v>298</v>
      </c>
      <c r="E106" s="17">
        <v>2.0</v>
      </c>
      <c r="F106" s="2">
        <v>1500.0</v>
      </c>
    </row>
    <row r="107">
      <c r="B107" s="2" t="s">
        <v>72</v>
      </c>
      <c r="C107" s="20" t="s">
        <v>223</v>
      </c>
      <c r="D107" s="16" t="s">
        <v>300</v>
      </c>
      <c r="E107" s="17">
        <v>1.0</v>
      </c>
      <c r="F107" s="2">
        <v>1500.0</v>
      </c>
    </row>
    <row r="108">
      <c r="B108" s="2" t="s">
        <v>72</v>
      </c>
      <c r="C108" s="18" t="s">
        <v>224</v>
      </c>
      <c r="D108" s="16" t="s">
        <v>301</v>
      </c>
      <c r="E108" s="17">
        <v>2.0</v>
      </c>
      <c r="F108" s="2">
        <v>1000.0</v>
      </c>
    </row>
    <row r="109">
      <c r="B109" s="1" t="s">
        <v>72</v>
      </c>
      <c r="C109" s="15" t="s">
        <v>225</v>
      </c>
      <c r="D109" s="16" t="s">
        <v>302</v>
      </c>
      <c r="E109" s="17">
        <v>2.0</v>
      </c>
      <c r="F109" s="2">
        <v>2500.0</v>
      </c>
    </row>
    <row r="110">
      <c r="B110" s="2" t="s">
        <v>72</v>
      </c>
      <c r="C110" s="20" t="s">
        <v>47</v>
      </c>
      <c r="D110" s="16" t="s">
        <v>304</v>
      </c>
      <c r="E110" s="17">
        <v>2.0</v>
      </c>
      <c r="F110" s="2">
        <v>500.0</v>
      </c>
    </row>
    <row r="111">
      <c r="B111" s="2" t="s">
        <v>73</v>
      </c>
      <c r="C111" s="18" t="s">
        <v>240</v>
      </c>
      <c r="D111" s="25">
        <v>2307.0</v>
      </c>
      <c r="E111" s="17">
        <v>18.0</v>
      </c>
      <c r="F111" s="2">
        <v>7500.0</v>
      </c>
    </row>
    <row r="112">
      <c r="B112" s="2" t="s">
        <v>74</v>
      </c>
      <c r="C112" s="18" t="s">
        <v>241</v>
      </c>
      <c r="D112" s="25">
        <v>2313.0</v>
      </c>
      <c r="E112" s="17">
        <v>18.0</v>
      </c>
      <c r="F112" s="2">
        <v>7500.0</v>
      </c>
    </row>
    <row r="113">
      <c r="B113" s="2" t="s">
        <v>75</v>
      </c>
      <c r="C113" s="18" t="s">
        <v>242</v>
      </c>
      <c r="D113" s="25">
        <v>2305.0</v>
      </c>
      <c r="E113" s="17">
        <v>0.0</v>
      </c>
      <c r="F113" s="2">
        <v>7500.0</v>
      </c>
    </row>
    <row r="114">
      <c r="B114" s="2" t="s">
        <v>76</v>
      </c>
      <c r="C114" s="18" t="s">
        <v>243</v>
      </c>
      <c r="D114" s="25">
        <v>2324.0</v>
      </c>
      <c r="E114" s="17">
        <v>0.0</v>
      </c>
      <c r="F114" s="2">
        <v>7500.0</v>
      </c>
    </row>
    <row r="115">
      <c r="B115" s="2" t="s">
        <v>77</v>
      </c>
      <c r="C115" s="18" t="s">
        <v>244</v>
      </c>
      <c r="D115" s="25">
        <v>2328.0</v>
      </c>
      <c r="E115" s="17">
        <v>0.0</v>
      </c>
      <c r="F115" s="2">
        <v>7500.0</v>
      </c>
    </row>
    <row r="116">
      <c r="B116" s="2" t="s">
        <v>78</v>
      </c>
      <c r="C116" s="18" t="s">
        <v>243</v>
      </c>
      <c r="D116" s="25">
        <v>2324.0</v>
      </c>
      <c r="E116" s="17">
        <v>0.0</v>
      </c>
      <c r="F116" s="2">
        <v>7500.0</v>
      </c>
    </row>
    <row r="117">
      <c r="B117" s="2" t="s">
        <v>79</v>
      </c>
      <c r="C117" s="18" t="s">
        <v>242</v>
      </c>
      <c r="D117" s="25">
        <v>2305.0</v>
      </c>
      <c r="E117" s="17">
        <v>0.0</v>
      </c>
      <c r="F117" s="2">
        <v>7500.0</v>
      </c>
    </row>
    <row r="118">
      <c r="B118" s="2" t="s">
        <v>80</v>
      </c>
      <c r="C118" s="18" t="s">
        <v>242</v>
      </c>
      <c r="D118" s="25">
        <v>2305.0</v>
      </c>
      <c r="E118" s="17">
        <v>0.0</v>
      </c>
      <c r="F118" s="2">
        <v>7500.0</v>
      </c>
    </row>
    <row r="119">
      <c r="B119" s="2" t="s">
        <v>81</v>
      </c>
      <c r="C119" s="18" t="s">
        <v>243</v>
      </c>
      <c r="D119" s="25">
        <v>2324.0</v>
      </c>
      <c r="E119" s="17">
        <v>0.0</v>
      </c>
      <c r="F119" s="2">
        <v>7500.0</v>
      </c>
    </row>
    <row r="120">
      <c r="B120" s="2" t="s">
        <v>82</v>
      </c>
      <c r="C120" s="18" t="s">
        <v>239</v>
      </c>
      <c r="D120" s="25">
        <v>2314.0</v>
      </c>
      <c r="E120" s="17">
        <v>0.0</v>
      </c>
      <c r="F120" s="2">
        <v>7500.0</v>
      </c>
    </row>
    <row r="121">
      <c r="B121" s="2" t="s">
        <v>83</v>
      </c>
      <c r="C121" s="18" t="s">
        <v>241</v>
      </c>
      <c r="D121" s="25">
        <v>2313.0</v>
      </c>
      <c r="E121" s="17">
        <v>0.0</v>
      </c>
      <c r="F121" s="2">
        <v>7500.0</v>
      </c>
    </row>
    <row r="122">
      <c r="B122" s="30" t="s">
        <v>84</v>
      </c>
      <c r="C122" s="18" t="s">
        <v>241</v>
      </c>
      <c r="D122" s="25">
        <v>2313.0</v>
      </c>
      <c r="E122" s="17">
        <v>0.0</v>
      </c>
      <c r="F122" s="2">
        <v>7500.0</v>
      </c>
    </row>
    <row r="123">
      <c r="B123" s="30" t="s">
        <v>85</v>
      </c>
      <c r="C123" s="18" t="s">
        <v>241</v>
      </c>
      <c r="D123" s="25">
        <v>2313.0</v>
      </c>
      <c r="E123" s="17">
        <v>0.0</v>
      </c>
      <c r="F123" s="2">
        <v>7500.0</v>
      </c>
    </row>
    <row r="124">
      <c r="B124" s="30" t="s">
        <v>86</v>
      </c>
      <c r="C124" s="18" t="s">
        <v>244</v>
      </c>
      <c r="D124" s="2">
        <v>2328.0</v>
      </c>
      <c r="E124" s="17">
        <v>0.0</v>
      </c>
      <c r="F124" s="2">
        <v>7500.0</v>
      </c>
    </row>
    <row r="125">
      <c r="B125" s="30" t="s">
        <v>87</v>
      </c>
      <c r="C125" s="18" t="s">
        <v>236</v>
      </c>
      <c r="D125" s="25">
        <v>2308.0</v>
      </c>
      <c r="E125" s="17">
        <v>0.0</v>
      </c>
      <c r="F125" s="2">
        <v>7500.0</v>
      </c>
    </row>
    <row r="126">
      <c r="B126" s="30" t="s">
        <v>88</v>
      </c>
      <c r="C126" s="18" t="s">
        <v>240</v>
      </c>
      <c r="D126" s="25">
        <v>2307.0</v>
      </c>
      <c r="E126" s="17">
        <v>0.0</v>
      </c>
      <c r="F126" s="2">
        <v>7500.0</v>
      </c>
    </row>
    <row r="127">
      <c r="B127" s="30" t="s">
        <v>89</v>
      </c>
      <c r="C127" s="18" t="s">
        <v>245</v>
      </c>
      <c r="D127" s="25">
        <v>2322.0</v>
      </c>
      <c r="E127" s="17">
        <v>0.0</v>
      </c>
      <c r="F127" s="2">
        <v>7500.0</v>
      </c>
    </row>
    <row r="128">
      <c r="B128" s="30" t="s">
        <v>90</v>
      </c>
      <c r="C128" s="18" t="s">
        <v>242</v>
      </c>
      <c r="D128" s="25">
        <v>2305.0</v>
      </c>
      <c r="E128" s="17">
        <v>0.0</v>
      </c>
      <c r="F128" s="2">
        <v>7500.0</v>
      </c>
    </row>
    <row r="129">
      <c r="B129" s="30" t="s">
        <v>91</v>
      </c>
      <c r="C129" s="18" t="s">
        <v>242</v>
      </c>
      <c r="D129" s="34">
        <v>2305.0</v>
      </c>
      <c r="E129" s="17">
        <v>0.0</v>
      </c>
      <c r="F129" s="2">
        <v>7500.0</v>
      </c>
    </row>
    <row r="130">
      <c r="B130" s="30" t="s">
        <v>92</v>
      </c>
      <c r="C130" s="18" t="s">
        <v>246</v>
      </c>
      <c r="D130" s="34" t="s">
        <v>310</v>
      </c>
      <c r="E130" s="17">
        <v>0.0</v>
      </c>
      <c r="F130" s="2">
        <v>2500.0</v>
      </c>
    </row>
    <row r="131">
      <c r="B131" s="30" t="s">
        <v>93</v>
      </c>
      <c r="C131" s="18" t="s">
        <v>247</v>
      </c>
      <c r="D131" s="25" t="s">
        <v>311</v>
      </c>
      <c r="E131" s="17">
        <v>0.0</v>
      </c>
      <c r="F131" s="2">
        <v>2500.0</v>
      </c>
    </row>
    <row r="132">
      <c r="B132" s="30" t="s">
        <v>94</v>
      </c>
      <c r="C132" s="18" t="s">
        <v>248</v>
      </c>
      <c r="D132" s="25">
        <v>2325.0</v>
      </c>
      <c r="E132" s="17">
        <v>0.0</v>
      </c>
      <c r="F132" s="2">
        <v>7500.0</v>
      </c>
    </row>
    <row r="133">
      <c r="B133" s="30" t="s">
        <v>95</v>
      </c>
      <c r="C133" s="18" t="s">
        <v>249</v>
      </c>
      <c r="D133" s="25">
        <v>2304.0</v>
      </c>
      <c r="E133" s="17">
        <v>0.0</v>
      </c>
      <c r="F133" s="2">
        <v>7500.0</v>
      </c>
    </row>
    <row r="134">
      <c r="B134" s="30" t="s">
        <v>96</v>
      </c>
      <c r="C134" s="18" t="s">
        <v>238</v>
      </c>
      <c r="D134" s="34">
        <v>2327.0</v>
      </c>
      <c r="E134" s="17">
        <v>0.0</v>
      </c>
      <c r="F134" s="2">
        <v>7500.0</v>
      </c>
    </row>
    <row r="135">
      <c r="B135" s="30" t="s">
        <v>97</v>
      </c>
      <c r="C135" s="18" t="s">
        <v>248</v>
      </c>
      <c r="D135" s="34">
        <v>2325.0</v>
      </c>
      <c r="E135" s="17">
        <v>0.0</v>
      </c>
      <c r="F135" s="2">
        <v>7500.0</v>
      </c>
    </row>
    <row r="136">
      <c r="B136" s="30" t="s">
        <v>98</v>
      </c>
      <c r="C136" s="18" t="s">
        <v>240</v>
      </c>
      <c r="D136" s="34">
        <v>2307.0</v>
      </c>
      <c r="E136" s="17">
        <v>0.0</v>
      </c>
      <c r="F136" s="2">
        <v>7500.0</v>
      </c>
    </row>
    <row r="137">
      <c r="B137" s="30" t="s">
        <v>99</v>
      </c>
      <c r="C137" s="18" t="s">
        <v>243</v>
      </c>
      <c r="D137" s="25">
        <v>2324.0</v>
      </c>
      <c r="E137" s="17">
        <v>0.0</v>
      </c>
      <c r="F137" s="2">
        <v>7500.0</v>
      </c>
    </row>
    <row r="138">
      <c r="B138" s="30" t="s">
        <v>100</v>
      </c>
      <c r="C138" s="18" t="s">
        <v>249</v>
      </c>
      <c r="D138" s="25">
        <v>2304.0</v>
      </c>
      <c r="E138" s="17">
        <v>0.0</v>
      </c>
      <c r="F138" s="2">
        <v>7500.0</v>
      </c>
    </row>
    <row r="139">
      <c r="B139" s="30" t="s">
        <v>101</v>
      </c>
      <c r="C139" s="18" t="s">
        <v>239</v>
      </c>
      <c r="D139" s="25">
        <v>2314.0</v>
      </c>
      <c r="E139" s="17">
        <v>0.0</v>
      </c>
      <c r="F139" s="2">
        <v>7500.0</v>
      </c>
    </row>
    <row r="140">
      <c r="B140" s="30" t="s">
        <v>102</v>
      </c>
      <c r="C140" s="18" t="s">
        <v>241</v>
      </c>
      <c r="D140" s="25">
        <v>2313.0</v>
      </c>
      <c r="E140" s="17">
        <v>0.0</v>
      </c>
      <c r="F140" s="2">
        <v>7500.0</v>
      </c>
    </row>
    <row r="141">
      <c r="B141" s="30" t="s">
        <v>103</v>
      </c>
      <c r="C141" s="18" t="s">
        <v>241</v>
      </c>
      <c r="D141" s="25">
        <v>2313.0</v>
      </c>
      <c r="E141" s="17">
        <v>0.0</v>
      </c>
      <c r="F141" s="2">
        <v>7500.0</v>
      </c>
    </row>
    <row r="142">
      <c r="B142" s="30" t="s">
        <v>73</v>
      </c>
      <c r="C142" s="18" t="s">
        <v>239</v>
      </c>
      <c r="D142" s="25">
        <v>2314.0</v>
      </c>
      <c r="E142" s="17">
        <v>0.0</v>
      </c>
      <c r="F142" s="2">
        <v>7500.0</v>
      </c>
    </row>
    <row r="143">
      <c r="B143" s="30" t="s">
        <v>76</v>
      </c>
      <c r="C143" s="18" t="s">
        <v>248</v>
      </c>
      <c r="D143" s="25">
        <v>2325.0</v>
      </c>
      <c r="E143" s="17">
        <v>0.0</v>
      </c>
      <c r="F143" s="2">
        <v>7500.0</v>
      </c>
    </row>
    <row r="144">
      <c r="B144" s="30" t="s">
        <v>77</v>
      </c>
      <c r="C144" s="18" t="s">
        <v>242</v>
      </c>
      <c r="D144" s="25">
        <v>2305.0</v>
      </c>
      <c r="E144" s="17">
        <v>0.0</v>
      </c>
      <c r="F144" s="2">
        <v>7500.0</v>
      </c>
    </row>
    <row r="145">
      <c r="B145" s="30" t="s">
        <v>78</v>
      </c>
      <c r="C145" s="18" t="s">
        <v>239</v>
      </c>
      <c r="D145" s="25">
        <v>2314.0</v>
      </c>
      <c r="E145" s="17">
        <v>0.0</v>
      </c>
      <c r="F145" s="2">
        <v>7500.0</v>
      </c>
    </row>
    <row r="146">
      <c r="B146" s="30" t="s">
        <v>79</v>
      </c>
      <c r="C146" s="18" t="s">
        <v>250</v>
      </c>
      <c r="D146" s="25">
        <v>2323.0</v>
      </c>
      <c r="E146" s="17">
        <v>0.0</v>
      </c>
      <c r="F146" s="2">
        <v>7500.0</v>
      </c>
    </row>
    <row r="147">
      <c r="B147" s="30" t="s">
        <v>80</v>
      </c>
      <c r="C147" s="18" t="s">
        <v>249</v>
      </c>
      <c r="D147" s="25">
        <v>2304.0</v>
      </c>
      <c r="E147" s="17">
        <v>0.0</v>
      </c>
      <c r="F147" s="2">
        <v>7500.0</v>
      </c>
    </row>
    <row r="148">
      <c r="B148" s="30" t="s">
        <v>81</v>
      </c>
      <c r="C148" s="18" t="s">
        <v>248</v>
      </c>
      <c r="D148" s="25">
        <v>2325.0</v>
      </c>
      <c r="E148" s="17">
        <v>0.0</v>
      </c>
      <c r="F148" s="2">
        <v>7500.0</v>
      </c>
    </row>
    <row r="149">
      <c r="B149" s="30" t="s">
        <v>83</v>
      </c>
      <c r="C149" s="18" t="s">
        <v>243</v>
      </c>
      <c r="D149" s="25">
        <v>2324.0</v>
      </c>
      <c r="E149" s="17">
        <v>0.0</v>
      </c>
      <c r="F149" s="2">
        <v>7500.0</v>
      </c>
    </row>
    <row r="150">
      <c r="B150" s="30" t="s">
        <v>84</v>
      </c>
      <c r="C150" s="18" t="s">
        <v>249</v>
      </c>
      <c r="D150" s="25">
        <v>2304.0</v>
      </c>
      <c r="E150" s="17">
        <v>0.0</v>
      </c>
      <c r="F150" s="2">
        <v>7500.0</v>
      </c>
    </row>
    <row r="151">
      <c r="B151" s="30" t="s">
        <v>85</v>
      </c>
      <c r="C151" s="18" t="s">
        <v>239</v>
      </c>
      <c r="D151" s="25">
        <v>2314.0</v>
      </c>
      <c r="E151" s="17">
        <v>0.0</v>
      </c>
      <c r="F151" s="2">
        <v>7500.0</v>
      </c>
    </row>
    <row r="152">
      <c r="B152" s="2" t="s">
        <v>86</v>
      </c>
      <c r="C152" s="18" t="s">
        <v>251</v>
      </c>
      <c r="D152" s="50">
        <v>2312.0</v>
      </c>
      <c r="E152" s="17">
        <v>0.0</v>
      </c>
      <c r="F152" s="2">
        <v>7500.0</v>
      </c>
    </row>
    <row r="153">
      <c r="B153" s="2" t="s">
        <v>87</v>
      </c>
      <c r="C153" s="18" t="s">
        <v>252</v>
      </c>
      <c r="D153" s="25">
        <v>2309.0</v>
      </c>
      <c r="E153" s="17">
        <v>0.0</v>
      </c>
      <c r="F153" s="2">
        <v>7500.0</v>
      </c>
    </row>
    <row r="154">
      <c r="B154" s="2" t="s">
        <v>88</v>
      </c>
      <c r="C154" s="18" t="s">
        <v>239</v>
      </c>
      <c r="D154" s="25">
        <v>2314.0</v>
      </c>
      <c r="E154" s="17">
        <v>0.0</v>
      </c>
      <c r="F154" s="2">
        <v>7500.0</v>
      </c>
    </row>
    <row r="155">
      <c r="B155" s="2" t="s">
        <v>89</v>
      </c>
      <c r="C155" s="18" t="s">
        <v>241</v>
      </c>
      <c r="D155" s="25">
        <v>2313.0</v>
      </c>
      <c r="E155" s="17">
        <v>0.0</v>
      </c>
      <c r="F155" s="2">
        <v>7500.0</v>
      </c>
    </row>
    <row r="156">
      <c r="B156" s="2" t="s">
        <v>90</v>
      </c>
      <c r="C156" s="18" t="s">
        <v>241</v>
      </c>
      <c r="D156" s="51">
        <v>2313.0</v>
      </c>
      <c r="E156" s="17">
        <v>0.0</v>
      </c>
      <c r="F156" s="2">
        <v>7500.0</v>
      </c>
    </row>
    <row r="157">
      <c r="B157" s="2" t="s">
        <v>91</v>
      </c>
      <c r="C157" s="18" t="s">
        <v>249</v>
      </c>
      <c r="D157" s="25">
        <v>2304.0</v>
      </c>
      <c r="E157" s="17">
        <v>0.0</v>
      </c>
      <c r="F157" s="2">
        <v>7500.0</v>
      </c>
    </row>
    <row r="158">
      <c r="B158" s="2" t="s">
        <v>92</v>
      </c>
      <c r="C158" s="18" t="s">
        <v>239</v>
      </c>
      <c r="D158" s="25">
        <v>2314.0</v>
      </c>
      <c r="E158" s="17">
        <v>0.0</v>
      </c>
      <c r="F158" s="2">
        <v>7500.0</v>
      </c>
    </row>
    <row r="159">
      <c r="B159" s="2" t="s">
        <v>93</v>
      </c>
      <c r="C159" s="18" t="s">
        <v>243</v>
      </c>
      <c r="D159" s="25">
        <v>2324.0</v>
      </c>
      <c r="E159" s="17">
        <v>0.0</v>
      </c>
      <c r="F159" s="2">
        <v>7500.0</v>
      </c>
    </row>
    <row r="160">
      <c r="B160" s="2" t="s">
        <v>94</v>
      </c>
      <c r="C160" s="18" t="s">
        <v>253</v>
      </c>
      <c r="D160" s="34">
        <v>3851.0</v>
      </c>
      <c r="E160" s="17">
        <v>0.0</v>
      </c>
      <c r="F160" s="2">
        <v>1500.0</v>
      </c>
    </row>
    <row r="161">
      <c r="B161" s="2" t="s">
        <v>95</v>
      </c>
      <c r="C161" s="18" t="s">
        <v>254</v>
      </c>
      <c r="D161" s="25">
        <v>147.0</v>
      </c>
      <c r="E161" s="17">
        <v>0.0</v>
      </c>
      <c r="F161" s="2">
        <v>1500.0</v>
      </c>
    </row>
    <row r="162">
      <c r="B162" s="2" t="s">
        <v>96</v>
      </c>
      <c r="C162" s="18" t="s">
        <v>255</v>
      </c>
      <c r="D162" s="25">
        <v>5755.0</v>
      </c>
      <c r="E162" s="17">
        <v>0.0</v>
      </c>
      <c r="F162" s="2">
        <v>2500.0</v>
      </c>
    </row>
    <row r="163">
      <c r="B163" s="2" t="s">
        <v>97</v>
      </c>
      <c r="C163" s="18" t="s">
        <v>256</v>
      </c>
      <c r="D163" s="25">
        <v>2343.0</v>
      </c>
      <c r="E163" s="17">
        <v>0.0</v>
      </c>
      <c r="F163" s="2">
        <v>2500.0</v>
      </c>
    </row>
    <row r="164">
      <c r="B164" s="2" t="s">
        <v>98</v>
      </c>
      <c r="C164" s="18" t="s">
        <v>235</v>
      </c>
      <c r="D164" s="34">
        <v>2347.0</v>
      </c>
      <c r="E164" s="17">
        <v>0.0</v>
      </c>
      <c r="F164" s="2">
        <v>2500.0</v>
      </c>
    </row>
    <row r="165">
      <c r="B165" s="2" t="s">
        <v>99</v>
      </c>
      <c r="C165" s="18" t="s">
        <v>235</v>
      </c>
      <c r="D165" s="25">
        <v>2347.0</v>
      </c>
      <c r="E165" s="17">
        <v>0.0</v>
      </c>
      <c r="F165" s="2">
        <v>2500.0</v>
      </c>
    </row>
    <row r="166">
      <c r="B166" s="2" t="s">
        <v>100</v>
      </c>
      <c r="C166" s="18" t="s">
        <v>257</v>
      </c>
      <c r="D166" s="25" t="s">
        <v>312</v>
      </c>
      <c r="E166" s="17">
        <v>0.0</v>
      </c>
      <c r="F166" s="2">
        <v>2500.0</v>
      </c>
    </row>
    <row r="167">
      <c r="B167" s="2" t="s">
        <v>101</v>
      </c>
      <c r="C167" s="18" t="s">
        <v>258</v>
      </c>
      <c r="D167" s="25" t="s">
        <v>313</v>
      </c>
      <c r="E167" s="17">
        <v>0.0</v>
      </c>
      <c r="F167" s="2">
        <v>2500.0</v>
      </c>
    </row>
    <row r="168">
      <c r="B168" s="2" t="s">
        <v>102</v>
      </c>
      <c r="C168" s="18" t="s">
        <v>259</v>
      </c>
      <c r="D168" s="34" t="s">
        <v>314</v>
      </c>
      <c r="E168" s="17">
        <v>0.0</v>
      </c>
      <c r="F168" s="2">
        <v>2500.0</v>
      </c>
    </row>
    <row r="169">
      <c r="B169" s="2" t="s">
        <v>103</v>
      </c>
      <c r="C169" s="18" t="s">
        <v>259</v>
      </c>
      <c r="D169" s="34" t="s">
        <v>314</v>
      </c>
      <c r="E169" s="17">
        <v>0.0</v>
      </c>
      <c r="F169" s="2">
        <v>2500.0</v>
      </c>
    </row>
    <row r="170">
      <c r="B170" s="2" t="s">
        <v>102</v>
      </c>
      <c r="C170" s="18" t="s">
        <v>249</v>
      </c>
      <c r="D170" s="34">
        <v>2304.0</v>
      </c>
      <c r="E170" s="17">
        <v>0.0</v>
      </c>
      <c r="F170" s="2">
        <v>7500.0</v>
      </c>
    </row>
    <row r="171">
      <c r="B171" s="2" t="s">
        <v>103</v>
      </c>
      <c r="C171" s="18" t="s">
        <v>238</v>
      </c>
      <c r="D171" s="25">
        <v>2327.0</v>
      </c>
      <c r="E171" s="17">
        <v>0.0</v>
      </c>
      <c r="F171" s="2">
        <v>7500.0</v>
      </c>
    </row>
    <row r="172">
      <c r="B172" s="2" t="s">
        <v>156</v>
      </c>
      <c r="C172" s="18" t="s">
        <v>248</v>
      </c>
      <c r="D172" s="25">
        <v>2325.0</v>
      </c>
      <c r="E172" s="17">
        <v>0.0</v>
      </c>
      <c r="F172" s="2">
        <v>7500.0</v>
      </c>
    </row>
    <row r="173">
      <c r="B173" s="2" t="s">
        <v>157</v>
      </c>
      <c r="C173" s="18" t="s">
        <v>249</v>
      </c>
      <c r="D173" s="25">
        <v>2304.0</v>
      </c>
      <c r="E173" s="17">
        <v>0.0</v>
      </c>
      <c r="F173" s="2">
        <v>7500.0</v>
      </c>
    </row>
    <row r="174">
      <c r="B174" s="1" t="s">
        <v>200</v>
      </c>
      <c r="C174" s="18" t="s">
        <v>260</v>
      </c>
      <c r="D174" s="16">
        <v>2326.0</v>
      </c>
      <c r="E174" s="17">
        <v>5.0</v>
      </c>
      <c r="F174" s="2">
        <v>7500.0</v>
      </c>
    </row>
    <row r="175">
      <c r="B175" s="1" t="s">
        <v>200</v>
      </c>
      <c r="C175" s="18" t="s">
        <v>227</v>
      </c>
      <c r="D175" s="16">
        <v>3223.0</v>
      </c>
      <c r="E175" s="17">
        <v>10.0</v>
      </c>
      <c r="F175" s="2">
        <v>1500.0</v>
      </c>
    </row>
    <row r="176">
      <c r="B176" s="1" t="s">
        <v>200</v>
      </c>
      <c r="C176" s="20" t="s">
        <v>221</v>
      </c>
      <c r="D176" s="16" t="s">
        <v>298</v>
      </c>
      <c r="E176" s="17">
        <v>1.0</v>
      </c>
      <c r="F176" s="2">
        <v>1500.0</v>
      </c>
    </row>
    <row r="177">
      <c r="B177" s="1" t="s">
        <v>200</v>
      </c>
      <c r="C177" s="18" t="s">
        <v>222</v>
      </c>
      <c r="D177" s="16" t="s">
        <v>299</v>
      </c>
      <c r="E177" s="17">
        <v>1.0</v>
      </c>
      <c r="F177" s="2">
        <v>500.0</v>
      </c>
    </row>
    <row r="178">
      <c r="B178" s="1" t="s">
        <v>200</v>
      </c>
      <c r="C178" s="20" t="s">
        <v>223</v>
      </c>
      <c r="D178" s="16" t="s">
        <v>300</v>
      </c>
      <c r="E178" s="17">
        <v>1.0</v>
      </c>
      <c r="F178" s="2">
        <v>1500.0</v>
      </c>
    </row>
    <row r="179">
      <c r="B179" s="1" t="s">
        <v>200</v>
      </c>
      <c r="C179" s="18" t="s">
        <v>224</v>
      </c>
      <c r="D179" s="16" t="s">
        <v>301</v>
      </c>
      <c r="E179" s="17">
        <v>2.0</v>
      </c>
      <c r="F179" s="2">
        <v>1000.0</v>
      </c>
    </row>
    <row r="180">
      <c r="B180" s="1" t="s">
        <v>200</v>
      </c>
      <c r="C180" s="15" t="s">
        <v>225</v>
      </c>
      <c r="D180" s="16" t="s">
        <v>302</v>
      </c>
      <c r="E180" s="17">
        <v>2.0</v>
      </c>
      <c r="F180" s="2">
        <v>2500.0</v>
      </c>
    </row>
    <row r="181">
      <c r="B181" s="1" t="s">
        <v>200</v>
      </c>
      <c r="C181" s="15" t="s">
        <v>38</v>
      </c>
      <c r="D181" s="16" t="s">
        <v>305</v>
      </c>
      <c r="E181" s="17">
        <v>2.0</v>
      </c>
      <c r="F181" s="2">
        <v>1000.0</v>
      </c>
    </row>
    <row r="182">
      <c r="B182" s="1" t="s">
        <v>200</v>
      </c>
      <c r="C182" s="15" t="s">
        <v>39</v>
      </c>
      <c r="D182" s="16" t="s">
        <v>308</v>
      </c>
      <c r="E182" s="17">
        <v>1.0</v>
      </c>
      <c r="F182" s="2">
        <v>1000.0</v>
      </c>
    </row>
    <row r="183">
      <c r="B183" s="1" t="s">
        <v>200</v>
      </c>
      <c r="C183" s="15" t="s">
        <v>261</v>
      </c>
      <c r="D183" s="16" t="s">
        <v>315</v>
      </c>
      <c r="E183" s="17">
        <v>2.0</v>
      </c>
      <c r="F183" s="2">
        <v>500.0</v>
      </c>
    </row>
    <row r="184">
      <c r="B184" s="1" t="s">
        <v>202</v>
      </c>
      <c r="C184" s="15" t="s">
        <v>236</v>
      </c>
      <c r="D184" s="16">
        <v>2308.0</v>
      </c>
      <c r="E184" s="17">
        <v>3.0</v>
      </c>
      <c r="F184" s="2">
        <v>7500.0</v>
      </c>
    </row>
    <row r="185">
      <c r="B185" s="1" t="s">
        <v>202</v>
      </c>
      <c r="C185" s="15" t="s">
        <v>259</v>
      </c>
      <c r="D185" s="16" t="s">
        <v>316</v>
      </c>
      <c r="E185" s="17">
        <v>4.0</v>
      </c>
      <c r="F185" s="2">
        <v>2500.0</v>
      </c>
    </row>
    <row r="186">
      <c r="B186" s="1" t="s">
        <v>202</v>
      </c>
      <c r="C186" s="15" t="s">
        <v>38</v>
      </c>
      <c r="D186" s="16" t="s">
        <v>305</v>
      </c>
      <c r="E186" s="17">
        <v>3.0</v>
      </c>
      <c r="F186" s="2">
        <v>1000.0</v>
      </c>
    </row>
    <row r="187">
      <c r="B187" s="1" t="s">
        <v>202</v>
      </c>
      <c r="C187" s="15" t="s">
        <v>262</v>
      </c>
      <c r="D187" s="16" t="s">
        <v>11</v>
      </c>
      <c r="E187" s="17">
        <v>2.0</v>
      </c>
      <c r="F187" s="2">
        <v>1000.0</v>
      </c>
    </row>
    <row r="188">
      <c r="B188" s="1" t="s">
        <v>317</v>
      </c>
      <c r="C188" s="15" t="s">
        <v>248</v>
      </c>
      <c r="D188" s="16">
        <v>2325.0</v>
      </c>
      <c r="E188" s="17">
        <v>3.0</v>
      </c>
      <c r="F188" s="2">
        <v>7500.0</v>
      </c>
    </row>
    <row r="189">
      <c r="B189" s="1" t="s">
        <v>317</v>
      </c>
      <c r="C189" s="15" t="s">
        <v>226</v>
      </c>
      <c r="D189" s="16">
        <v>2746.0</v>
      </c>
      <c r="E189" s="17">
        <v>12.0</v>
      </c>
      <c r="F189" s="2">
        <v>2000.0</v>
      </c>
    </row>
    <row r="190">
      <c r="B190" s="1" t="s">
        <v>317</v>
      </c>
      <c r="C190" s="15" t="s">
        <v>263</v>
      </c>
      <c r="D190" s="16" t="s">
        <v>315</v>
      </c>
      <c r="E190" s="17">
        <v>5.0</v>
      </c>
      <c r="F190" s="2">
        <v>500.0</v>
      </c>
    </row>
    <row r="191">
      <c r="B191" s="1" t="s">
        <v>206</v>
      </c>
      <c r="C191" s="15" t="s">
        <v>243</v>
      </c>
      <c r="D191" s="16">
        <v>2324.0</v>
      </c>
      <c r="E191" s="17">
        <v>3.0</v>
      </c>
      <c r="F191" s="2">
        <v>7500.0</v>
      </c>
    </row>
    <row r="192">
      <c r="B192" s="1" t="s">
        <v>206</v>
      </c>
      <c r="C192" s="15" t="s">
        <v>231</v>
      </c>
      <c r="D192" s="16">
        <v>5667.0</v>
      </c>
      <c r="E192" s="17">
        <v>8.0</v>
      </c>
      <c r="F192" s="2">
        <v>1500.0</v>
      </c>
    </row>
    <row r="193">
      <c r="B193" s="1" t="s">
        <v>206</v>
      </c>
      <c r="C193" s="20" t="s">
        <v>221</v>
      </c>
      <c r="D193" s="16" t="s">
        <v>298</v>
      </c>
      <c r="E193" s="17">
        <v>2.0</v>
      </c>
      <c r="F193" s="2">
        <v>1500.0</v>
      </c>
    </row>
    <row r="194">
      <c r="B194" s="1" t="s">
        <v>206</v>
      </c>
      <c r="C194" s="18" t="s">
        <v>222</v>
      </c>
      <c r="D194" s="16" t="s">
        <v>299</v>
      </c>
      <c r="E194" s="17">
        <v>2.0</v>
      </c>
      <c r="F194" s="2">
        <v>500.0</v>
      </c>
    </row>
    <row r="195">
      <c r="B195" s="1" t="s">
        <v>206</v>
      </c>
      <c r="C195" s="20" t="s">
        <v>223</v>
      </c>
      <c r="D195" s="16" t="s">
        <v>300</v>
      </c>
      <c r="E195" s="17">
        <v>1.0</v>
      </c>
      <c r="F195" s="2">
        <v>1500.0</v>
      </c>
    </row>
    <row r="196">
      <c r="B196" s="1" t="s">
        <v>206</v>
      </c>
      <c r="C196" s="18" t="s">
        <v>224</v>
      </c>
      <c r="D196" s="16" t="s">
        <v>301</v>
      </c>
      <c r="E196" s="17">
        <v>4.0</v>
      </c>
      <c r="F196" s="2">
        <v>1000.0</v>
      </c>
    </row>
    <row r="197">
      <c r="B197" s="1" t="s">
        <v>206</v>
      </c>
      <c r="C197" s="15" t="s">
        <v>225</v>
      </c>
      <c r="D197" s="16" t="s">
        <v>302</v>
      </c>
      <c r="E197" s="17">
        <v>2.0</v>
      </c>
      <c r="F197" s="2">
        <v>2500.0</v>
      </c>
    </row>
    <row r="198">
      <c r="B198" s="1" t="s">
        <v>206</v>
      </c>
      <c r="C198" s="15" t="s">
        <v>39</v>
      </c>
      <c r="D198" s="16" t="s">
        <v>308</v>
      </c>
      <c r="E198" s="17">
        <v>2.0</v>
      </c>
      <c r="F198" s="2">
        <v>1000.0</v>
      </c>
    </row>
    <row r="199">
      <c r="B199" s="1" t="s">
        <v>206</v>
      </c>
      <c r="C199" s="15" t="s">
        <v>262</v>
      </c>
      <c r="D199" s="16" t="s">
        <v>11</v>
      </c>
      <c r="E199" s="17">
        <v>1.0</v>
      </c>
      <c r="F199" s="2">
        <v>1000.0</v>
      </c>
    </row>
    <row r="200">
      <c r="B200" s="1" t="s">
        <v>206</v>
      </c>
      <c r="C200" s="15" t="s">
        <v>264</v>
      </c>
      <c r="D200" s="16" t="s">
        <v>318</v>
      </c>
      <c r="E200" s="17">
        <v>5.0</v>
      </c>
      <c r="F200" s="2">
        <v>600.0</v>
      </c>
    </row>
    <row r="201">
      <c r="B201" s="1" t="s">
        <v>208</v>
      </c>
      <c r="C201" s="15" t="s">
        <v>239</v>
      </c>
      <c r="D201" s="16">
        <v>2312.0</v>
      </c>
      <c r="E201" s="17">
        <v>5.0</v>
      </c>
      <c r="F201" s="2">
        <v>7500.0</v>
      </c>
    </row>
    <row r="202">
      <c r="B202" s="1" t="s">
        <v>208</v>
      </c>
      <c r="C202" s="15" t="s">
        <v>227</v>
      </c>
      <c r="D202" s="16">
        <v>3223.0</v>
      </c>
      <c r="E202" s="17">
        <v>20.0</v>
      </c>
      <c r="F202" s="2">
        <v>1500.0</v>
      </c>
    </row>
    <row r="203">
      <c r="B203" s="1" t="s">
        <v>208</v>
      </c>
      <c r="C203" s="20" t="s">
        <v>221</v>
      </c>
      <c r="D203" s="16" t="s">
        <v>298</v>
      </c>
      <c r="E203" s="17">
        <v>2.0</v>
      </c>
      <c r="F203" s="2">
        <v>1500.0</v>
      </c>
    </row>
    <row r="204">
      <c r="B204" s="1" t="s">
        <v>208</v>
      </c>
      <c r="C204" s="18" t="s">
        <v>222</v>
      </c>
      <c r="D204" s="16" t="s">
        <v>299</v>
      </c>
      <c r="E204" s="17">
        <v>2.0</v>
      </c>
      <c r="F204" s="2">
        <v>500.0</v>
      </c>
    </row>
    <row r="205">
      <c r="B205" s="1" t="s">
        <v>208</v>
      </c>
      <c r="C205" s="20" t="s">
        <v>223</v>
      </c>
      <c r="D205" s="16" t="s">
        <v>300</v>
      </c>
      <c r="E205" s="17">
        <v>1.0</v>
      </c>
      <c r="F205" s="2">
        <v>1500.0</v>
      </c>
    </row>
    <row r="206">
      <c r="B206" s="1" t="s">
        <v>208</v>
      </c>
      <c r="C206" s="18" t="s">
        <v>224</v>
      </c>
      <c r="D206" s="16" t="s">
        <v>301</v>
      </c>
      <c r="E206" s="17">
        <v>4.0</v>
      </c>
      <c r="F206" s="2">
        <v>1000.0</v>
      </c>
    </row>
    <row r="207">
      <c r="B207" s="1" t="s">
        <v>208</v>
      </c>
      <c r="C207" s="15" t="s">
        <v>225</v>
      </c>
      <c r="D207" s="16" t="s">
        <v>302</v>
      </c>
      <c r="E207" s="17">
        <v>2.0</v>
      </c>
      <c r="F207" s="2">
        <v>2500.0</v>
      </c>
    </row>
    <row r="208">
      <c r="B208" s="1" t="s">
        <v>208</v>
      </c>
      <c r="C208" s="15" t="s">
        <v>39</v>
      </c>
      <c r="D208" s="16" t="s">
        <v>308</v>
      </c>
      <c r="E208" s="17">
        <v>1.0</v>
      </c>
      <c r="F208" s="2">
        <v>1000.0</v>
      </c>
    </row>
    <row r="209">
      <c r="B209" s="1" t="s">
        <v>208</v>
      </c>
      <c r="C209" s="15" t="s">
        <v>38</v>
      </c>
      <c r="D209" s="16" t="s">
        <v>305</v>
      </c>
      <c r="E209" s="17">
        <v>2.0</v>
      </c>
      <c r="F209" s="2">
        <v>1000.0</v>
      </c>
    </row>
    <row r="210">
      <c r="B210" s="1" t="s">
        <v>208</v>
      </c>
      <c r="C210" s="15" t="s">
        <v>237</v>
      </c>
      <c r="D210" s="16" t="s">
        <v>319</v>
      </c>
      <c r="E210" s="17">
        <v>5.0</v>
      </c>
      <c r="F210" s="2">
        <v>600.0</v>
      </c>
    </row>
    <row r="211">
      <c r="B211" s="1" t="s">
        <v>208</v>
      </c>
      <c r="C211" s="15" t="s">
        <v>34</v>
      </c>
      <c r="D211" s="16" t="s">
        <v>315</v>
      </c>
      <c r="E211" s="17">
        <v>2.0</v>
      </c>
      <c r="F211" s="2">
        <v>500.0</v>
      </c>
    </row>
    <row r="212">
      <c r="B212" s="2" t="s">
        <v>171</v>
      </c>
      <c r="C212" s="20" t="s">
        <v>126</v>
      </c>
      <c r="D212" s="16" t="s">
        <v>11</v>
      </c>
      <c r="E212" s="17">
        <v>2.0</v>
      </c>
      <c r="F212" s="2">
        <v>1000.0</v>
      </c>
    </row>
    <row r="213">
      <c r="B213" s="2" t="s">
        <v>171</v>
      </c>
      <c r="C213" s="20" t="s">
        <v>172</v>
      </c>
      <c r="D213" s="16" t="s">
        <v>320</v>
      </c>
      <c r="E213" s="17">
        <v>4.0</v>
      </c>
      <c r="F213" s="2">
        <v>500.0</v>
      </c>
    </row>
    <row r="214">
      <c r="B214" s="2" t="s">
        <v>174</v>
      </c>
      <c r="C214" s="18" t="s">
        <v>217</v>
      </c>
      <c r="D214" s="16">
        <v>6167.0</v>
      </c>
      <c r="E214" s="17">
        <v>6.0</v>
      </c>
      <c r="F214" s="2">
        <v>2500.0</v>
      </c>
    </row>
    <row r="215">
      <c r="B215" s="2" t="s">
        <v>174</v>
      </c>
      <c r="C215" s="18" t="s">
        <v>240</v>
      </c>
      <c r="D215" s="16">
        <v>2307.0</v>
      </c>
      <c r="E215" s="17">
        <v>5.0</v>
      </c>
      <c r="F215" s="2">
        <v>7500.0</v>
      </c>
    </row>
    <row r="216">
      <c r="B216" s="2" t="s">
        <v>174</v>
      </c>
      <c r="C216" s="20" t="s">
        <v>221</v>
      </c>
      <c r="D216" s="16" t="s">
        <v>298</v>
      </c>
      <c r="E216" s="17">
        <v>1.0</v>
      </c>
      <c r="F216" s="2">
        <v>1500.0</v>
      </c>
    </row>
    <row r="217">
      <c r="B217" s="2" t="s">
        <v>174</v>
      </c>
      <c r="C217" s="18" t="s">
        <v>222</v>
      </c>
      <c r="D217" s="16" t="s">
        <v>299</v>
      </c>
      <c r="E217" s="17">
        <v>1.0</v>
      </c>
      <c r="F217" s="2">
        <v>500.0</v>
      </c>
    </row>
    <row r="218">
      <c r="B218" s="2" t="s">
        <v>174</v>
      </c>
      <c r="C218" s="20" t="s">
        <v>223</v>
      </c>
      <c r="D218" s="16" t="s">
        <v>300</v>
      </c>
      <c r="E218" s="17">
        <v>1.0</v>
      </c>
      <c r="F218" s="2">
        <v>1500.0</v>
      </c>
    </row>
    <row r="219">
      <c r="B219" s="2" t="s">
        <v>174</v>
      </c>
      <c r="C219" s="18" t="s">
        <v>224</v>
      </c>
      <c r="D219" s="16" t="s">
        <v>301</v>
      </c>
      <c r="E219" s="17">
        <v>2.0</v>
      </c>
      <c r="F219" s="2">
        <v>1000.0</v>
      </c>
    </row>
    <row r="220">
      <c r="B220" s="1" t="s">
        <v>174</v>
      </c>
      <c r="C220" s="15" t="s">
        <v>225</v>
      </c>
      <c r="D220" s="16" t="s">
        <v>302</v>
      </c>
      <c r="E220" s="17">
        <v>3.0</v>
      </c>
      <c r="F220" s="2">
        <v>2500.0</v>
      </c>
    </row>
    <row r="221">
      <c r="B221" s="2" t="s">
        <v>174</v>
      </c>
      <c r="C221" s="20" t="s">
        <v>176</v>
      </c>
      <c r="D221" s="16" t="s">
        <v>11</v>
      </c>
      <c r="E221" s="17">
        <v>2.0</v>
      </c>
      <c r="F221" s="2">
        <v>1000.0</v>
      </c>
    </row>
    <row r="222">
      <c r="B222" s="2" t="s">
        <v>174</v>
      </c>
      <c r="C222" s="20" t="s">
        <v>47</v>
      </c>
      <c r="D222" s="16" t="s">
        <v>307</v>
      </c>
      <c r="E222" s="17">
        <v>2.0</v>
      </c>
      <c r="F222" s="2">
        <v>500.0</v>
      </c>
    </row>
    <row r="223">
      <c r="B223" s="2" t="s">
        <v>177</v>
      </c>
      <c r="C223" s="15" t="s">
        <v>243</v>
      </c>
      <c r="D223" s="16">
        <v>2324.0</v>
      </c>
      <c r="E223" s="17">
        <v>2.0</v>
      </c>
      <c r="F223" s="2">
        <v>7500.0</v>
      </c>
    </row>
    <row r="224">
      <c r="B224" s="2" t="s">
        <v>177</v>
      </c>
      <c r="C224" s="15" t="s">
        <v>265</v>
      </c>
      <c r="D224" s="16">
        <v>5484.0</v>
      </c>
      <c r="E224" s="17">
        <v>12.0</v>
      </c>
      <c r="F224" s="2">
        <v>1500.0</v>
      </c>
    </row>
    <row r="225">
      <c r="B225" s="2" t="s">
        <v>177</v>
      </c>
      <c r="C225" s="20" t="s">
        <v>221</v>
      </c>
      <c r="D225" s="16" t="s">
        <v>298</v>
      </c>
      <c r="E225" s="17">
        <v>2.0</v>
      </c>
      <c r="F225" s="2">
        <v>1500.0</v>
      </c>
    </row>
    <row r="226">
      <c r="B226" s="2" t="s">
        <v>177</v>
      </c>
      <c r="C226" s="18" t="s">
        <v>222</v>
      </c>
      <c r="D226" s="16" t="s">
        <v>299</v>
      </c>
      <c r="E226" s="17">
        <v>2.0</v>
      </c>
      <c r="F226" s="2">
        <v>500.0</v>
      </c>
    </row>
    <row r="227">
      <c r="B227" s="2" t="s">
        <v>177</v>
      </c>
      <c r="C227" s="20" t="s">
        <v>223</v>
      </c>
      <c r="D227" s="16" t="s">
        <v>300</v>
      </c>
      <c r="E227" s="17">
        <v>1.0</v>
      </c>
      <c r="F227" s="2">
        <v>1500.0</v>
      </c>
    </row>
    <row r="228">
      <c r="B228" s="2" t="s">
        <v>177</v>
      </c>
      <c r="C228" s="18" t="s">
        <v>224</v>
      </c>
      <c r="D228" s="16" t="s">
        <v>301</v>
      </c>
      <c r="E228" s="17">
        <v>4.0</v>
      </c>
      <c r="F228" s="2">
        <v>1000.0</v>
      </c>
    </row>
    <row r="229">
      <c r="B229" s="2" t="s">
        <v>177</v>
      </c>
      <c r="C229" s="15" t="s">
        <v>225</v>
      </c>
      <c r="D229" s="16" t="s">
        <v>302</v>
      </c>
      <c r="E229" s="17">
        <v>2.0</v>
      </c>
      <c r="F229" s="2">
        <v>2500.0</v>
      </c>
    </row>
    <row r="230">
      <c r="B230" s="2" t="s">
        <v>177</v>
      </c>
      <c r="C230" s="15" t="s">
        <v>126</v>
      </c>
      <c r="D230" s="16" t="s">
        <v>11</v>
      </c>
      <c r="E230" s="17">
        <v>2.0</v>
      </c>
      <c r="F230" s="2">
        <v>1000.0</v>
      </c>
    </row>
    <row r="231">
      <c r="B231" s="2" t="s">
        <v>177</v>
      </c>
      <c r="C231" s="15" t="s">
        <v>266</v>
      </c>
      <c r="D231" s="16" t="s">
        <v>308</v>
      </c>
      <c r="E231" s="17">
        <v>1.0</v>
      </c>
      <c r="F231" s="2">
        <v>1000.0</v>
      </c>
    </row>
    <row r="232">
      <c r="B232" s="2" t="s">
        <v>179</v>
      </c>
      <c r="C232" s="18" t="s">
        <v>258</v>
      </c>
      <c r="D232" s="16" t="s">
        <v>313</v>
      </c>
      <c r="E232" s="17">
        <v>12.0</v>
      </c>
      <c r="F232" s="2">
        <v>2500.0</v>
      </c>
    </row>
    <row r="233">
      <c r="B233" s="2" t="s">
        <v>179</v>
      </c>
      <c r="C233" s="18" t="s">
        <v>248</v>
      </c>
      <c r="D233" s="16">
        <v>2325.0</v>
      </c>
      <c r="E233" s="17">
        <v>2.0</v>
      </c>
      <c r="F233" s="2">
        <v>7500.0</v>
      </c>
    </row>
    <row r="234">
      <c r="B234" s="2" t="s">
        <v>179</v>
      </c>
      <c r="C234" s="18" t="s">
        <v>56</v>
      </c>
      <c r="D234" s="16" t="s">
        <v>305</v>
      </c>
      <c r="E234" s="17">
        <v>2.0</v>
      </c>
      <c r="F234" s="2">
        <v>1000.0</v>
      </c>
    </row>
    <row r="235">
      <c r="B235" s="2" t="s">
        <v>179</v>
      </c>
      <c r="C235" s="20" t="s">
        <v>126</v>
      </c>
      <c r="D235" s="16" t="s">
        <v>11</v>
      </c>
      <c r="E235" s="17">
        <v>1.0</v>
      </c>
      <c r="F235" s="2">
        <v>1000.0</v>
      </c>
    </row>
    <row r="236">
      <c r="B236" s="1" t="s">
        <v>179</v>
      </c>
      <c r="C236" s="20" t="s">
        <v>172</v>
      </c>
      <c r="D236" s="16" t="s">
        <v>320</v>
      </c>
      <c r="E236" s="17">
        <v>2.0</v>
      </c>
      <c r="F236" s="2">
        <v>500.0</v>
      </c>
    </row>
    <row r="237">
      <c r="B237" s="2" t="s">
        <v>180</v>
      </c>
      <c r="C237" s="15" t="s">
        <v>251</v>
      </c>
      <c r="D237" s="16">
        <v>2312.0</v>
      </c>
      <c r="E237" s="17">
        <v>3.0</v>
      </c>
      <c r="F237" s="2">
        <v>7500.0</v>
      </c>
    </row>
    <row r="238">
      <c r="B238" s="2" t="s">
        <v>180</v>
      </c>
      <c r="C238" s="15" t="s">
        <v>267</v>
      </c>
      <c r="D238" s="16">
        <v>3026.0</v>
      </c>
      <c r="E238" s="17">
        <v>8.0</v>
      </c>
      <c r="F238" s="2">
        <v>1500.0</v>
      </c>
    </row>
    <row r="239">
      <c r="B239" s="2" t="s">
        <v>180</v>
      </c>
      <c r="C239" s="15" t="s">
        <v>268</v>
      </c>
      <c r="D239" s="16" t="s">
        <v>309</v>
      </c>
      <c r="E239" s="17">
        <v>2.0</v>
      </c>
      <c r="F239" s="2">
        <v>600.0</v>
      </c>
    </row>
    <row r="240">
      <c r="B240" s="2" t="s">
        <v>180</v>
      </c>
      <c r="C240" s="15" t="s">
        <v>269</v>
      </c>
      <c r="D240" s="16" t="s">
        <v>315</v>
      </c>
      <c r="E240" s="17">
        <v>2.0</v>
      </c>
      <c r="F240" s="2">
        <v>500.0</v>
      </c>
    </row>
    <row r="241">
      <c r="B241" s="2" t="s">
        <v>182</v>
      </c>
      <c r="C241" s="18" t="s">
        <v>265</v>
      </c>
      <c r="D241" s="16">
        <v>5484.0</v>
      </c>
      <c r="E241" s="17">
        <v>0.0</v>
      </c>
      <c r="F241" s="2">
        <v>1500.0</v>
      </c>
    </row>
    <row r="242">
      <c r="B242" s="2" t="s">
        <v>182</v>
      </c>
      <c r="C242" s="18" t="s">
        <v>224</v>
      </c>
      <c r="D242" s="16" t="s">
        <v>301</v>
      </c>
      <c r="E242" s="17">
        <v>2.0</v>
      </c>
      <c r="F242" s="2">
        <v>1000.0</v>
      </c>
    </row>
    <row r="243">
      <c r="B243" s="1" t="s">
        <v>182</v>
      </c>
      <c r="C243" s="15" t="s">
        <v>225</v>
      </c>
      <c r="D243" s="16" t="s">
        <v>302</v>
      </c>
      <c r="E243" s="17">
        <v>2.0</v>
      </c>
      <c r="F243" s="2">
        <v>2500.0</v>
      </c>
    </row>
    <row r="244">
      <c r="B244" s="2" t="s">
        <v>182</v>
      </c>
      <c r="C244" s="20" t="s">
        <v>270</v>
      </c>
      <c r="D244" s="16" t="s">
        <v>321</v>
      </c>
      <c r="E244" s="17">
        <v>2.0</v>
      </c>
      <c r="F244" s="2">
        <v>500.0</v>
      </c>
    </row>
    <row r="245">
      <c r="B245" s="2" t="s">
        <v>184</v>
      </c>
      <c r="C245" s="18" t="s">
        <v>239</v>
      </c>
      <c r="D245" s="16">
        <v>2314.0</v>
      </c>
      <c r="E245" s="17">
        <v>1.0</v>
      </c>
      <c r="F245" s="2">
        <v>7500.0</v>
      </c>
    </row>
    <row r="246">
      <c r="B246" s="2" t="s">
        <v>184</v>
      </c>
      <c r="C246" s="18" t="s">
        <v>271</v>
      </c>
      <c r="D246" s="16">
        <v>3856.0</v>
      </c>
      <c r="E246" s="17">
        <v>10.0</v>
      </c>
      <c r="F246" s="2">
        <v>1500.0</v>
      </c>
    </row>
    <row r="247">
      <c r="B247" s="2" t="s">
        <v>184</v>
      </c>
      <c r="C247" s="20" t="s">
        <v>34</v>
      </c>
      <c r="D247" s="16" t="s">
        <v>304</v>
      </c>
      <c r="E247" s="17">
        <v>2.0</v>
      </c>
      <c r="F247" s="2">
        <v>500.0</v>
      </c>
    </row>
    <row r="248">
      <c r="B248" s="2" t="s">
        <v>186</v>
      </c>
      <c r="C248" s="18" t="s">
        <v>251</v>
      </c>
      <c r="D248" s="16">
        <v>2312.0</v>
      </c>
      <c r="E248" s="17">
        <v>5.0</v>
      </c>
      <c r="F248" s="2">
        <v>7500.0</v>
      </c>
    </row>
    <row r="249">
      <c r="B249" s="2" t="s">
        <v>186</v>
      </c>
      <c r="C249" s="18" t="s">
        <v>272</v>
      </c>
      <c r="D249" s="16">
        <v>4073.0</v>
      </c>
      <c r="E249" s="17">
        <v>7.0</v>
      </c>
      <c r="F249" s="2">
        <v>1500.0</v>
      </c>
    </row>
    <row r="250">
      <c r="B250" s="2" t="s">
        <v>186</v>
      </c>
      <c r="C250" s="20" t="s">
        <v>221</v>
      </c>
      <c r="D250" s="16" t="s">
        <v>298</v>
      </c>
      <c r="E250" s="17">
        <v>1.0</v>
      </c>
      <c r="F250" s="2">
        <v>1500.0</v>
      </c>
    </row>
    <row r="251">
      <c r="B251" s="2" t="s">
        <v>186</v>
      </c>
      <c r="C251" s="18" t="s">
        <v>222</v>
      </c>
      <c r="D251" s="16" t="s">
        <v>299</v>
      </c>
      <c r="E251" s="17">
        <v>1.0</v>
      </c>
      <c r="F251" s="2">
        <v>500.0</v>
      </c>
    </row>
    <row r="252">
      <c r="B252" s="2" t="s">
        <v>186</v>
      </c>
      <c r="C252" s="20" t="s">
        <v>223</v>
      </c>
      <c r="D252" s="16" t="s">
        <v>300</v>
      </c>
      <c r="E252" s="17">
        <v>1.0</v>
      </c>
      <c r="F252" s="2">
        <v>1500.0</v>
      </c>
    </row>
    <row r="253">
      <c r="B253" s="2" t="s">
        <v>186</v>
      </c>
      <c r="C253" s="18" t="s">
        <v>224</v>
      </c>
      <c r="D253" s="16" t="s">
        <v>301</v>
      </c>
      <c r="E253" s="17">
        <v>2.0</v>
      </c>
      <c r="F253" s="2">
        <v>1000.0</v>
      </c>
    </row>
    <row r="254">
      <c r="B254" s="1" t="s">
        <v>186</v>
      </c>
      <c r="C254" s="15" t="s">
        <v>225</v>
      </c>
      <c r="D254" s="16" t="s">
        <v>302</v>
      </c>
      <c r="E254" s="17">
        <v>2.0</v>
      </c>
      <c r="F254" s="2">
        <v>2500.0</v>
      </c>
    </row>
    <row r="255">
      <c r="B255" s="2" t="s">
        <v>186</v>
      </c>
      <c r="C255" s="20" t="s">
        <v>39</v>
      </c>
      <c r="D255" s="16" t="s">
        <v>308</v>
      </c>
      <c r="E255" s="17">
        <v>1.0</v>
      </c>
      <c r="F255" s="2">
        <v>1000.0</v>
      </c>
    </row>
    <row r="256">
      <c r="B256" s="2" t="s">
        <v>186</v>
      </c>
      <c r="C256" s="20" t="s">
        <v>61</v>
      </c>
      <c r="D256" s="16" t="s">
        <v>11</v>
      </c>
      <c r="E256" s="17">
        <v>2.0</v>
      </c>
      <c r="F256" s="2">
        <v>1000.0</v>
      </c>
    </row>
    <row r="257">
      <c r="B257" s="2" t="s">
        <v>186</v>
      </c>
      <c r="C257" s="20" t="s">
        <v>119</v>
      </c>
      <c r="D257" s="16" t="s">
        <v>322</v>
      </c>
      <c r="E257" s="17">
        <v>2.0</v>
      </c>
      <c r="F257" s="2">
        <v>500.0</v>
      </c>
    </row>
    <row r="258">
      <c r="B258" s="1" t="s">
        <v>186</v>
      </c>
      <c r="C258" s="15" t="s">
        <v>237</v>
      </c>
      <c r="D258" s="16" t="s">
        <v>309</v>
      </c>
      <c r="E258" s="17">
        <v>6.0</v>
      </c>
      <c r="F258" s="2">
        <v>600.0</v>
      </c>
    </row>
    <row r="259">
      <c r="B259" s="2" t="s">
        <v>187</v>
      </c>
      <c r="C259" s="15" t="s">
        <v>243</v>
      </c>
      <c r="D259" s="16">
        <v>2324.0</v>
      </c>
      <c r="E259" s="17">
        <v>2.0</v>
      </c>
      <c r="F259" s="2">
        <v>7500.0</v>
      </c>
    </row>
    <row r="260">
      <c r="B260" s="2" t="s">
        <v>187</v>
      </c>
      <c r="C260" s="15" t="s">
        <v>268</v>
      </c>
      <c r="D260" s="16" t="s">
        <v>309</v>
      </c>
      <c r="E260" s="17">
        <v>5.0</v>
      </c>
      <c r="F260" s="2">
        <v>600.0</v>
      </c>
    </row>
    <row r="261">
      <c r="B261" s="2" t="s">
        <v>187</v>
      </c>
      <c r="C261" s="15" t="s">
        <v>238</v>
      </c>
      <c r="D261" s="16">
        <v>2327.0</v>
      </c>
      <c r="E261" s="17">
        <v>5.0</v>
      </c>
      <c r="F261" s="2">
        <v>7500.0</v>
      </c>
    </row>
    <row r="262">
      <c r="B262" s="2" t="s">
        <v>187</v>
      </c>
      <c r="C262" s="15" t="s">
        <v>273</v>
      </c>
      <c r="D262" s="16" t="s">
        <v>315</v>
      </c>
      <c r="E262" s="17">
        <v>2.0</v>
      </c>
      <c r="F262" s="2">
        <v>500.0</v>
      </c>
    </row>
    <row r="263">
      <c r="B263" s="2" t="s">
        <v>188</v>
      </c>
      <c r="C263" s="15" t="s">
        <v>238</v>
      </c>
      <c r="D263" s="16">
        <v>2327.0</v>
      </c>
      <c r="E263" s="17">
        <v>2.0</v>
      </c>
      <c r="F263" s="2">
        <v>7500.0</v>
      </c>
    </row>
    <row r="264">
      <c r="B264" s="2" t="s">
        <v>188</v>
      </c>
      <c r="C264" s="15" t="s">
        <v>274</v>
      </c>
      <c r="D264" s="16">
        <v>5514.0</v>
      </c>
      <c r="E264" s="17">
        <v>12.0</v>
      </c>
      <c r="F264" s="2">
        <v>1500.0</v>
      </c>
    </row>
    <row r="265">
      <c r="B265" s="2" t="s">
        <v>188</v>
      </c>
      <c r="C265" s="20" t="s">
        <v>221</v>
      </c>
      <c r="D265" s="16" t="s">
        <v>298</v>
      </c>
      <c r="E265" s="17">
        <v>1.0</v>
      </c>
      <c r="F265" s="2">
        <v>1500.0</v>
      </c>
    </row>
    <row r="266">
      <c r="B266" s="2" t="s">
        <v>188</v>
      </c>
      <c r="C266" s="18" t="s">
        <v>222</v>
      </c>
      <c r="D266" s="16" t="s">
        <v>299</v>
      </c>
      <c r="E266" s="17">
        <v>1.0</v>
      </c>
      <c r="F266" s="2">
        <v>500.0</v>
      </c>
    </row>
    <row r="267">
      <c r="B267" s="2" t="s">
        <v>188</v>
      </c>
      <c r="C267" s="20" t="s">
        <v>223</v>
      </c>
      <c r="D267" s="16" t="s">
        <v>300</v>
      </c>
      <c r="E267" s="17">
        <v>1.0</v>
      </c>
      <c r="F267" s="2">
        <v>1500.0</v>
      </c>
    </row>
    <row r="268">
      <c r="B268" s="2" t="s">
        <v>188</v>
      </c>
      <c r="C268" s="18" t="s">
        <v>224</v>
      </c>
      <c r="D268" s="16" t="s">
        <v>301</v>
      </c>
      <c r="E268" s="17">
        <v>3.0</v>
      </c>
      <c r="F268" s="2">
        <v>1000.0</v>
      </c>
    </row>
    <row r="269">
      <c r="B269" s="2" t="s">
        <v>188</v>
      </c>
      <c r="C269" s="15" t="s">
        <v>225</v>
      </c>
      <c r="D269" s="16" t="s">
        <v>302</v>
      </c>
      <c r="E269" s="17">
        <v>2.0</v>
      </c>
      <c r="F269" s="2">
        <v>2500.0</v>
      </c>
    </row>
    <row r="270">
      <c r="B270" s="2" t="s">
        <v>189</v>
      </c>
      <c r="C270" s="15" t="s">
        <v>249</v>
      </c>
      <c r="D270" s="25">
        <v>2304.0</v>
      </c>
      <c r="E270" s="17">
        <v>3.0</v>
      </c>
      <c r="F270" s="2">
        <v>7500.0</v>
      </c>
    </row>
    <row r="271">
      <c r="B271" s="2" t="s">
        <v>189</v>
      </c>
      <c r="C271" s="15" t="s">
        <v>242</v>
      </c>
      <c r="D271" s="16">
        <v>2305.0</v>
      </c>
      <c r="E271" s="17">
        <v>2.0</v>
      </c>
      <c r="F271" s="2">
        <v>7500.0</v>
      </c>
    </row>
    <row r="272">
      <c r="B272" s="2" t="s">
        <v>189</v>
      </c>
      <c r="C272" s="20" t="s">
        <v>221</v>
      </c>
      <c r="D272" s="16" t="s">
        <v>298</v>
      </c>
      <c r="E272" s="17">
        <v>3.0</v>
      </c>
      <c r="F272" s="2">
        <v>1500.0</v>
      </c>
    </row>
    <row r="273">
      <c r="B273" s="2" t="s">
        <v>189</v>
      </c>
      <c r="C273" s="18" t="s">
        <v>222</v>
      </c>
      <c r="D273" s="16" t="s">
        <v>299</v>
      </c>
      <c r="E273" s="17">
        <v>4.0</v>
      </c>
      <c r="F273" s="2">
        <v>500.0</v>
      </c>
    </row>
    <row r="274">
      <c r="B274" s="2" t="s">
        <v>189</v>
      </c>
      <c r="C274" s="20" t="s">
        <v>223</v>
      </c>
      <c r="D274" s="16" t="s">
        <v>300</v>
      </c>
      <c r="E274" s="17">
        <v>2.0</v>
      </c>
      <c r="F274" s="2">
        <v>1500.0</v>
      </c>
    </row>
    <row r="275">
      <c r="B275" s="2" t="s">
        <v>189</v>
      </c>
      <c r="C275" s="18" t="s">
        <v>224</v>
      </c>
      <c r="D275" s="16" t="s">
        <v>301</v>
      </c>
      <c r="E275" s="17">
        <v>6.0</v>
      </c>
      <c r="F275" s="2">
        <v>1000.0</v>
      </c>
    </row>
    <row r="276">
      <c r="B276" s="2" t="s">
        <v>189</v>
      </c>
      <c r="C276" s="15" t="s">
        <v>225</v>
      </c>
      <c r="D276" s="16" t="s">
        <v>302</v>
      </c>
      <c r="E276" s="17">
        <v>4.0</v>
      </c>
      <c r="F276" s="2">
        <v>2500.0</v>
      </c>
    </row>
    <row r="277">
      <c r="B277" s="2" t="s">
        <v>189</v>
      </c>
      <c r="C277" s="15" t="s">
        <v>30</v>
      </c>
      <c r="D277" s="16" t="s">
        <v>315</v>
      </c>
      <c r="E277" s="17">
        <v>1.0</v>
      </c>
      <c r="F277" s="2">
        <v>500.0</v>
      </c>
    </row>
    <row r="278">
      <c r="B278" s="2" t="s">
        <v>189</v>
      </c>
      <c r="C278" s="15" t="s">
        <v>119</v>
      </c>
      <c r="D278" s="16" t="s">
        <v>315</v>
      </c>
      <c r="E278" s="17">
        <v>1.0</v>
      </c>
      <c r="F278" s="2">
        <v>500.0</v>
      </c>
    </row>
    <row r="279">
      <c r="B279" s="2" t="s">
        <v>190</v>
      </c>
      <c r="C279" s="18" t="s">
        <v>249</v>
      </c>
      <c r="D279" s="25">
        <v>2304.0</v>
      </c>
      <c r="E279" s="17">
        <v>0.0</v>
      </c>
      <c r="F279" s="2">
        <v>7500.0</v>
      </c>
    </row>
    <row r="280">
      <c r="B280" s="2" t="s">
        <v>191</v>
      </c>
      <c r="C280" s="15" t="s">
        <v>248</v>
      </c>
      <c r="D280" s="16">
        <v>2325.0</v>
      </c>
      <c r="E280" s="17">
        <v>3.0</v>
      </c>
      <c r="F280" s="2">
        <v>7500.0</v>
      </c>
    </row>
    <row r="281">
      <c r="B281" s="2" t="s">
        <v>191</v>
      </c>
      <c r="C281" s="15" t="s">
        <v>275</v>
      </c>
      <c r="D281" s="16">
        <v>5925.0</v>
      </c>
      <c r="E281" s="17">
        <v>13.0</v>
      </c>
      <c r="F281" s="2">
        <v>1500.0</v>
      </c>
    </row>
    <row r="282">
      <c r="B282" s="2" t="s">
        <v>191</v>
      </c>
      <c r="C282" s="20" t="s">
        <v>221</v>
      </c>
      <c r="D282" s="16" t="s">
        <v>298</v>
      </c>
      <c r="E282" s="17">
        <v>1.0</v>
      </c>
      <c r="F282" s="2">
        <v>1500.0</v>
      </c>
    </row>
    <row r="283">
      <c r="B283" s="2" t="s">
        <v>191</v>
      </c>
      <c r="C283" s="18" t="s">
        <v>222</v>
      </c>
      <c r="D283" s="16" t="s">
        <v>299</v>
      </c>
      <c r="E283" s="17">
        <v>1.0</v>
      </c>
      <c r="F283" s="2">
        <v>500.0</v>
      </c>
    </row>
    <row r="284">
      <c r="B284" s="2" t="s">
        <v>191</v>
      </c>
      <c r="C284" s="20" t="s">
        <v>223</v>
      </c>
      <c r="D284" s="16" t="s">
        <v>300</v>
      </c>
      <c r="E284" s="17">
        <v>1.0</v>
      </c>
      <c r="F284" s="2">
        <v>1500.0</v>
      </c>
    </row>
    <row r="285">
      <c r="B285" s="2" t="s">
        <v>191</v>
      </c>
      <c r="C285" s="2" t="s">
        <v>224</v>
      </c>
      <c r="D285" s="16" t="s">
        <v>301</v>
      </c>
      <c r="E285" s="17">
        <v>2.0</v>
      </c>
      <c r="F285" s="2">
        <v>1000.0</v>
      </c>
    </row>
    <row r="286">
      <c r="B286" s="2" t="s">
        <v>191</v>
      </c>
      <c r="C286" s="13" t="s">
        <v>225</v>
      </c>
      <c r="D286" s="16" t="s">
        <v>302</v>
      </c>
      <c r="E286" s="17">
        <v>2.0</v>
      </c>
      <c r="F286" s="2">
        <v>2500.0</v>
      </c>
    </row>
    <row r="287">
      <c r="B287" s="2" t="s">
        <v>192</v>
      </c>
      <c r="C287" s="13" t="s">
        <v>245</v>
      </c>
      <c r="D287" s="16">
        <v>2322.0</v>
      </c>
      <c r="E287" s="17">
        <v>3.0</v>
      </c>
      <c r="F287" s="2">
        <v>7500.0</v>
      </c>
    </row>
    <row r="288">
      <c r="B288" s="2" t="s">
        <v>192</v>
      </c>
      <c r="C288" s="13" t="s">
        <v>276</v>
      </c>
      <c r="D288" s="16" t="s">
        <v>323</v>
      </c>
      <c r="E288" s="17">
        <v>12.0</v>
      </c>
      <c r="F288" s="2">
        <v>2500.0</v>
      </c>
    </row>
    <row r="289">
      <c r="B289" s="2" t="s">
        <v>192</v>
      </c>
      <c r="C289" s="13" t="s">
        <v>237</v>
      </c>
      <c r="D289" s="16" t="s">
        <v>319</v>
      </c>
      <c r="E289" s="17">
        <v>4.0</v>
      </c>
      <c r="F289" s="2">
        <v>600.0</v>
      </c>
    </row>
    <row r="290">
      <c r="B290" s="2" t="s">
        <v>193</v>
      </c>
      <c r="C290" s="13" t="s">
        <v>249</v>
      </c>
      <c r="D290" s="25">
        <v>2304.0</v>
      </c>
      <c r="E290" s="17">
        <v>4.0</v>
      </c>
      <c r="F290" s="2">
        <v>7500.0</v>
      </c>
    </row>
    <row r="291">
      <c r="B291" s="2" t="s">
        <v>193</v>
      </c>
      <c r="C291" s="13" t="s">
        <v>277</v>
      </c>
      <c r="D291" s="16" t="s">
        <v>324</v>
      </c>
      <c r="E291" s="17">
        <v>4.0</v>
      </c>
      <c r="F291" s="2">
        <v>2500.0</v>
      </c>
    </row>
    <row r="292">
      <c r="B292" s="2" t="s">
        <v>193</v>
      </c>
      <c r="C292" s="13" t="s">
        <v>237</v>
      </c>
      <c r="D292" s="16" t="s">
        <v>319</v>
      </c>
      <c r="E292" s="17">
        <v>4.0</v>
      </c>
      <c r="F292" s="2">
        <v>600.0</v>
      </c>
    </row>
    <row r="293">
      <c r="B293" s="2" t="s">
        <v>193</v>
      </c>
      <c r="C293" s="13" t="s">
        <v>269</v>
      </c>
      <c r="D293" s="16" t="s">
        <v>315</v>
      </c>
      <c r="E293" s="17">
        <v>2.0</v>
      </c>
      <c r="F293" s="2">
        <v>500.0</v>
      </c>
    </row>
    <row r="294">
      <c r="B294" s="2" t="s">
        <v>194</v>
      </c>
      <c r="C294" s="13" t="s">
        <v>260</v>
      </c>
      <c r="D294" s="16">
        <v>2326.0</v>
      </c>
      <c r="E294" s="17">
        <v>3.0</v>
      </c>
      <c r="F294" s="2">
        <v>7500.0</v>
      </c>
    </row>
    <row r="295">
      <c r="B295" s="2" t="s">
        <v>194</v>
      </c>
      <c r="C295" s="13" t="s">
        <v>240</v>
      </c>
      <c r="D295" s="16">
        <v>2307.0</v>
      </c>
      <c r="E295" s="17">
        <v>3.0</v>
      </c>
      <c r="F295" s="2">
        <v>7500.0</v>
      </c>
    </row>
    <row r="296">
      <c r="B296" s="2" t="s">
        <v>194</v>
      </c>
      <c r="C296" s="1" t="s">
        <v>221</v>
      </c>
      <c r="D296" s="16" t="s">
        <v>298</v>
      </c>
      <c r="E296" s="17">
        <v>2.0</v>
      </c>
      <c r="F296" s="2">
        <v>1500.0</v>
      </c>
    </row>
    <row r="297">
      <c r="B297" s="2" t="s">
        <v>194</v>
      </c>
      <c r="C297" s="2" t="s">
        <v>222</v>
      </c>
      <c r="D297" s="16" t="s">
        <v>299</v>
      </c>
      <c r="E297" s="17">
        <v>2.0</v>
      </c>
      <c r="F297" s="2">
        <v>500.0</v>
      </c>
    </row>
    <row r="298">
      <c r="B298" s="2" t="s">
        <v>194</v>
      </c>
      <c r="C298" s="1" t="s">
        <v>223</v>
      </c>
      <c r="D298" s="16" t="s">
        <v>300</v>
      </c>
      <c r="E298" s="17">
        <v>1.0</v>
      </c>
      <c r="F298" s="2">
        <v>1500.0</v>
      </c>
    </row>
    <row r="299">
      <c r="B299" s="2" t="s">
        <v>194</v>
      </c>
      <c r="C299" s="2" t="s">
        <v>224</v>
      </c>
      <c r="D299" s="16" t="s">
        <v>301</v>
      </c>
      <c r="E299" s="17">
        <v>4.0</v>
      </c>
      <c r="F299" s="2">
        <v>1000.0</v>
      </c>
    </row>
    <row r="300">
      <c r="B300" s="2" t="s">
        <v>194</v>
      </c>
      <c r="C300" s="13" t="s">
        <v>225</v>
      </c>
      <c r="D300" s="16" t="s">
        <v>302</v>
      </c>
      <c r="E300" s="17">
        <v>2.0</v>
      </c>
      <c r="F300" s="2">
        <v>2500.0</v>
      </c>
    </row>
    <row r="301">
      <c r="B301" s="2" t="s">
        <v>194</v>
      </c>
      <c r="C301" s="13" t="s">
        <v>237</v>
      </c>
      <c r="D301" s="16" t="s">
        <v>319</v>
      </c>
      <c r="E301" s="17">
        <v>2.0</v>
      </c>
      <c r="F301" s="2">
        <v>600.0</v>
      </c>
    </row>
    <row r="302">
      <c r="B302" s="1" t="s">
        <v>194</v>
      </c>
      <c r="C302" s="13" t="s">
        <v>47</v>
      </c>
      <c r="D302" s="16" t="s">
        <v>315</v>
      </c>
      <c r="E302" s="17">
        <v>2.0</v>
      </c>
      <c r="F302" s="2">
        <v>500.0</v>
      </c>
    </row>
    <row r="303">
      <c r="B303" s="2" t="s">
        <v>195</v>
      </c>
      <c r="C303" s="2" t="s">
        <v>278</v>
      </c>
      <c r="D303" s="25" t="s">
        <v>325</v>
      </c>
      <c r="E303" s="17">
        <v>0.0</v>
      </c>
      <c r="F303" s="2">
        <v>2500.0</v>
      </c>
    </row>
    <row r="304">
      <c r="B304" s="2" t="s">
        <v>196</v>
      </c>
      <c r="C304" s="13" t="s">
        <v>279</v>
      </c>
      <c r="D304" s="16" t="s">
        <v>326</v>
      </c>
      <c r="E304" s="17">
        <v>16.0</v>
      </c>
      <c r="F304" s="2">
        <v>2500.0</v>
      </c>
    </row>
    <row r="305">
      <c r="B305" s="2" t="s">
        <v>196</v>
      </c>
      <c r="C305" s="13" t="s">
        <v>243</v>
      </c>
      <c r="D305" s="16">
        <v>2324.0</v>
      </c>
      <c r="E305" s="17">
        <v>1.0</v>
      </c>
      <c r="F305" s="2">
        <v>7500.0</v>
      </c>
    </row>
    <row r="306">
      <c r="B306" s="2" t="s">
        <v>196</v>
      </c>
      <c r="C306" s="13" t="s">
        <v>273</v>
      </c>
      <c r="D306" s="16" t="s">
        <v>315</v>
      </c>
      <c r="E306" s="17">
        <v>2.0</v>
      </c>
      <c r="F306" s="2">
        <v>500.0</v>
      </c>
    </row>
    <row r="307">
      <c r="B307" s="2" t="s">
        <v>196</v>
      </c>
      <c r="C307" s="13" t="s">
        <v>279</v>
      </c>
      <c r="D307" s="16" t="s">
        <v>326</v>
      </c>
      <c r="E307" s="17">
        <v>16.0</v>
      </c>
      <c r="F307" s="2">
        <v>2500.0</v>
      </c>
    </row>
    <row r="308">
      <c r="B308" s="2" t="s">
        <v>197</v>
      </c>
      <c r="C308" s="13" t="s">
        <v>241</v>
      </c>
      <c r="D308" s="16">
        <v>2313.0</v>
      </c>
      <c r="E308" s="17">
        <v>3.0</v>
      </c>
      <c r="F308" s="2">
        <v>7500.0</v>
      </c>
    </row>
    <row r="309">
      <c r="B309" s="2" t="s">
        <v>197</v>
      </c>
      <c r="C309" s="13" t="s">
        <v>280</v>
      </c>
      <c r="D309" s="16">
        <v>3865.0</v>
      </c>
      <c r="E309" s="17">
        <v>8.0</v>
      </c>
      <c r="F309" s="2">
        <v>2000.0</v>
      </c>
    </row>
    <row r="310">
      <c r="B310" s="2" t="s">
        <v>197</v>
      </c>
      <c r="C310" s="13" t="s">
        <v>237</v>
      </c>
      <c r="D310" s="16" t="s">
        <v>319</v>
      </c>
      <c r="E310" s="17">
        <v>3.0</v>
      </c>
      <c r="F310" s="2">
        <v>600.0</v>
      </c>
    </row>
    <row r="311">
      <c r="B311" s="2" t="s">
        <v>197</v>
      </c>
      <c r="C311" s="13" t="s">
        <v>268</v>
      </c>
      <c r="D311" s="16" t="s">
        <v>309</v>
      </c>
      <c r="E311" s="17">
        <v>2.0</v>
      </c>
      <c r="F311" s="2">
        <v>600.0</v>
      </c>
    </row>
    <row r="312">
      <c r="B312" s="2" t="s">
        <v>197</v>
      </c>
      <c r="C312" s="13" t="s">
        <v>172</v>
      </c>
      <c r="D312" s="16" t="s">
        <v>315</v>
      </c>
      <c r="E312" s="17">
        <v>2.0</v>
      </c>
      <c r="F312" s="2">
        <v>500.0</v>
      </c>
    </row>
    <row r="313">
      <c r="B313" s="2" t="s">
        <v>198</v>
      </c>
      <c r="C313" s="13" t="s">
        <v>258</v>
      </c>
      <c r="D313" s="16" t="s">
        <v>327</v>
      </c>
      <c r="E313" s="17">
        <v>6.0</v>
      </c>
      <c r="F313" s="2">
        <v>2500.0</v>
      </c>
    </row>
    <row r="314">
      <c r="B314" s="2" t="s">
        <v>198</v>
      </c>
      <c r="C314" s="13" t="s">
        <v>241</v>
      </c>
      <c r="D314" s="16">
        <v>2313.0</v>
      </c>
      <c r="E314" s="17">
        <v>4.0</v>
      </c>
      <c r="F314" s="2">
        <v>7500.0</v>
      </c>
    </row>
    <row r="315">
      <c r="B315" s="2" t="s">
        <v>198</v>
      </c>
      <c r="C315" s="13" t="s">
        <v>248</v>
      </c>
      <c r="D315" s="16">
        <v>2325.0</v>
      </c>
      <c r="E315" s="17">
        <v>2.0</v>
      </c>
      <c r="F315" s="2">
        <v>7500.0</v>
      </c>
    </row>
    <row r="316">
      <c r="B316" s="2" t="s">
        <v>198</v>
      </c>
      <c r="C316" s="13" t="s">
        <v>268</v>
      </c>
      <c r="D316" s="16" t="s">
        <v>309</v>
      </c>
      <c r="E316" s="17">
        <v>2.0</v>
      </c>
      <c r="F316" s="2">
        <v>600.0</v>
      </c>
    </row>
    <row r="317">
      <c r="B317" s="2" t="s">
        <v>198</v>
      </c>
      <c r="C317" s="13" t="s">
        <v>34</v>
      </c>
      <c r="D317" s="16" t="s">
        <v>315</v>
      </c>
      <c r="E317" s="17">
        <v>2.0</v>
      </c>
      <c r="F317" s="2">
        <v>500.0</v>
      </c>
    </row>
    <row r="318">
      <c r="B318" s="2" t="s">
        <v>105</v>
      </c>
      <c r="C318" s="2" t="s">
        <v>234</v>
      </c>
      <c r="D318" s="16">
        <v>155.0</v>
      </c>
      <c r="E318" s="17">
        <v>12.0</v>
      </c>
      <c r="F318" s="2">
        <v>1500.0</v>
      </c>
    </row>
    <row r="319">
      <c r="B319" s="2" t="s">
        <v>105</v>
      </c>
      <c r="C319" s="1" t="s">
        <v>221</v>
      </c>
      <c r="D319" s="16" t="s">
        <v>298</v>
      </c>
      <c r="E319" s="17">
        <v>2.0</v>
      </c>
      <c r="F319" s="2">
        <v>1500.0</v>
      </c>
    </row>
    <row r="320">
      <c r="B320" s="2" t="s">
        <v>105</v>
      </c>
      <c r="C320" s="2" t="s">
        <v>222</v>
      </c>
      <c r="D320" s="16" t="s">
        <v>299</v>
      </c>
      <c r="E320" s="17">
        <v>2.0</v>
      </c>
      <c r="F320" s="2">
        <v>500.0</v>
      </c>
    </row>
    <row r="321">
      <c r="B321" s="2" t="s">
        <v>105</v>
      </c>
      <c r="C321" s="1" t="s">
        <v>223</v>
      </c>
      <c r="D321" s="16" t="s">
        <v>300</v>
      </c>
      <c r="E321" s="17">
        <v>2.0</v>
      </c>
      <c r="F321" s="2">
        <v>1500.0</v>
      </c>
    </row>
    <row r="322">
      <c r="B322" s="2" t="s">
        <v>105</v>
      </c>
      <c r="C322" s="2" t="s">
        <v>224</v>
      </c>
      <c r="D322" s="16" t="s">
        <v>301</v>
      </c>
      <c r="E322" s="17">
        <v>2.0</v>
      </c>
      <c r="F322" s="2">
        <v>1000.0</v>
      </c>
    </row>
    <row r="323">
      <c r="B323" s="1" t="s">
        <v>105</v>
      </c>
      <c r="C323" s="13" t="s">
        <v>225</v>
      </c>
      <c r="D323" s="16" t="s">
        <v>302</v>
      </c>
      <c r="E323" s="17">
        <v>2.0</v>
      </c>
      <c r="F323" s="2">
        <v>2500.0</v>
      </c>
    </row>
    <row r="324">
      <c r="B324" s="2" t="s">
        <v>105</v>
      </c>
      <c r="C324" s="1" t="s">
        <v>106</v>
      </c>
      <c r="D324" s="16" t="s">
        <v>308</v>
      </c>
      <c r="E324" s="17">
        <v>2.0</v>
      </c>
      <c r="F324" s="2">
        <v>1000.0</v>
      </c>
    </row>
    <row r="325">
      <c r="B325" s="2" t="s">
        <v>105</v>
      </c>
      <c r="C325" s="1" t="s">
        <v>47</v>
      </c>
      <c r="D325" s="16" t="s">
        <v>307</v>
      </c>
      <c r="E325" s="17">
        <v>2.0</v>
      </c>
      <c r="F325" s="2">
        <v>500.0</v>
      </c>
    </row>
    <row r="326">
      <c r="B326" s="2" t="s">
        <v>108</v>
      </c>
      <c r="C326" s="2" t="s">
        <v>281</v>
      </c>
      <c r="D326" s="16">
        <v>3214.0</v>
      </c>
      <c r="E326" s="17">
        <v>12.0</v>
      </c>
      <c r="F326" s="2">
        <v>1500.0</v>
      </c>
    </row>
    <row r="327">
      <c r="B327" s="2" t="s">
        <v>108</v>
      </c>
      <c r="C327" s="1" t="s">
        <v>221</v>
      </c>
      <c r="D327" s="16" t="s">
        <v>298</v>
      </c>
      <c r="E327" s="17">
        <v>2.0</v>
      </c>
      <c r="F327" s="2">
        <v>1500.0</v>
      </c>
    </row>
    <row r="328">
      <c r="B328" s="2" t="s">
        <v>108</v>
      </c>
      <c r="C328" s="2" t="s">
        <v>222</v>
      </c>
      <c r="D328" s="16" t="s">
        <v>299</v>
      </c>
      <c r="E328" s="17">
        <v>2.0</v>
      </c>
      <c r="F328" s="2">
        <v>500.0</v>
      </c>
    </row>
    <row r="329">
      <c r="B329" s="2" t="s">
        <v>108</v>
      </c>
      <c r="C329" s="1" t="s">
        <v>223</v>
      </c>
      <c r="D329" s="16" t="s">
        <v>300</v>
      </c>
      <c r="E329" s="17">
        <v>2.0</v>
      </c>
      <c r="F329" s="2">
        <v>1500.0</v>
      </c>
    </row>
    <row r="330">
      <c r="B330" s="2" t="s">
        <v>108</v>
      </c>
      <c r="C330" s="2" t="s">
        <v>224</v>
      </c>
      <c r="D330" s="16" t="s">
        <v>301</v>
      </c>
      <c r="E330" s="17">
        <v>2.0</v>
      </c>
      <c r="F330" s="2">
        <v>1000.0</v>
      </c>
    </row>
    <row r="331">
      <c r="B331" s="1" t="s">
        <v>108</v>
      </c>
      <c r="C331" s="13" t="s">
        <v>225</v>
      </c>
      <c r="D331" s="16" t="s">
        <v>302</v>
      </c>
      <c r="E331" s="17">
        <v>2.0</v>
      </c>
      <c r="F331" s="2">
        <v>2500.0</v>
      </c>
    </row>
    <row r="332">
      <c r="B332" s="2" t="s">
        <v>108</v>
      </c>
      <c r="C332" s="1" t="s">
        <v>110</v>
      </c>
      <c r="D332" s="16" t="s">
        <v>308</v>
      </c>
      <c r="E332" s="17">
        <v>2.0</v>
      </c>
      <c r="F332" s="2">
        <v>1000.0</v>
      </c>
    </row>
    <row r="333">
      <c r="B333" s="2" t="s">
        <v>108</v>
      </c>
      <c r="C333" s="1" t="s">
        <v>47</v>
      </c>
      <c r="D333" s="16" t="s">
        <v>307</v>
      </c>
      <c r="E333" s="17">
        <v>2.0</v>
      </c>
      <c r="F333" s="2">
        <v>500.0</v>
      </c>
    </row>
    <row r="334">
      <c r="B334" s="2" t="s">
        <v>112</v>
      </c>
      <c r="C334" s="2" t="s">
        <v>282</v>
      </c>
      <c r="D334" s="16">
        <v>4598.0</v>
      </c>
      <c r="E334" s="17">
        <v>10.0</v>
      </c>
      <c r="F334" s="2">
        <v>2000.0</v>
      </c>
    </row>
    <row r="335">
      <c r="B335" s="2" t="s">
        <v>112</v>
      </c>
      <c r="C335" s="1" t="s">
        <v>221</v>
      </c>
      <c r="D335" s="16" t="s">
        <v>298</v>
      </c>
      <c r="E335" s="17">
        <v>2.0</v>
      </c>
      <c r="F335" s="2">
        <v>1500.0</v>
      </c>
    </row>
    <row r="336">
      <c r="B336" s="2" t="s">
        <v>112</v>
      </c>
      <c r="C336" s="2" t="s">
        <v>222</v>
      </c>
      <c r="D336" s="16" t="s">
        <v>299</v>
      </c>
      <c r="E336" s="17">
        <v>2.0</v>
      </c>
      <c r="F336" s="2">
        <v>500.0</v>
      </c>
    </row>
    <row r="337">
      <c r="B337" s="2" t="s">
        <v>112</v>
      </c>
      <c r="C337" s="1" t="s">
        <v>223</v>
      </c>
      <c r="D337" s="16" t="s">
        <v>300</v>
      </c>
      <c r="E337" s="17">
        <v>2.0</v>
      </c>
      <c r="F337" s="2">
        <v>1500.0</v>
      </c>
    </row>
    <row r="338">
      <c r="B338" s="2" t="s">
        <v>112</v>
      </c>
      <c r="C338" s="2" t="s">
        <v>224</v>
      </c>
      <c r="D338" s="16" t="s">
        <v>301</v>
      </c>
      <c r="E338" s="17">
        <v>2.0</v>
      </c>
      <c r="F338" s="2">
        <v>1000.0</v>
      </c>
    </row>
    <row r="339">
      <c r="B339" s="1" t="s">
        <v>112</v>
      </c>
      <c r="C339" s="13" t="s">
        <v>225</v>
      </c>
      <c r="D339" s="16" t="s">
        <v>302</v>
      </c>
      <c r="E339" s="17">
        <v>2.0</v>
      </c>
      <c r="F339" s="2">
        <v>2500.0</v>
      </c>
    </row>
    <row r="340">
      <c r="B340" s="2" t="s">
        <v>112</v>
      </c>
      <c r="C340" s="2" t="s">
        <v>38</v>
      </c>
      <c r="D340" s="16" t="s">
        <v>305</v>
      </c>
      <c r="E340" s="17">
        <v>2.0</v>
      </c>
      <c r="F340" s="2">
        <v>1000.0</v>
      </c>
    </row>
    <row r="341">
      <c r="B341" s="2" t="s">
        <v>112</v>
      </c>
      <c r="C341" s="1" t="s">
        <v>34</v>
      </c>
      <c r="D341" s="16" t="s">
        <v>304</v>
      </c>
      <c r="E341" s="17">
        <v>2.0</v>
      </c>
      <c r="F341" s="2">
        <v>500.0</v>
      </c>
    </row>
    <row r="342">
      <c r="B342" s="1" t="s">
        <v>114</v>
      </c>
      <c r="C342" s="2" t="s">
        <v>280</v>
      </c>
      <c r="D342" s="16">
        <v>3865.0</v>
      </c>
      <c r="E342" s="17">
        <v>10.0</v>
      </c>
      <c r="F342" s="2">
        <v>2000.0</v>
      </c>
    </row>
    <row r="343">
      <c r="B343" s="1" t="s">
        <v>114</v>
      </c>
      <c r="C343" s="1" t="s">
        <v>221</v>
      </c>
      <c r="D343" s="16" t="s">
        <v>298</v>
      </c>
      <c r="E343" s="17">
        <v>2.0</v>
      </c>
      <c r="F343" s="2">
        <v>1500.0</v>
      </c>
    </row>
    <row r="344">
      <c r="B344" s="1" t="s">
        <v>114</v>
      </c>
      <c r="C344" s="2" t="s">
        <v>222</v>
      </c>
      <c r="D344" s="16" t="s">
        <v>299</v>
      </c>
      <c r="E344" s="17">
        <v>2.0</v>
      </c>
      <c r="F344" s="2">
        <v>500.0</v>
      </c>
    </row>
    <row r="345">
      <c r="B345" s="1" t="s">
        <v>114</v>
      </c>
      <c r="C345" s="1" t="s">
        <v>223</v>
      </c>
      <c r="D345" s="16" t="s">
        <v>300</v>
      </c>
      <c r="E345" s="17">
        <v>2.0</v>
      </c>
      <c r="F345" s="2">
        <v>1500.0</v>
      </c>
    </row>
    <row r="346">
      <c r="B346" s="1" t="s">
        <v>114</v>
      </c>
      <c r="C346" s="2" t="s">
        <v>224</v>
      </c>
      <c r="D346" s="16" t="s">
        <v>301</v>
      </c>
      <c r="E346" s="17">
        <v>2.0</v>
      </c>
      <c r="F346" s="2">
        <v>1000.0</v>
      </c>
    </row>
    <row r="347">
      <c r="B347" s="1" t="s">
        <v>114</v>
      </c>
      <c r="C347" s="13" t="s">
        <v>225</v>
      </c>
      <c r="D347" s="16" t="s">
        <v>302</v>
      </c>
      <c r="E347" s="17">
        <v>2.0</v>
      </c>
      <c r="F347" s="2">
        <v>2500.0</v>
      </c>
    </row>
    <row r="348">
      <c r="B348" s="1" t="s">
        <v>114</v>
      </c>
      <c r="C348" s="2" t="s">
        <v>115</v>
      </c>
      <c r="D348" s="16" t="s">
        <v>305</v>
      </c>
      <c r="E348" s="17">
        <v>2.0</v>
      </c>
      <c r="F348" s="2">
        <v>1000.0</v>
      </c>
    </row>
    <row r="349">
      <c r="B349" s="1" t="s">
        <v>114</v>
      </c>
      <c r="C349" s="1" t="s">
        <v>34</v>
      </c>
      <c r="D349" s="16" t="s">
        <v>304</v>
      </c>
      <c r="E349" s="17">
        <v>2.0</v>
      </c>
      <c r="F349" s="2">
        <v>500.0</v>
      </c>
    </row>
    <row r="350">
      <c r="B350" s="2" t="s">
        <v>118</v>
      </c>
      <c r="C350" s="2" t="s">
        <v>240</v>
      </c>
      <c r="D350" s="16">
        <v>2307.0</v>
      </c>
      <c r="E350" s="17">
        <v>3.0</v>
      </c>
      <c r="F350" s="2">
        <v>7500.0</v>
      </c>
    </row>
    <row r="351">
      <c r="B351" s="2" t="s">
        <v>118</v>
      </c>
      <c r="C351" s="1" t="s">
        <v>119</v>
      </c>
      <c r="D351" s="16" t="s">
        <v>322</v>
      </c>
      <c r="E351" s="17">
        <v>2.0</v>
      </c>
      <c r="F351" s="2">
        <v>500.0</v>
      </c>
    </row>
    <row r="352">
      <c r="B352" s="2" t="s">
        <v>118</v>
      </c>
      <c r="C352" s="13" t="s">
        <v>268</v>
      </c>
      <c r="D352" s="16" t="s">
        <v>318</v>
      </c>
      <c r="E352" s="17">
        <v>2.0</v>
      </c>
      <c r="F352" s="2">
        <v>600.0</v>
      </c>
    </row>
    <row r="353">
      <c r="B353" s="2" t="s">
        <v>118</v>
      </c>
      <c r="C353" s="1" t="s">
        <v>126</v>
      </c>
      <c r="D353" s="16" t="s">
        <v>11</v>
      </c>
      <c r="E353" s="17">
        <v>3.0</v>
      </c>
      <c r="F353" s="2">
        <v>1000.0</v>
      </c>
    </row>
    <row r="354">
      <c r="B354" s="2" t="s">
        <v>121</v>
      </c>
      <c r="C354" s="2" t="s">
        <v>241</v>
      </c>
      <c r="D354" s="16">
        <v>2313.0</v>
      </c>
      <c r="E354" s="17">
        <v>3.0</v>
      </c>
      <c r="F354" s="2">
        <v>7500.0</v>
      </c>
    </row>
    <row r="355">
      <c r="B355" s="2" t="s">
        <v>121</v>
      </c>
      <c r="C355" s="1" t="s">
        <v>34</v>
      </c>
      <c r="D355" s="16" t="s">
        <v>304</v>
      </c>
      <c r="E355" s="17">
        <v>2.0</v>
      </c>
      <c r="F355" s="2">
        <v>500.0</v>
      </c>
    </row>
    <row r="356">
      <c r="B356" s="2" t="s">
        <v>121</v>
      </c>
      <c r="C356" s="13" t="s">
        <v>268</v>
      </c>
      <c r="D356" s="16" t="s">
        <v>318</v>
      </c>
      <c r="E356" s="17">
        <v>2.0</v>
      </c>
      <c r="F356" s="2">
        <v>600.0</v>
      </c>
    </row>
    <row r="357">
      <c r="B357" s="2" t="s">
        <v>121</v>
      </c>
      <c r="C357" s="1" t="s">
        <v>61</v>
      </c>
      <c r="D357" s="16" t="s">
        <v>11</v>
      </c>
      <c r="E357" s="17">
        <v>3.0</v>
      </c>
      <c r="F357" s="2">
        <v>1000.0</v>
      </c>
    </row>
    <row r="358">
      <c r="B358" s="2" t="s">
        <v>125</v>
      </c>
      <c r="C358" s="2" t="s">
        <v>274</v>
      </c>
      <c r="D358" s="16">
        <v>5514.0</v>
      </c>
      <c r="E358" s="17">
        <v>20.0</v>
      </c>
      <c r="F358" s="2">
        <v>1500.0</v>
      </c>
    </row>
    <row r="359">
      <c r="B359" s="2" t="s">
        <v>125</v>
      </c>
      <c r="C359" s="1" t="s">
        <v>221</v>
      </c>
      <c r="D359" s="16" t="s">
        <v>298</v>
      </c>
      <c r="E359" s="17">
        <v>1.0</v>
      </c>
      <c r="F359" s="2">
        <v>1500.0</v>
      </c>
    </row>
    <row r="360">
      <c r="B360" s="2" t="s">
        <v>125</v>
      </c>
      <c r="C360" s="2" t="s">
        <v>222</v>
      </c>
      <c r="D360" s="16" t="s">
        <v>299</v>
      </c>
      <c r="E360" s="17">
        <v>1.0</v>
      </c>
      <c r="F360" s="2">
        <v>500.0</v>
      </c>
    </row>
    <row r="361">
      <c r="B361" s="2" t="s">
        <v>125</v>
      </c>
      <c r="C361" s="1" t="s">
        <v>223</v>
      </c>
      <c r="D361" s="16" t="s">
        <v>300</v>
      </c>
      <c r="E361" s="17">
        <v>1.0</v>
      </c>
      <c r="F361" s="2">
        <v>1500.0</v>
      </c>
    </row>
    <row r="362">
      <c r="B362" s="2" t="s">
        <v>125</v>
      </c>
      <c r="C362" s="2" t="s">
        <v>224</v>
      </c>
      <c r="D362" s="16" t="s">
        <v>301</v>
      </c>
      <c r="E362" s="17">
        <v>2.0</v>
      </c>
      <c r="F362" s="2">
        <v>1000.0</v>
      </c>
    </row>
    <row r="363">
      <c r="B363" s="1" t="s">
        <v>125</v>
      </c>
      <c r="C363" s="13" t="s">
        <v>225</v>
      </c>
      <c r="D363" s="16" t="s">
        <v>302</v>
      </c>
      <c r="E363" s="17">
        <v>2.0</v>
      </c>
      <c r="F363" s="2">
        <v>2500.0</v>
      </c>
    </row>
    <row r="364">
      <c r="B364" s="2" t="s">
        <v>125</v>
      </c>
      <c r="C364" s="2" t="s">
        <v>56</v>
      </c>
      <c r="D364" s="16" t="s">
        <v>305</v>
      </c>
      <c r="E364" s="17">
        <v>1.0</v>
      </c>
      <c r="F364" s="2">
        <v>1000.0</v>
      </c>
    </row>
    <row r="365">
      <c r="B365" s="2" t="s">
        <v>125</v>
      </c>
      <c r="C365" s="1" t="s">
        <v>106</v>
      </c>
      <c r="D365" s="16" t="s">
        <v>308</v>
      </c>
      <c r="E365" s="17">
        <v>1.0</v>
      </c>
      <c r="F365" s="2">
        <v>1000.0</v>
      </c>
    </row>
    <row r="366">
      <c r="B366" s="2" t="s">
        <v>125</v>
      </c>
      <c r="C366" s="1" t="s">
        <v>126</v>
      </c>
      <c r="D366" s="16" t="s">
        <v>11</v>
      </c>
      <c r="E366" s="17">
        <v>1.0</v>
      </c>
      <c r="F366" s="2">
        <v>1000.0</v>
      </c>
    </row>
    <row r="367">
      <c r="B367" s="2" t="s">
        <v>125</v>
      </c>
      <c r="C367" s="1" t="s">
        <v>119</v>
      </c>
      <c r="D367" s="16" t="s">
        <v>322</v>
      </c>
      <c r="E367" s="17">
        <v>2.0</v>
      </c>
      <c r="F367" s="2">
        <v>500.0</v>
      </c>
    </row>
    <row r="368">
      <c r="B368" s="1" t="s">
        <v>128</v>
      </c>
      <c r="C368" s="2" t="s">
        <v>56</v>
      </c>
      <c r="D368" s="16" t="s">
        <v>305</v>
      </c>
      <c r="E368" s="17">
        <v>1.0</v>
      </c>
      <c r="F368" s="2">
        <v>1000.0</v>
      </c>
    </row>
    <row r="369">
      <c r="B369" s="1" t="s">
        <v>128</v>
      </c>
      <c r="C369" s="1" t="s">
        <v>106</v>
      </c>
      <c r="D369" s="16" t="s">
        <v>308</v>
      </c>
      <c r="E369" s="17">
        <v>1.0</v>
      </c>
      <c r="F369" s="2">
        <v>1000.0</v>
      </c>
    </row>
    <row r="370">
      <c r="B370" s="1" t="s">
        <v>128</v>
      </c>
      <c r="C370" s="1" t="s">
        <v>126</v>
      </c>
      <c r="D370" s="16" t="s">
        <v>11</v>
      </c>
      <c r="E370" s="17">
        <v>1.0</v>
      </c>
      <c r="F370" s="2">
        <v>1000.0</v>
      </c>
    </row>
    <row r="371">
      <c r="B371" s="1" t="s">
        <v>128</v>
      </c>
      <c r="C371" s="1" t="s">
        <v>42</v>
      </c>
      <c r="D371" s="16" t="s">
        <v>306</v>
      </c>
      <c r="E371" s="17">
        <v>2.0</v>
      </c>
      <c r="F371" s="2">
        <v>500.0</v>
      </c>
    </row>
    <row r="372">
      <c r="B372" s="1" t="s">
        <v>138</v>
      </c>
      <c r="C372" s="13" t="s">
        <v>238</v>
      </c>
      <c r="D372" s="16">
        <v>2327.0</v>
      </c>
      <c r="E372" s="17">
        <v>3.0</v>
      </c>
      <c r="F372" s="2">
        <v>7500.0</v>
      </c>
    </row>
    <row r="373">
      <c r="B373" s="1" t="s">
        <v>138</v>
      </c>
      <c r="C373" s="13" t="s">
        <v>239</v>
      </c>
      <c r="D373" s="16">
        <v>2314.0</v>
      </c>
      <c r="E373" s="17">
        <v>2.0</v>
      </c>
      <c r="F373" s="2">
        <v>7500.0</v>
      </c>
    </row>
    <row r="374">
      <c r="B374" s="1" t="s">
        <v>138</v>
      </c>
      <c r="C374" s="1" t="s">
        <v>106</v>
      </c>
      <c r="D374" s="16" t="s">
        <v>308</v>
      </c>
      <c r="E374" s="17">
        <v>2.0</v>
      </c>
      <c r="F374" s="2">
        <v>1000.0</v>
      </c>
    </row>
    <row r="375">
      <c r="B375" s="1" t="s">
        <v>140</v>
      </c>
      <c r="C375" s="13" t="s">
        <v>283</v>
      </c>
      <c r="D375" s="16">
        <v>5662.0</v>
      </c>
      <c r="E375" s="17">
        <v>20.0</v>
      </c>
      <c r="F375" s="2">
        <v>1500.0</v>
      </c>
    </row>
    <row r="376">
      <c r="B376" s="1" t="s">
        <v>140</v>
      </c>
      <c r="C376" s="13" t="s">
        <v>260</v>
      </c>
      <c r="D376" s="16">
        <v>2326.0</v>
      </c>
      <c r="E376" s="17">
        <v>5.0</v>
      </c>
      <c r="F376" s="2">
        <v>7500.0</v>
      </c>
    </row>
    <row r="377">
      <c r="B377" s="1" t="s">
        <v>140</v>
      </c>
      <c r="C377" s="13" t="s">
        <v>126</v>
      </c>
      <c r="D377" s="16" t="s">
        <v>11</v>
      </c>
      <c r="E377" s="17">
        <v>1.0</v>
      </c>
      <c r="F377" s="2">
        <v>1000.0</v>
      </c>
    </row>
    <row r="378">
      <c r="B378" s="1" t="s">
        <v>140</v>
      </c>
      <c r="C378" s="13" t="s">
        <v>284</v>
      </c>
      <c r="D378" s="16" t="s">
        <v>11</v>
      </c>
      <c r="E378" s="17">
        <v>1.0</v>
      </c>
      <c r="F378" s="2">
        <v>1000.0</v>
      </c>
    </row>
    <row r="379">
      <c r="B379" s="1" t="s">
        <v>140</v>
      </c>
      <c r="C379" s="13" t="s">
        <v>237</v>
      </c>
      <c r="D379" s="16" t="s">
        <v>319</v>
      </c>
      <c r="E379" s="17">
        <v>2.0</v>
      </c>
      <c r="F379" s="2">
        <v>600.0</v>
      </c>
    </row>
    <row r="380">
      <c r="B380" s="1" t="s">
        <v>140</v>
      </c>
      <c r="C380" s="13" t="s">
        <v>30</v>
      </c>
      <c r="D380" s="16" t="s">
        <v>303</v>
      </c>
      <c r="E380" s="17">
        <v>2.0</v>
      </c>
      <c r="F380" s="2">
        <v>500.0</v>
      </c>
    </row>
    <row r="381">
      <c r="B381" s="1" t="s">
        <v>142</v>
      </c>
      <c r="C381" s="13" t="s">
        <v>253</v>
      </c>
      <c r="D381" s="16">
        <v>3851.0</v>
      </c>
      <c r="E381" s="17">
        <v>4.0</v>
      </c>
      <c r="F381" s="2">
        <v>1500.0</v>
      </c>
    </row>
    <row r="382">
      <c r="B382" s="1" t="s">
        <v>142</v>
      </c>
      <c r="C382" s="13" t="s">
        <v>249</v>
      </c>
      <c r="D382" s="16">
        <v>2304.0</v>
      </c>
      <c r="E382" s="17">
        <v>3.0</v>
      </c>
      <c r="F382" s="2">
        <v>7500.0</v>
      </c>
    </row>
    <row r="383">
      <c r="B383" s="1" t="s">
        <v>142</v>
      </c>
      <c r="C383" s="13" t="s">
        <v>268</v>
      </c>
      <c r="D383" s="16" t="s">
        <v>318</v>
      </c>
      <c r="E383" s="17">
        <v>2.0</v>
      </c>
      <c r="F383" s="2">
        <v>600.0</v>
      </c>
    </row>
    <row r="384">
      <c r="B384" s="1" t="s">
        <v>142</v>
      </c>
      <c r="C384" s="13" t="s">
        <v>106</v>
      </c>
      <c r="D384" s="16" t="s">
        <v>308</v>
      </c>
      <c r="E384" s="17">
        <v>2.0</v>
      </c>
      <c r="F384" s="2">
        <v>1000.0</v>
      </c>
    </row>
    <row r="385">
      <c r="B385" s="1" t="s">
        <v>145</v>
      </c>
      <c r="C385" s="13" t="s">
        <v>243</v>
      </c>
      <c r="D385" s="52" t="s">
        <v>328</v>
      </c>
      <c r="E385" s="17">
        <v>1.0</v>
      </c>
      <c r="F385" s="2">
        <v>7500.0</v>
      </c>
    </row>
    <row r="386">
      <c r="B386" s="1" t="s">
        <v>145</v>
      </c>
      <c r="C386" s="13" t="s">
        <v>245</v>
      </c>
      <c r="D386" s="16">
        <v>2322.0</v>
      </c>
      <c r="E386" s="17">
        <v>4.0</v>
      </c>
      <c r="F386" s="2">
        <v>7500.0</v>
      </c>
    </row>
    <row r="387">
      <c r="B387" s="1" t="s">
        <v>145</v>
      </c>
      <c r="C387" s="13" t="s">
        <v>237</v>
      </c>
      <c r="D387" s="16" t="s">
        <v>309</v>
      </c>
      <c r="E387" s="17">
        <v>2.0</v>
      </c>
      <c r="F387" s="2">
        <v>600.0</v>
      </c>
    </row>
    <row r="388">
      <c r="B388" s="1" t="s">
        <v>145</v>
      </c>
      <c r="C388" s="13" t="s">
        <v>39</v>
      </c>
      <c r="D388" s="16" t="s">
        <v>308</v>
      </c>
      <c r="E388" s="17">
        <v>2.0</v>
      </c>
      <c r="F388" s="2">
        <v>1000.0</v>
      </c>
    </row>
    <row r="389">
      <c r="B389" s="1" t="s">
        <v>145</v>
      </c>
      <c r="C389" s="13" t="s">
        <v>61</v>
      </c>
      <c r="D389" s="16" t="s">
        <v>11</v>
      </c>
      <c r="E389" s="17">
        <v>2.0</v>
      </c>
      <c r="F389" s="2">
        <v>1000.0</v>
      </c>
    </row>
    <row r="390">
      <c r="B390" s="1" t="s">
        <v>150</v>
      </c>
      <c r="C390" s="13" t="s">
        <v>274</v>
      </c>
      <c r="D390" s="16">
        <v>5514.0</v>
      </c>
      <c r="E390" s="17">
        <v>8.0</v>
      </c>
      <c r="F390" s="2">
        <v>1500.0</v>
      </c>
    </row>
    <row r="391">
      <c r="B391" s="1" t="s">
        <v>150</v>
      </c>
      <c r="C391" s="13" t="s">
        <v>241</v>
      </c>
      <c r="D391" s="16">
        <v>2313.0</v>
      </c>
      <c r="E391" s="17">
        <v>3.0</v>
      </c>
      <c r="F391" s="2">
        <v>7500.0</v>
      </c>
    </row>
    <row r="392">
      <c r="B392" s="1" t="s">
        <v>150</v>
      </c>
      <c r="C392" s="13" t="s">
        <v>237</v>
      </c>
      <c r="D392" s="16" t="s">
        <v>319</v>
      </c>
      <c r="E392" s="17">
        <v>4.0</v>
      </c>
      <c r="F392" s="2">
        <v>600.0</v>
      </c>
    </row>
    <row r="393">
      <c r="B393" s="1" t="s">
        <v>150</v>
      </c>
      <c r="C393" s="13" t="s">
        <v>262</v>
      </c>
      <c r="D393" s="16" t="s">
        <v>11</v>
      </c>
      <c r="E393" s="17">
        <v>2.0</v>
      </c>
      <c r="F393" s="2">
        <v>1000.0</v>
      </c>
    </row>
    <row r="394">
      <c r="B394" s="1" t="s">
        <v>150</v>
      </c>
      <c r="C394" s="13" t="s">
        <v>39</v>
      </c>
      <c r="D394" s="16" t="s">
        <v>308</v>
      </c>
      <c r="E394" s="17">
        <v>2.0</v>
      </c>
      <c r="F394" s="2">
        <v>1000.0</v>
      </c>
    </row>
    <row r="395">
      <c r="B395" s="1" t="s">
        <v>150</v>
      </c>
      <c r="C395" s="13" t="s">
        <v>38</v>
      </c>
      <c r="D395" s="16" t="s">
        <v>305</v>
      </c>
      <c r="E395" s="17">
        <v>2.0</v>
      </c>
      <c r="F395" s="2">
        <v>1000.0</v>
      </c>
    </row>
    <row r="396">
      <c r="B396" s="1" t="s">
        <v>152</v>
      </c>
      <c r="C396" s="13" t="s">
        <v>241</v>
      </c>
      <c r="D396" s="16">
        <v>2313.0</v>
      </c>
      <c r="E396" s="17">
        <v>3.0</v>
      </c>
      <c r="F396" s="2">
        <v>7500.0</v>
      </c>
    </row>
    <row r="397">
      <c r="B397" s="1" t="s">
        <v>152</v>
      </c>
      <c r="C397" s="13" t="s">
        <v>245</v>
      </c>
      <c r="D397" s="16">
        <v>2322.0</v>
      </c>
      <c r="E397" s="17">
        <v>2.0</v>
      </c>
      <c r="F397" s="2">
        <v>7500.0</v>
      </c>
    </row>
    <row r="398">
      <c r="B398" s="1" t="s">
        <v>152</v>
      </c>
      <c r="C398" s="13" t="s">
        <v>237</v>
      </c>
      <c r="D398" s="16" t="s">
        <v>319</v>
      </c>
      <c r="E398" s="17">
        <v>3.0</v>
      </c>
      <c r="F398" s="2">
        <v>600.0</v>
      </c>
    </row>
    <row r="399">
      <c r="B399" s="1" t="s">
        <v>152</v>
      </c>
      <c r="C399" s="13" t="s">
        <v>285</v>
      </c>
      <c r="D399" s="16" t="s">
        <v>11</v>
      </c>
      <c r="E399" s="17">
        <v>2.0</v>
      </c>
      <c r="F399" s="2">
        <v>1000.0</v>
      </c>
    </row>
    <row r="400">
      <c r="B400" s="1" t="s">
        <v>152</v>
      </c>
      <c r="C400" s="13" t="s">
        <v>39</v>
      </c>
      <c r="D400" s="16" t="s">
        <v>308</v>
      </c>
      <c r="E400" s="17">
        <v>2.0</v>
      </c>
      <c r="F400" s="2">
        <v>1000.0</v>
      </c>
    </row>
    <row r="401">
      <c r="B401" s="2" t="s">
        <v>155</v>
      </c>
      <c r="C401" s="13" t="s">
        <v>245</v>
      </c>
      <c r="D401" s="16">
        <v>2322.0</v>
      </c>
      <c r="E401" s="17">
        <v>3.0</v>
      </c>
      <c r="F401" s="2">
        <v>7500.0</v>
      </c>
    </row>
    <row r="402">
      <c r="B402" s="2" t="s">
        <v>155</v>
      </c>
      <c r="C402" s="13" t="s">
        <v>286</v>
      </c>
      <c r="D402" s="16">
        <v>3914.0</v>
      </c>
      <c r="E402" s="17">
        <v>4.0</v>
      </c>
      <c r="F402" s="2">
        <v>1500.0</v>
      </c>
    </row>
    <row r="403">
      <c r="B403" s="2" t="s">
        <v>155</v>
      </c>
      <c r="C403" s="13" t="s">
        <v>268</v>
      </c>
      <c r="D403" s="16" t="s">
        <v>309</v>
      </c>
      <c r="E403" s="17">
        <v>2.0</v>
      </c>
      <c r="F403" s="2">
        <v>600.0</v>
      </c>
    </row>
    <row r="404">
      <c r="B404" s="2" t="s">
        <v>155</v>
      </c>
      <c r="C404" s="13" t="s">
        <v>106</v>
      </c>
      <c r="D404" s="16" t="s">
        <v>308</v>
      </c>
      <c r="E404" s="17">
        <v>2.0</v>
      </c>
      <c r="F404" s="2">
        <v>1000.0</v>
      </c>
    </row>
    <row r="405">
      <c r="B405" s="1" t="s">
        <v>159</v>
      </c>
      <c r="C405" s="13" t="s">
        <v>238</v>
      </c>
      <c r="D405" s="16">
        <v>2327.0</v>
      </c>
      <c r="E405" s="17">
        <v>4.0</v>
      </c>
      <c r="F405" s="2">
        <v>7500.0</v>
      </c>
    </row>
    <row r="406">
      <c r="B406" s="1" t="s">
        <v>159</v>
      </c>
      <c r="C406" s="13" t="s">
        <v>287</v>
      </c>
      <c r="D406" s="16">
        <v>3210.0</v>
      </c>
      <c r="E406" s="17">
        <v>4.0</v>
      </c>
      <c r="F406" s="2">
        <v>1500.0</v>
      </c>
    </row>
    <row r="407">
      <c r="B407" s="1" t="s">
        <v>159</v>
      </c>
      <c r="C407" s="13" t="s">
        <v>237</v>
      </c>
      <c r="D407" s="16" t="s">
        <v>309</v>
      </c>
      <c r="E407" s="17">
        <v>3.0</v>
      </c>
      <c r="F407" s="2">
        <v>600.0</v>
      </c>
    </row>
    <row r="408">
      <c r="B408" s="1" t="s">
        <v>159</v>
      </c>
      <c r="C408" s="13" t="s">
        <v>288</v>
      </c>
      <c r="D408" s="16" t="s">
        <v>308</v>
      </c>
      <c r="E408" s="17">
        <v>1.0</v>
      </c>
      <c r="F408" s="2">
        <v>1000.0</v>
      </c>
    </row>
    <row r="409">
      <c r="B409" s="1" t="s">
        <v>159</v>
      </c>
      <c r="C409" s="13" t="s">
        <v>289</v>
      </c>
      <c r="D409" s="16" t="s">
        <v>305</v>
      </c>
      <c r="E409" s="17">
        <v>2.0</v>
      </c>
      <c r="F409" s="2">
        <v>1000.0</v>
      </c>
    </row>
    <row r="410">
      <c r="B410" s="1" t="s">
        <v>163</v>
      </c>
      <c r="C410" s="13" t="s">
        <v>281</v>
      </c>
      <c r="D410" s="16">
        <v>3214.0</v>
      </c>
      <c r="E410" s="17">
        <v>8.0</v>
      </c>
      <c r="F410" s="2">
        <v>1500.0</v>
      </c>
    </row>
    <row r="411">
      <c r="B411" s="1" t="s">
        <v>163</v>
      </c>
      <c r="C411" s="13" t="s">
        <v>290</v>
      </c>
      <c r="D411" s="16">
        <v>2750.0</v>
      </c>
      <c r="E411" s="17">
        <v>12.0</v>
      </c>
      <c r="F411" s="2">
        <v>1500.0</v>
      </c>
    </row>
    <row r="412">
      <c r="B412" s="1" t="s">
        <v>163</v>
      </c>
      <c r="C412" s="13" t="s">
        <v>291</v>
      </c>
      <c r="D412" s="16" t="s">
        <v>308</v>
      </c>
      <c r="E412" s="17">
        <v>2.0</v>
      </c>
      <c r="F412" s="2">
        <v>1000.0</v>
      </c>
    </row>
    <row r="413">
      <c r="B413" s="1" t="s">
        <v>165</v>
      </c>
      <c r="C413" s="13" t="s">
        <v>292</v>
      </c>
      <c r="D413" s="16" t="s">
        <v>329</v>
      </c>
      <c r="E413" s="17">
        <v>2.0</v>
      </c>
      <c r="F413" s="2">
        <v>2500.0</v>
      </c>
    </row>
    <row r="414">
      <c r="B414" s="1" t="s">
        <v>165</v>
      </c>
      <c r="C414" s="13" t="s">
        <v>238</v>
      </c>
      <c r="D414" s="16">
        <v>2327.0</v>
      </c>
      <c r="E414" s="17">
        <v>5.0</v>
      </c>
      <c r="F414" s="2">
        <v>7500.0</v>
      </c>
    </row>
    <row r="415">
      <c r="B415" s="1" t="s">
        <v>165</v>
      </c>
      <c r="C415" s="13" t="s">
        <v>274</v>
      </c>
      <c r="D415" s="16">
        <v>5514.0</v>
      </c>
      <c r="E415" s="17">
        <v>10.0</v>
      </c>
      <c r="F415" s="2">
        <v>1500.0</v>
      </c>
    </row>
    <row r="416">
      <c r="B416" s="1" t="s">
        <v>165</v>
      </c>
      <c r="C416" s="13" t="s">
        <v>106</v>
      </c>
      <c r="D416" s="16" t="s">
        <v>308</v>
      </c>
      <c r="E416" s="17">
        <v>1.0</v>
      </c>
      <c r="F416" s="2">
        <v>1000.0</v>
      </c>
    </row>
    <row r="417">
      <c r="B417" s="1" t="s">
        <v>165</v>
      </c>
      <c r="C417" s="13" t="s">
        <v>56</v>
      </c>
      <c r="D417" s="16" t="s">
        <v>305</v>
      </c>
      <c r="E417" s="17">
        <v>1.0</v>
      </c>
      <c r="F417" s="2">
        <v>1000.0</v>
      </c>
    </row>
    <row r="418">
      <c r="B418" s="1" t="s">
        <v>165</v>
      </c>
      <c r="C418" s="13" t="s">
        <v>284</v>
      </c>
      <c r="D418" s="16" t="s">
        <v>11</v>
      </c>
      <c r="E418" s="17">
        <v>1.0</v>
      </c>
      <c r="F418" s="2">
        <v>1000.0</v>
      </c>
    </row>
    <row r="419">
      <c r="B419" s="1" t="s">
        <v>165</v>
      </c>
      <c r="C419" s="13" t="s">
        <v>237</v>
      </c>
      <c r="D419" s="16" t="s">
        <v>319</v>
      </c>
      <c r="E419" s="17">
        <v>4.0</v>
      </c>
      <c r="F419" s="2">
        <v>600.0</v>
      </c>
    </row>
    <row r="420">
      <c r="B420" s="1" t="s">
        <v>169</v>
      </c>
      <c r="C420" s="13" t="s">
        <v>219</v>
      </c>
      <c r="D420" s="16">
        <v>6277.0</v>
      </c>
      <c r="E420" s="17">
        <v>8.0</v>
      </c>
      <c r="F420" s="2">
        <v>1500.0</v>
      </c>
    </row>
    <row r="421">
      <c r="B421" s="1" t="s">
        <v>169</v>
      </c>
      <c r="C421" s="13" t="s">
        <v>240</v>
      </c>
      <c r="D421" s="16">
        <v>2307.0</v>
      </c>
      <c r="E421" s="17">
        <v>2.0</v>
      </c>
      <c r="F421" s="2">
        <v>7500.0</v>
      </c>
    </row>
    <row r="422">
      <c r="B422" s="1" t="s">
        <v>169</v>
      </c>
      <c r="C422" s="13" t="s">
        <v>293</v>
      </c>
      <c r="D422" s="16" t="s">
        <v>11</v>
      </c>
      <c r="E422" s="17">
        <v>3.0</v>
      </c>
      <c r="F422" s="2">
        <v>1000.0</v>
      </c>
    </row>
    <row r="423">
      <c r="B423" s="1" t="s">
        <v>169</v>
      </c>
      <c r="C423" s="13" t="s">
        <v>268</v>
      </c>
      <c r="D423" s="16" t="s">
        <v>309</v>
      </c>
      <c r="E423" s="17">
        <v>2.0</v>
      </c>
      <c r="F423" s="2">
        <v>600.0</v>
      </c>
    </row>
    <row r="424">
      <c r="B424" s="2" t="s">
        <v>21</v>
      </c>
      <c r="C424" s="2" t="s">
        <v>294</v>
      </c>
      <c r="D424" s="16" t="s">
        <v>330</v>
      </c>
      <c r="E424" s="17">
        <v>10.0</v>
      </c>
      <c r="F424" s="2">
        <v>500.0</v>
      </c>
    </row>
    <row r="425">
      <c r="B425" s="2" t="s">
        <v>24</v>
      </c>
      <c r="C425" s="2" t="s">
        <v>294</v>
      </c>
      <c r="D425" s="16" t="s">
        <v>330</v>
      </c>
      <c r="E425" s="17">
        <v>10.0</v>
      </c>
      <c r="F425" s="2">
        <v>500.0</v>
      </c>
    </row>
    <row r="426">
      <c r="B426" s="2" t="s">
        <v>25</v>
      </c>
      <c r="C426" s="2" t="s">
        <v>294</v>
      </c>
      <c r="D426" s="16" t="s">
        <v>330</v>
      </c>
      <c r="E426" s="17">
        <v>10.0</v>
      </c>
      <c r="F426" s="2">
        <v>500.0</v>
      </c>
    </row>
    <row r="427">
      <c r="B427" s="2" t="s">
        <v>26</v>
      </c>
      <c r="C427" s="2" t="s">
        <v>294</v>
      </c>
      <c r="D427" s="16" t="s">
        <v>330</v>
      </c>
      <c r="E427" s="17">
        <v>10.0</v>
      </c>
      <c r="F427" s="2">
        <v>500.0</v>
      </c>
    </row>
    <row r="428">
      <c r="B428" s="2" t="s">
        <v>28</v>
      </c>
      <c r="C428" s="2" t="s">
        <v>294</v>
      </c>
      <c r="D428" s="16" t="s">
        <v>330</v>
      </c>
      <c r="E428" s="17">
        <v>10.0</v>
      </c>
      <c r="F428" s="2">
        <v>500.0</v>
      </c>
    </row>
    <row r="429">
      <c r="B429" s="2" t="s">
        <v>33</v>
      </c>
      <c r="C429" s="2" t="s">
        <v>294</v>
      </c>
      <c r="D429" s="16" t="s">
        <v>330</v>
      </c>
      <c r="E429" s="17">
        <v>10.0</v>
      </c>
      <c r="F429" s="2">
        <v>500.0</v>
      </c>
    </row>
    <row r="430">
      <c r="B430" s="2" t="s">
        <v>37</v>
      </c>
      <c r="C430" s="2" t="s">
        <v>294</v>
      </c>
      <c r="D430" s="16" t="s">
        <v>330</v>
      </c>
      <c r="E430" s="17">
        <v>10.0</v>
      </c>
      <c r="F430" s="2">
        <v>500.0</v>
      </c>
    </row>
    <row r="431">
      <c r="B431" s="2" t="s">
        <v>41</v>
      </c>
      <c r="C431" s="2" t="s">
        <v>294</v>
      </c>
      <c r="D431" s="16" t="s">
        <v>330</v>
      </c>
      <c r="E431" s="17">
        <v>10.0</v>
      </c>
      <c r="F431" s="2">
        <v>500.0</v>
      </c>
    </row>
    <row r="432">
      <c r="B432" s="2" t="s">
        <v>43</v>
      </c>
      <c r="C432" s="2" t="s">
        <v>294</v>
      </c>
      <c r="D432" s="16" t="s">
        <v>330</v>
      </c>
      <c r="E432" s="17">
        <v>10.0</v>
      </c>
      <c r="F432" s="2">
        <v>500.0</v>
      </c>
    </row>
    <row r="433">
      <c r="B433" s="2" t="s">
        <v>44</v>
      </c>
      <c r="C433" s="2" t="s">
        <v>294</v>
      </c>
      <c r="D433" s="16" t="s">
        <v>330</v>
      </c>
      <c r="E433" s="17">
        <v>10.0</v>
      </c>
      <c r="F433" s="2">
        <v>500.0</v>
      </c>
    </row>
    <row r="434">
      <c r="B434" s="2" t="s">
        <v>46</v>
      </c>
      <c r="C434" s="2" t="s">
        <v>294</v>
      </c>
      <c r="D434" s="16" t="s">
        <v>330</v>
      </c>
      <c r="E434" s="17">
        <v>10.0</v>
      </c>
      <c r="F434" s="2">
        <v>500.0</v>
      </c>
    </row>
    <row r="435">
      <c r="B435" s="2" t="s">
        <v>50</v>
      </c>
      <c r="C435" s="2" t="s">
        <v>294</v>
      </c>
      <c r="D435" s="16" t="s">
        <v>330</v>
      </c>
      <c r="E435" s="17">
        <v>10.0</v>
      </c>
      <c r="F435" s="2">
        <v>500.0</v>
      </c>
    </row>
    <row r="436">
      <c r="B436" s="2" t="s">
        <v>51</v>
      </c>
      <c r="C436" s="2" t="s">
        <v>294</v>
      </c>
      <c r="D436" s="16" t="s">
        <v>330</v>
      </c>
      <c r="E436" s="17">
        <v>10.0</v>
      </c>
      <c r="F436" s="2">
        <v>500.0</v>
      </c>
    </row>
    <row r="437">
      <c r="B437" s="2" t="s">
        <v>52</v>
      </c>
      <c r="C437" s="2" t="s">
        <v>294</v>
      </c>
      <c r="D437" s="16" t="s">
        <v>330</v>
      </c>
      <c r="E437" s="17">
        <v>10.0</v>
      </c>
      <c r="F437" s="2">
        <v>500.0</v>
      </c>
    </row>
    <row r="438">
      <c r="B438" s="2" t="s">
        <v>54</v>
      </c>
      <c r="C438" s="2" t="s">
        <v>294</v>
      </c>
      <c r="D438" s="16" t="s">
        <v>330</v>
      </c>
      <c r="E438" s="17">
        <v>10.0</v>
      </c>
      <c r="F438" s="2">
        <v>500.0</v>
      </c>
    </row>
    <row r="439">
      <c r="B439" s="2" t="s">
        <v>58</v>
      </c>
      <c r="C439" s="2" t="s">
        <v>294</v>
      </c>
      <c r="D439" s="16" t="s">
        <v>330</v>
      </c>
      <c r="E439" s="17">
        <v>10.0</v>
      </c>
      <c r="F439" s="2">
        <v>500.0</v>
      </c>
    </row>
    <row r="440">
      <c r="B440" s="2" t="s">
        <v>60</v>
      </c>
      <c r="C440" s="2" t="s">
        <v>294</v>
      </c>
      <c r="D440" s="16" t="s">
        <v>330</v>
      </c>
      <c r="E440" s="17">
        <v>10.0</v>
      </c>
      <c r="F440" s="2">
        <v>500.0</v>
      </c>
    </row>
    <row r="441">
      <c r="B441" s="2" t="s">
        <v>62</v>
      </c>
      <c r="C441" s="2" t="s">
        <v>294</v>
      </c>
      <c r="D441" s="16" t="s">
        <v>330</v>
      </c>
      <c r="E441" s="17">
        <v>10.0</v>
      </c>
      <c r="F441" s="2">
        <v>500.0</v>
      </c>
    </row>
    <row r="442">
      <c r="B442" s="2" t="s">
        <v>64</v>
      </c>
      <c r="C442" s="2" t="s">
        <v>294</v>
      </c>
      <c r="D442" s="16" t="s">
        <v>330</v>
      </c>
      <c r="E442" s="17">
        <v>10.0</v>
      </c>
      <c r="F442" s="2">
        <v>500.0</v>
      </c>
    </row>
    <row r="443">
      <c r="B443" s="2" t="s">
        <v>66</v>
      </c>
      <c r="C443" s="2" t="s">
        <v>294</v>
      </c>
      <c r="D443" s="16" t="s">
        <v>330</v>
      </c>
      <c r="E443" s="17">
        <v>10.0</v>
      </c>
      <c r="F443" s="2">
        <v>500.0</v>
      </c>
    </row>
    <row r="444">
      <c r="B444" s="2" t="s">
        <v>67</v>
      </c>
      <c r="C444" s="2" t="s">
        <v>294</v>
      </c>
      <c r="D444" s="16" t="s">
        <v>330</v>
      </c>
      <c r="E444" s="17">
        <v>10.0</v>
      </c>
      <c r="F444" s="2">
        <v>500.0</v>
      </c>
    </row>
    <row r="445">
      <c r="B445" s="2" t="s">
        <v>68</v>
      </c>
      <c r="C445" s="2" t="s">
        <v>294</v>
      </c>
      <c r="D445" s="16" t="s">
        <v>330</v>
      </c>
      <c r="E445" s="17">
        <v>10.0</v>
      </c>
      <c r="F445" s="2">
        <v>500.0</v>
      </c>
    </row>
    <row r="446">
      <c r="B446" s="2" t="s">
        <v>70</v>
      </c>
      <c r="C446" s="2" t="s">
        <v>294</v>
      </c>
      <c r="D446" s="16" t="s">
        <v>330</v>
      </c>
      <c r="E446" s="17">
        <v>10.0</v>
      </c>
      <c r="F446" s="2">
        <v>500.0</v>
      </c>
    </row>
    <row r="447">
      <c r="B447" s="2" t="s">
        <v>72</v>
      </c>
      <c r="C447" s="2" t="s">
        <v>294</v>
      </c>
      <c r="D447" s="16" t="s">
        <v>330</v>
      </c>
      <c r="E447" s="17">
        <v>10.0</v>
      </c>
      <c r="F447" s="2">
        <v>500.0</v>
      </c>
    </row>
    <row r="448">
      <c r="B448" s="2" t="s">
        <v>73</v>
      </c>
      <c r="C448" s="2" t="s">
        <v>294</v>
      </c>
      <c r="D448" s="16" t="s">
        <v>330</v>
      </c>
      <c r="E448" s="17">
        <v>10.0</v>
      </c>
      <c r="F448" s="2">
        <v>500.0</v>
      </c>
    </row>
    <row r="449">
      <c r="B449" s="2" t="s">
        <v>74</v>
      </c>
      <c r="C449" s="2" t="s">
        <v>294</v>
      </c>
      <c r="D449" s="16" t="s">
        <v>330</v>
      </c>
      <c r="E449" s="17">
        <v>10.0</v>
      </c>
      <c r="F449" s="2">
        <v>500.0</v>
      </c>
    </row>
    <row r="450">
      <c r="B450" s="2" t="s">
        <v>75</v>
      </c>
      <c r="C450" s="2" t="s">
        <v>294</v>
      </c>
      <c r="D450" s="16" t="s">
        <v>330</v>
      </c>
      <c r="E450" s="17">
        <v>10.0</v>
      </c>
      <c r="F450" s="2">
        <v>500.0</v>
      </c>
    </row>
    <row r="451">
      <c r="B451" s="2" t="s">
        <v>76</v>
      </c>
      <c r="C451" s="2" t="s">
        <v>294</v>
      </c>
      <c r="D451" s="16" t="s">
        <v>330</v>
      </c>
      <c r="E451" s="17">
        <v>10.0</v>
      </c>
      <c r="F451" s="2">
        <v>500.0</v>
      </c>
    </row>
    <row r="452">
      <c r="B452" s="2" t="s">
        <v>77</v>
      </c>
      <c r="C452" s="2" t="s">
        <v>294</v>
      </c>
      <c r="D452" s="16" t="s">
        <v>330</v>
      </c>
      <c r="E452" s="17">
        <v>10.0</v>
      </c>
      <c r="F452" s="2">
        <v>500.0</v>
      </c>
    </row>
    <row r="453">
      <c r="B453" s="2" t="s">
        <v>78</v>
      </c>
      <c r="C453" s="2" t="s">
        <v>294</v>
      </c>
      <c r="D453" s="16" t="s">
        <v>330</v>
      </c>
      <c r="E453" s="17">
        <v>10.0</v>
      </c>
      <c r="F453" s="2">
        <v>500.0</v>
      </c>
    </row>
    <row r="454">
      <c r="B454" s="2" t="s">
        <v>79</v>
      </c>
      <c r="C454" s="2" t="s">
        <v>294</v>
      </c>
      <c r="D454" s="16" t="s">
        <v>330</v>
      </c>
      <c r="E454" s="17">
        <v>10.0</v>
      </c>
      <c r="F454" s="2">
        <v>500.0</v>
      </c>
    </row>
    <row r="455">
      <c r="B455" s="2" t="s">
        <v>80</v>
      </c>
      <c r="C455" s="2" t="s">
        <v>294</v>
      </c>
      <c r="D455" s="16" t="s">
        <v>330</v>
      </c>
      <c r="E455" s="17">
        <v>10.0</v>
      </c>
      <c r="F455" s="2">
        <v>500.0</v>
      </c>
    </row>
    <row r="456">
      <c r="B456" s="2" t="s">
        <v>81</v>
      </c>
      <c r="C456" s="2" t="s">
        <v>294</v>
      </c>
      <c r="D456" s="16" t="s">
        <v>330</v>
      </c>
      <c r="E456" s="17">
        <v>10.0</v>
      </c>
      <c r="F456" s="2">
        <v>500.0</v>
      </c>
    </row>
    <row r="457">
      <c r="B457" s="2" t="s">
        <v>82</v>
      </c>
      <c r="C457" s="2" t="s">
        <v>294</v>
      </c>
      <c r="D457" s="16" t="s">
        <v>330</v>
      </c>
      <c r="E457" s="17">
        <v>10.0</v>
      </c>
      <c r="F457" s="2">
        <v>500.0</v>
      </c>
    </row>
    <row r="458">
      <c r="B458" s="2" t="s">
        <v>83</v>
      </c>
      <c r="C458" s="2" t="s">
        <v>294</v>
      </c>
      <c r="D458" s="16" t="s">
        <v>330</v>
      </c>
      <c r="E458" s="17">
        <v>10.0</v>
      </c>
      <c r="F458" s="2">
        <v>500.0</v>
      </c>
    </row>
    <row r="459">
      <c r="B459" s="2" t="s">
        <v>84</v>
      </c>
      <c r="C459" s="2" t="s">
        <v>294</v>
      </c>
      <c r="D459" s="16" t="s">
        <v>330</v>
      </c>
      <c r="E459" s="17">
        <v>10.0</v>
      </c>
      <c r="F459" s="2">
        <v>500.0</v>
      </c>
    </row>
    <row r="460">
      <c r="B460" s="2" t="s">
        <v>85</v>
      </c>
      <c r="C460" s="2" t="s">
        <v>294</v>
      </c>
      <c r="D460" s="16" t="s">
        <v>330</v>
      </c>
      <c r="E460" s="17">
        <v>10.0</v>
      </c>
      <c r="F460" s="2">
        <v>500.0</v>
      </c>
    </row>
    <row r="461">
      <c r="B461" s="2" t="s">
        <v>86</v>
      </c>
      <c r="C461" s="2" t="s">
        <v>294</v>
      </c>
      <c r="D461" s="16" t="s">
        <v>330</v>
      </c>
      <c r="E461" s="17">
        <v>10.0</v>
      </c>
      <c r="F461" s="2">
        <v>500.0</v>
      </c>
    </row>
    <row r="462">
      <c r="B462" s="2" t="s">
        <v>87</v>
      </c>
      <c r="C462" s="2" t="s">
        <v>294</v>
      </c>
      <c r="D462" s="16" t="s">
        <v>330</v>
      </c>
      <c r="E462" s="17">
        <v>10.0</v>
      </c>
      <c r="F462" s="2">
        <v>500.0</v>
      </c>
    </row>
    <row r="463">
      <c r="B463" s="2" t="s">
        <v>88</v>
      </c>
      <c r="C463" s="2" t="s">
        <v>294</v>
      </c>
      <c r="D463" s="16" t="s">
        <v>330</v>
      </c>
      <c r="E463" s="17">
        <v>10.0</v>
      </c>
      <c r="F463" s="2">
        <v>500.0</v>
      </c>
    </row>
    <row r="464">
      <c r="B464" s="2" t="s">
        <v>89</v>
      </c>
      <c r="C464" s="2" t="s">
        <v>294</v>
      </c>
      <c r="D464" s="16" t="s">
        <v>330</v>
      </c>
      <c r="E464" s="17">
        <v>10.0</v>
      </c>
      <c r="F464" s="2">
        <v>500.0</v>
      </c>
    </row>
    <row r="465">
      <c r="B465" s="2" t="s">
        <v>90</v>
      </c>
      <c r="C465" s="2" t="s">
        <v>294</v>
      </c>
      <c r="D465" s="16" t="s">
        <v>330</v>
      </c>
      <c r="E465" s="17">
        <v>10.0</v>
      </c>
      <c r="F465" s="2">
        <v>500.0</v>
      </c>
    </row>
    <row r="466">
      <c r="B466" s="2" t="s">
        <v>91</v>
      </c>
      <c r="C466" s="2" t="s">
        <v>294</v>
      </c>
      <c r="D466" s="16" t="s">
        <v>330</v>
      </c>
      <c r="E466" s="17">
        <v>10.0</v>
      </c>
      <c r="F466" s="2">
        <v>500.0</v>
      </c>
    </row>
    <row r="467">
      <c r="B467" s="2" t="s">
        <v>92</v>
      </c>
      <c r="C467" s="2" t="s">
        <v>294</v>
      </c>
      <c r="D467" s="16" t="s">
        <v>330</v>
      </c>
      <c r="E467" s="17">
        <v>10.0</v>
      </c>
      <c r="F467" s="2">
        <v>500.0</v>
      </c>
    </row>
    <row r="468">
      <c r="B468" s="2" t="s">
        <v>93</v>
      </c>
      <c r="C468" s="2" t="s">
        <v>294</v>
      </c>
      <c r="D468" s="16" t="s">
        <v>330</v>
      </c>
      <c r="E468" s="17">
        <v>10.0</v>
      </c>
      <c r="F468" s="2">
        <v>500.0</v>
      </c>
    </row>
    <row r="469">
      <c r="B469" s="2" t="s">
        <v>94</v>
      </c>
      <c r="C469" s="2" t="s">
        <v>294</v>
      </c>
      <c r="D469" s="16" t="s">
        <v>330</v>
      </c>
      <c r="E469" s="17">
        <v>10.0</v>
      </c>
      <c r="F469" s="2">
        <v>500.0</v>
      </c>
    </row>
    <row r="470">
      <c r="B470" s="2" t="s">
        <v>95</v>
      </c>
      <c r="C470" s="2" t="s">
        <v>294</v>
      </c>
      <c r="D470" s="16" t="s">
        <v>330</v>
      </c>
      <c r="E470" s="17">
        <v>10.0</v>
      </c>
      <c r="F470" s="2">
        <v>500.0</v>
      </c>
    </row>
    <row r="471">
      <c r="B471" s="2" t="s">
        <v>96</v>
      </c>
      <c r="C471" s="2" t="s">
        <v>294</v>
      </c>
      <c r="D471" s="16" t="s">
        <v>330</v>
      </c>
      <c r="E471" s="17">
        <v>10.0</v>
      </c>
      <c r="F471" s="2">
        <v>500.0</v>
      </c>
    </row>
    <row r="472">
      <c r="B472" s="2" t="s">
        <v>97</v>
      </c>
      <c r="C472" s="2" t="s">
        <v>294</v>
      </c>
      <c r="D472" s="16" t="s">
        <v>330</v>
      </c>
      <c r="E472" s="17">
        <v>10.0</v>
      </c>
      <c r="F472" s="2">
        <v>500.0</v>
      </c>
    </row>
    <row r="473">
      <c r="B473" s="2" t="s">
        <v>98</v>
      </c>
      <c r="C473" s="2" t="s">
        <v>294</v>
      </c>
      <c r="D473" s="16" t="s">
        <v>330</v>
      </c>
      <c r="E473" s="17">
        <v>10.0</v>
      </c>
      <c r="F473" s="2">
        <v>500.0</v>
      </c>
    </row>
    <row r="474">
      <c r="B474" s="2" t="s">
        <v>99</v>
      </c>
      <c r="C474" s="2" t="s">
        <v>294</v>
      </c>
      <c r="D474" s="16" t="s">
        <v>330</v>
      </c>
      <c r="E474" s="17">
        <v>10.0</v>
      </c>
      <c r="F474" s="2">
        <v>500.0</v>
      </c>
    </row>
    <row r="475">
      <c r="B475" s="2" t="s">
        <v>100</v>
      </c>
      <c r="C475" s="2" t="s">
        <v>294</v>
      </c>
      <c r="D475" s="16" t="s">
        <v>330</v>
      </c>
      <c r="E475" s="17">
        <v>10.0</v>
      </c>
      <c r="F475" s="2">
        <v>500.0</v>
      </c>
    </row>
    <row r="476">
      <c r="B476" s="2" t="s">
        <v>101</v>
      </c>
      <c r="C476" s="2" t="s">
        <v>294</v>
      </c>
      <c r="D476" s="16" t="s">
        <v>330</v>
      </c>
      <c r="E476" s="17">
        <v>10.0</v>
      </c>
      <c r="F476" s="2">
        <v>500.0</v>
      </c>
    </row>
    <row r="477">
      <c r="B477" s="2" t="s">
        <v>102</v>
      </c>
      <c r="C477" s="2" t="s">
        <v>294</v>
      </c>
      <c r="D477" s="16" t="s">
        <v>330</v>
      </c>
      <c r="E477" s="17">
        <v>10.0</v>
      </c>
      <c r="F477" s="2">
        <v>500.0</v>
      </c>
    </row>
    <row r="478">
      <c r="B478" s="2" t="s">
        <v>103</v>
      </c>
      <c r="C478" s="2" t="s">
        <v>294</v>
      </c>
      <c r="D478" s="16" t="s">
        <v>330</v>
      </c>
      <c r="E478" s="17">
        <v>10.0</v>
      </c>
      <c r="F478" s="2">
        <v>500.0</v>
      </c>
    </row>
    <row r="479">
      <c r="B479" s="2" t="s">
        <v>105</v>
      </c>
      <c r="C479" s="2" t="s">
        <v>294</v>
      </c>
      <c r="D479" s="16" t="s">
        <v>330</v>
      </c>
      <c r="E479" s="17">
        <v>10.0</v>
      </c>
      <c r="F479" s="2">
        <v>500.0</v>
      </c>
    </row>
    <row r="480">
      <c r="B480" s="2" t="s">
        <v>108</v>
      </c>
      <c r="C480" s="2" t="s">
        <v>294</v>
      </c>
      <c r="D480" s="16" t="s">
        <v>330</v>
      </c>
      <c r="E480" s="17">
        <v>10.0</v>
      </c>
      <c r="F480" s="2">
        <v>500.0</v>
      </c>
    </row>
    <row r="481">
      <c r="B481" s="2" t="s">
        <v>112</v>
      </c>
      <c r="C481" s="2" t="s">
        <v>294</v>
      </c>
      <c r="D481" s="16" t="s">
        <v>330</v>
      </c>
      <c r="E481" s="17">
        <v>10.0</v>
      </c>
      <c r="F481" s="2">
        <v>500.0</v>
      </c>
    </row>
    <row r="482">
      <c r="B482" s="2" t="s">
        <v>116</v>
      </c>
      <c r="C482" s="2" t="s">
        <v>294</v>
      </c>
      <c r="D482" s="16" t="s">
        <v>330</v>
      </c>
      <c r="E482" s="17">
        <v>10.0</v>
      </c>
      <c r="F482" s="2">
        <v>500.0</v>
      </c>
    </row>
    <row r="483">
      <c r="B483" s="2" t="s">
        <v>118</v>
      </c>
      <c r="C483" s="2" t="s">
        <v>294</v>
      </c>
      <c r="D483" s="16" t="s">
        <v>330</v>
      </c>
      <c r="E483" s="17">
        <v>10.0</v>
      </c>
      <c r="F483" s="2">
        <v>500.0</v>
      </c>
    </row>
    <row r="484">
      <c r="B484" s="2" t="s">
        <v>121</v>
      </c>
      <c r="C484" s="2" t="s">
        <v>294</v>
      </c>
      <c r="D484" s="16" t="s">
        <v>330</v>
      </c>
      <c r="E484" s="17">
        <v>10.0</v>
      </c>
      <c r="F484" s="2">
        <v>500.0</v>
      </c>
    </row>
    <row r="485">
      <c r="B485" s="2" t="s">
        <v>122</v>
      </c>
      <c r="C485" s="2" t="s">
        <v>294</v>
      </c>
      <c r="D485" s="16" t="s">
        <v>330</v>
      </c>
      <c r="E485" s="17">
        <v>10.0</v>
      </c>
      <c r="F485" s="2">
        <v>500.0</v>
      </c>
    </row>
    <row r="486">
      <c r="B486" s="2" t="s">
        <v>123</v>
      </c>
      <c r="C486" s="2" t="s">
        <v>294</v>
      </c>
      <c r="D486" s="16" t="s">
        <v>330</v>
      </c>
      <c r="E486" s="17">
        <v>10.0</v>
      </c>
      <c r="F486" s="2">
        <v>500.0</v>
      </c>
    </row>
    <row r="487">
      <c r="B487" s="2" t="s">
        <v>125</v>
      </c>
      <c r="C487" s="2" t="s">
        <v>294</v>
      </c>
      <c r="D487" s="16" t="s">
        <v>330</v>
      </c>
      <c r="E487" s="17">
        <v>10.0</v>
      </c>
      <c r="F487" s="2">
        <v>500.0</v>
      </c>
    </row>
    <row r="488">
      <c r="B488" s="2" t="s">
        <v>128</v>
      </c>
      <c r="C488" s="2" t="s">
        <v>294</v>
      </c>
      <c r="D488" s="16" t="s">
        <v>330</v>
      </c>
      <c r="E488" s="17">
        <v>10.0</v>
      </c>
      <c r="F488" s="2">
        <v>500.0</v>
      </c>
    </row>
    <row r="489">
      <c r="B489" s="2" t="s">
        <v>129</v>
      </c>
      <c r="C489" s="2" t="s">
        <v>294</v>
      </c>
      <c r="D489" s="16" t="s">
        <v>330</v>
      </c>
      <c r="E489" s="17">
        <v>10.0</v>
      </c>
      <c r="F489" s="2">
        <v>500.0</v>
      </c>
    </row>
    <row r="490">
      <c r="B490" s="2" t="s">
        <v>130</v>
      </c>
      <c r="C490" s="2" t="s">
        <v>294</v>
      </c>
      <c r="D490" s="16" t="s">
        <v>330</v>
      </c>
      <c r="E490" s="17">
        <v>10.0</v>
      </c>
      <c r="F490" s="2">
        <v>500.0</v>
      </c>
    </row>
    <row r="491">
      <c r="B491" s="2" t="s">
        <v>131</v>
      </c>
      <c r="C491" s="2" t="s">
        <v>294</v>
      </c>
      <c r="D491" s="16" t="s">
        <v>330</v>
      </c>
      <c r="E491" s="17">
        <v>10.0</v>
      </c>
      <c r="F491" s="2">
        <v>500.0</v>
      </c>
    </row>
    <row r="492">
      <c r="B492" s="2" t="s">
        <v>132</v>
      </c>
      <c r="C492" s="2" t="s">
        <v>294</v>
      </c>
      <c r="D492" s="16" t="s">
        <v>330</v>
      </c>
      <c r="E492" s="17">
        <v>10.0</v>
      </c>
      <c r="F492" s="2">
        <v>500.0</v>
      </c>
    </row>
    <row r="493">
      <c r="B493" s="2" t="s">
        <v>133</v>
      </c>
      <c r="C493" s="2" t="s">
        <v>294</v>
      </c>
      <c r="D493" s="16" t="s">
        <v>330</v>
      </c>
      <c r="E493" s="17">
        <v>10.0</v>
      </c>
      <c r="F493" s="2">
        <v>500.0</v>
      </c>
    </row>
    <row r="494">
      <c r="B494" s="2" t="s">
        <v>134</v>
      </c>
      <c r="C494" s="2" t="s">
        <v>294</v>
      </c>
      <c r="D494" s="16" t="s">
        <v>330</v>
      </c>
      <c r="E494" s="17">
        <v>10.0</v>
      </c>
      <c r="F494" s="2">
        <v>500.0</v>
      </c>
    </row>
    <row r="495">
      <c r="B495" s="2" t="s">
        <v>135</v>
      </c>
      <c r="C495" s="2" t="s">
        <v>294</v>
      </c>
      <c r="D495" s="16" t="s">
        <v>330</v>
      </c>
      <c r="E495" s="17">
        <v>10.0</v>
      </c>
      <c r="F495" s="2">
        <v>500.0</v>
      </c>
    </row>
    <row r="496">
      <c r="B496" s="2" t="s">
        <v>136</v>
      </c>
      <c r="C496" s="2" t="s">
        <v>294</v>
      </c>
      <c r="D496" s="16" t="s">
        <v>330</v>
      </c>
      <c r="E496" s="17">
        <v>10.0</v>
      </c>
      <c r="F496" s="2">
        <v>500.0</v>
      </c>
    </row>
    <row r="497">
      <c r="B497" s="2" t="s">
        <v>138</v>
      </c>
      <c r="C497" s="2" t="s">
        <v>294</v>
      </c>
      <c r="D497" s="16" t="s">
        <v>330</v>
      </c>
      <c r="E497" s="17">
        <v>10.0</v>
      </c>
      <c r="F497" s="2">
        <v>500.0</v>
      </c>
    </row>
    <row r="498">
      <c r="B498" s="2" t="s">
        <v>140</v>
      </c>
      <c r="C498" s="2" t="s">
        <v>294</v>
      </c>
      <c r="D498" s="16" t="s">
        <v>330</v>
      </c>
      <c r="E498" s="17">
        <v>10.0</v>
      </c>
      <c r="F498" s="2">
        <v>500.0</v>
      </c>
    </row>
    <row r="499">
      <c r="B499" s="2" t="s">
        <v>142</v>
      </c>
      <c r="C499" s="2" t="s">
        <v>294</v>
      </c>
      <c r="D499" s="16" t="s">
        <v>330</v>
      </c>
      <c r="E499" s="17">
        <v>10.0</v>
      </c>
      <c r="F499" s="2">
        <v>500.0</v>
      </c>
    </row>
    <row r="500">
      <c r="B500" s="2" t="s">
        <v>143</v>
      </c>
      <c r="C500" s="2" t="s">
        <v>294</v>
      </c>
      <c r="D500" s="16" t="s">
        <v>330</v>
      </c>
      <c r="E500" s="17">
        <v>10.0</v>
      </c>
      <c r="F500" s="2">
        <v>500.0</v>
      </c>
    </row>
    <row r="501">
      <c r="B501" s="2" t="s">
        <v>145</v>
      </c>
      <c r="C501" s="2" t="s">
        <v>294</v>
      </c>
      <c r="D501" s="16" t="s">
        <v>330</v>
      </c>
      <c r="E501" s="17">
        <v>10.0</v>
      </c>
      <c r="F501" s="2">
        <v>500.0</v>
      </c>
    </row>
    <row r="502">
      <c r="B502" s="2" t="s">
        <v>146</v>
      </c>
      <c r="C502" s="2" t="s">
        <v>294</v>
      </c>
      <c r="D502" s="16" t="s">
        <v>330</v>
      </c>
      <c r="E502" s="17">
        <v>10.0</v>
      </c>
      <c r="F502" s="2">
        <v>500.0</v>
      </c>
    </row>
    <row r="503">
      <c r="B503" s="2" t="s">
        <v>147</v>
      </c>
      <c r="C503" s="2" t="s">
        <v>294</v>
      </c>
      <c r="D503" s="16" t="s">
        <v>330</v>
      </c>
      <c r="E503" s="17">
        <v>10.0</v>
      </c>
      <c r="F503" s="2">
        <v>500.0</v>
      </c>
    </row>
    <row r="504">
      <c r="B504" s="2" t="s">
        <v>148</v>
      </c>
      <c r="C504" s="2" t="s">
        <v>294</v>
      </c>
      <c r="D504" s="16" t="s">
        <v>330</v>
      </c>
      <c r="E504" s="17">
        <v>10.0</v>
      </c>
      <c r="F504" s="2">
        <v>500.0</v>
      </c>
    </row>
    <row r="505">
      <c r="B505" s="2" t="s">
        <v>150</v>
      </c>
      <c r="C505" s="2" t="s">
        <v>294</v>
      </c>
      <c r="D505" s="16" t="s">
        <v>330</v>
      </c>
      <c r="E505" s="17">
        <v>10.0</v>
      </c>
      <c r="F505" s="2">
        <v>500.0</v>
      </c>
    </row>
    <row r="506">
      <c r="B506" s="2" t="s">
        <v>151</v>
      </c>
      <c r="C506" s="2" t="s">
        <v>294</v>
      </c>
      <c r="D506" s="16" t="s">
        <v>330</v>
      </c>
      <c r="E506" s="17">
        <v>10.0</v>
      </c>
      <c r="F506" s="2">
        <v>500.0</v>
      </c>
    </row>
    <row r="507">
      <c r="B507" s="2" t="s">
        <v>152</v>
      </c>
      <c r="C507" s="2" t="s">
        <v>294</v>
      </c>
      <c r="D507" s="16" t="s">
        <v>330</v>
      </c>
      <c r="E507" s="17">
        <v>10.0</v>
      </c>
      <c r="F507" s="2">
        <v>500.0</v>
      </c>
    </row>
    <row r="508">
      <c r="B508" s="2" t="s">
        <v>153</v>
      </c>
      <c r="C508" s="2" t="s">
        <v>294</v>
      </c>
      <c r="D508" s="16" t="s">
        <v>330</v>
      </c>
      <c r="E508" s="17">
        <v>10.0</v>
      </c>
      <c r="F508" s="2">
        <v>500.0</v>
      </c>
    </row>
    <row r="509">
      <c r="B509" s="2" t="s">
        <v>155</v>
      </c>
      <c r="C509" s="2" t="s">
        <v>294</v>
      </c>
      <c r="D509" s="16" t="s">
        <v>330</v>
      </c>
      <c r="E509" s="17">
        <v>10.0</v>
      </c>
      <c r="F509" s="2">
        <v>500.0</v>
      </c>
    </row>
    <row r="510">
      <c r="B510" s="2" t="s">
        <v>156</v>
      </c>
      <c r="C510" s="2" t="s">
        <v>294</v>
      </c>
      <c r="D510" s="16" t="s">
        <v>330</v>
      </c>
      <c r="E510" s="17">
        <v>10.0</v>
      </c>
      <c r="F510" s="2">
        <v>500.0</v>
      </c>
    </row>
    <row r="511">
      <c r="B511" s="2" t="s">
        <v>157</v>
      </c>
      <c r="C511" s="2" t="s">
        <v>294</v>
      </c>
      <c r="D511" s="16" t="s">
        <v>330</v>
      </c>
      <c r="E511" s="17">
        <v>10.0</v>
      </c>
      <c r="F511" s="2">
        <v>500.0</v>
      </c>
    </row>
    <row r="512">
      <c r="B512" s="2" t="s">
        <v>159</v>
      </c>
      <c r="C512" s="2" t="s">
        <v>294</v>
      </c>
      <c r="D512" s="16" t="s">
        <v>330</v>
      </c>
      <c r="E512" s="17">
        <v>10.0</v>
      </c>
      <c r="F512" s="2">
        <v>500.0</v>
      </c>
    </row>
    <row r="513">
      <c r="B513" s="2" t="s">
        <v>160</v>
      </c>
      <c r="C513" s="2" t="s">
        <v>294</v>
      </c>
      <c r="D513" s="16" t="s">
        <v>330</v>
      </c>
      <c r="E513" s="17">
        <v>10.0</v>
      </c>
      <c r="F513" s="2">
        <v>500.0</v>
      </c>
    </row>
    <row r="514">
      <c r="B514" s="2" t="s">
        <v>161</v>
      </c>
      <c r="C514" s="2" t="s">
        <v>294</v>
      </c>
      <c r="D514" s="16" t="s">
        <v>330</v>
      </c>
      <c r="E514" s="17">
        <v>10.0</v>
      </c>
      <c r="F514" s="2">
        <v>500.0</v>
      </c>
    </row>
    <row r="515">
      <c r="B515" s="1" t="s">
        <v>163</v>
      </c>
      <c r="C515" s="2" t="s">
        <v>294</v>
      </c>
      <c r="D515" s="16" t="s">
        <v>330</v>
      </c>
      <c r="E515" s="17">
        <v>10.0</v>
      </c>
      <c r="F515" s="2">
        <v>500.0</v>
      </c>
    </row>
    <row r="516">
      <c r="B516" s="1" t="s">
        <v>165</v>
      </c>
      <c r="C516" s="2" t="s">
        <v>294</v>
      </c>
      <c r="D516" s="16" t="s">
        <v>330</v>
      </c>
      <c r="E516" s="17">
        <v>10.0</v>
      </c>
      <c r="F516" s="2">
        <v>500.0</v>
      </c>
    </row>
    <row r="517">
      <c r="B517" s="1" t="s">
        <v>167</v>
      </c>
      <c r="C517" s="2" t="s">
        <v>294</v>
      </c>
      <c r="D517" s="16" t="s">
        <v>330</v>
      </c>
      <c r="E517" s="17">
        <v>10.0</v>
      </c>
      <c r="F517" s="2">
        <v>500.0</v>
      </c>
    </row>
    <row r="518">
      <c r="B518" s="1" t="s">
        <v>169</v>
      </c>
      <c r="C518" s="2" t="s">
        <v>294</v>
      </c>
      <c r="D518" s="16" t="s">
        <v>330</v>
      </c>
      <c r="E518" s="17">
        <v>10.0</v>
      </c>
      <c r="F518" s="2">
        <v>500.0</v>
      </c>
    </row>
    <row r="519">
      <c r="B519" s="2" t="s">
        <v>171</v>
      </c>
      <c r="C519" s="2" t="s">
        <v>294</v>
      </c>
      <c r="D519" s="16" t="s">
        <v>330</v>
      </c>
      <c r="E519" s="17">
        <v>10.0</v>
      </c>
      <c r="F519" s="2">
        <v>500.0</v>
      </c>
    </row>
    <row r="520">
      <c r="B520" s="2" t="s">
        <v>174</v>
      </c>
      <c r="C520" s="2" t="s">
        <v>294</v>
      </c>
      <c r="D520" s="16" t="s">
        <v>330</v>
      </c>
      <c r="E520" s="17">
        <v>10.0</v>
      </c>
      <c r="F520" s="2">
        <v>500.0</v>
      </c>
    </row>
    <row r="521">
      <c r="B521" s="2" t="s">
        <v>177</v>
      </c>
      <c r="C521" s="2" t="s">
        <v>294</v>
      </c>
      <c r="D521" s="16" t="s">
        <v>330</v>
      </c>
      <c r="E521" s="17">
        <v>10.0</v>
      </c>
      <c r="F521" s="2">
        <v>500.0</v>
      </c>
    </row>
    <row r="522">
      <c r="B522" s="2" t="s">
        <v>179</v>
      </c>
      <c r="C522" s="2" t="s">
        <v>294</v>
      </c>
      <c r="D522" s="16" t="s">
        <v>330</v>
      </c>
      <c r="E522" s="17">
        <v>10.0</v>
      </c>
      <c r="F522" s="2">
        <v>500.0</v>
      </c>
    </row>
    <row r="523">
      <c r="B523" s="2" t="s">
        <v>180</v>
      </c>
      <c r="C523" s="2" t="s">
        <v>294</v>
      </c>
      <c r="D523" s="16" t="s">
        <v>330</v>
      </c>
      <c r="E523" s="17">
        <v>10.0</v>
      </c>
      <c r="F523" s="2">
        <v>500.0</v>
      </c>
    </row>
    <row r="524">
      <c r="B524" s="2" t="s">
        <v>182</v>
      </c>
      <c r="C524" s="2" t="s">
        <v>294</v>
      </c>
      <c r="D524" s="16" t="s">
        <v>330</v>
      </c>
      <c r="E524" s="17">
        <v>10.0</v>
      </c>
      <c r="F524" s="2">
        <v>500.0</v>
      </c>
    </row>
    <row r="525">
      <c r="B525" s="2" t="s">
        <v>184</v>
      </c>
      <c r="C525" s="2" t="s">
        <v>294</v>
      </c>
      <c r="D525" s="16" t="s">
        <v>330</v>
      </c>
      <c r="E525" s="17">
        <v>10.0</v>
      </c>
      <c r="F525" s="2">
        <v>500.0</v>
      </c>
    </row>
    <row r="526">
      <c r="B526" s="2" t="s">
        <v>186</v>
      </c>
      <c r="C526" s="2" t="s">
        <v>294</v>
      </c>
      <c r="D526" s="16" t="s">
        <v>330</v>
      </c>
      <c r="E526" s="17">
        <v>10.0</v>
      </c>
      <c r="F526" s="2">
        <v>500.0</v>
      </c>
    </row>
    <row r="527">
      <c r="B527" s="2" t="s">
        <v>187</v>
      </c>
      <c r="C527" s="2" t="s">
        <v>294</v>
      </c>
      <c r="D527" s="16" t="s">
        <v>330</v>
      </c>
      <c r="E527" s="17">
        <v>10.0</v>
      </c>
      <c r="F527" s="2">
        <v>500.0</v>
      </c>
    </row>
    <row r="528">
      <c r="B528" s="2" t="s">
        <v>188</v>
      </c>
      <c r="C528" s="2" t="s">
        <v>294</v>
      </c>
      <c r="D528" s="16" t="s">
        <v>330</v>
      </c>
      <c r="E528" s="17">
        <v>10.0</v>
      </c>
      <c r="F528" s="2">
        <v>500.0</v>
      </c>
    </row>
    <row r="529">
      <c r="B529" s="2" t="s">
        <v>189</v>
      </c>
      <c r="C529" s="2" t="s">
        <v>294</v>
      </c>
      <c r="D529" s="16" t="s">
        <v>330</v>
      </c>
      <c r="E529" s="17">
        <v>10.0</v>
      </c>
      <c r="F529" s="2">
        <v>500.0</v>
      </c>
    </row>
    <row r="530">
      <c r="B530" s="2" t="s">
        <v>190</v>
      </c>
      <c r="C530" s="2" t="s">
        <v>294</v>
      </c>
      <c r="D530" s="16" t="s">
        <v>330</v>
      </c>
      <c r="E530" s="17">
        <v>10.0</v>
      </c>
      <c r="F530" s="2">
        <v>500.0</v>
      </c>
    </row>
    <row r="531">
      <c r="B531" s="2" t="s">
        <v>191</v>
      </c>
      <c r="C531" s="2" t="s">
        <v>294</v>
      </c>
      <c r="D531" s="16" t="s">
        <v>330</v>
      </c>
      <c r="E531" s="17">
        <v>10.0</v>
      </c>
      <c r="F531" s="2">
        <v>500.0</v>
      </c>
    </row>
    <row r="532">
      <c r="B532" s="2" t="s">
        <v>192</v>
      </c>
      <c r="C532" s="2" t="s">
        <v>294</v>
      </c>
      <c r="D532" s="16" t="s">
        <v>330</v>
      </c>
      <c r="E532" s="17">
        <v>10.0</v>
      </c>
      <c r="F532" s="2">
        <v>500.0</v>
      </c>
    </row>
    <row r="533">
      <c r="B533" s="2" t="s">
        <v>193</v>
      </c>
      <c r="C533" s="2" t="s">
        <v>294</v>
      </c>
      <c r="D533" s="16" t="s">
        <v>330</v>
      </c>
      <c r="E533" s="17">
        <v>10.0</v>
      </c>
      <c r="F533" s="2">
        <v>500.0</v>
      </c>
    </row>
    <row r="534">
      <c r="B534" s="2" t="s">
        <v>194</v>
      </c>
      <c r="C534" s="2" t="s">
        <v>294</v>
      </c>
      <c r="D534" s="16" t="s">
        <v>330</v>
      </c>
      <c r="E534" s="17">
        <v>10.0</v>
      </c>
      <c r="F534" s="2">
        <v>500.0</v>
      </c>
    </row>
    <row r="535">
      <c r="B535" s="2" t="s">
        <v>195</v>
      </c>
      <c r="C535" s="2" t="s">
        <v>294</v>
      </c>
      <c r="D535" s="16" t="s">
        <v>330</v>
      </c>
      <c r="E535" s="17">
        <v>10.0</v>
      </c>
      <c r="F535" s="2">
        <v>500.0</v>
      </c>
    </row>
    <row r="536">
      <c r="B536" s="2" t="s">
        <v>196</v>
      </c>
      <c r="C536" s="2" t="s">
        <v>294</v>
      </c>
      <c r="D536" s="16" t="s">
        <v>330</v>
      </c>
      <c r="E536" s="17">
        <v>10.0</v>
      </c>
      <c r="F536" s="2">
        <v>500.0</v>
      </c>
    </row>
    <row r="537">
      <c r="B537" s="2" t="s">
        <v>197</v>
      </c>
      <c r="C537" s="2" t="s">
        <v>294</v>
      </c>
      <c r="D537" s="16" t="s">
        <v>330</v>
      </c>
      <c r="E537" s="17">
        <v>10.0</v>
      </c>
      <c r="F537" s="2">
        <v>500.0</v>
      </c>
    </row>
    <row r="538">
      <c r="B538" s="2" t="s">
        <v>198</v>
      </c>
      <c r="C538" s="2" t="s">
        <v>294</v>
      </c>
      <c r="D538" s="16" t="s">
        <v>330</v>
      </c>
      <c r="E538" s="17">
        <v>10.0</v>
      </c>
      <c r="F538" s="2">
        <v>500.0</v>
      </c>
    </row>
    <row r="539">
      <c r="B539" s="1" t="s">
        <v>200</v>
      </c>
      <c r="C539" s="2" t="s">
        <v>294</v>
      </c>
      <c r="D539" s="16" t="s">
        <v>330</v>
      </c>
      <c r="E539" s="17">
        <v>10.0</v>
      </c>
      <c r="F539" s="2">
        <v>500.0</v>
      </c>
    </row>
    <row r="540">
      <c r="B540" s="1" t="s">
        <v>202</v>
      </c>
      <c r="C540" s="2" t="s">
        <v>294</v>
      </c>
      <c r="D540" s="16" t="s">
        <v>330</v>
      </c>
      <c r="E540" s="17">
        <v>10.0</v>
      </c>
      <c r="F540" s="2">
        <v>500.0</v>
      </c>
    </row>
    <row r="541">
      <c r="B541" s="1" t="s">
        <v>317</v>
      </c>
      <c r="C541" s="2" t="s">
        <v>294</v>
      </c>
      <c r="D541" s="16" t="s">
        <v>330</v>
      </c>
      <c r="E541" s="17">
        <v>10.0</v>
      </c>
      <c r="F541" s="2">
        <v>500.0</v>
      </c>
    </row>
    <row r="542">
      <c r="B542" s="1" t="s">
        <v>204</v>
      </c>
      <c r="C542" s="2" t="s">
        <v>294</v>
      </c>
      <c r="D542" s="16" t="s">
        <v>330</v>
      </c>
      <c r="E542" s="17">
        <v>10.0</v>
      </c>
      <c r="F542" s="2">
        <v>500.0</v>
      </c>
    </row>
    <row r="543">
      <c r="B543" s="1" t="s">
        <v>206</v>
      </c>
      <c r="C543" s="2" t="s">
        <v>294</v>
      </c>
      <c r="D543" s="16" t="s">
        <v>330</v>
      </c>
      <c r="E543" s="17">
        <v>10.0</v>
      </c>
      <c r="F543" s="2">
        <v>500.0</v>
      </c>
    </row>
    <row r="544">
      <c r="B544" s="1" t="s">
        <v>208</v>
      </c>
      <c r="C544" s="2" t="s">
        <v>294</v>
      </c>
      <c r="D544" s="16" t="s">
        <v>330</v>
      </c>
      <c r="E544" s="17">
        <v>10.0</v>
      </c>
      <c r="F544" s="2">
        <v>500.0</v>
      </c>
    </row>
    <row r="545">
      <c r="D545" s="25"/>
      <c r="E545" s="34"/>
    </row>
    <row r="546">
      <c r="D546" s="25"/>
      <c r="E546" s="34"/>
    </row>
    <row r="547">
      <c r="D547" s="25"/>
      <c r="E547" s="34"/>
    </row>
    <row r="548">
      <c r="D548" s="25"/>
      <c r="E548" s="34"/>
    </row>
    <row r="549">
      <c r="D549" s="25"/>
      <c r="E549" s="34"/>
    </row>
    <row r="550">
      <c r="D550" s="25"/>
      <c r="E550" s="34"/>
    </row>
    <row r="551">
      <c r="D551" s="25"/>
      <c r="E551" s="34"/>
    </row>
    <row r="552">
      <c r="D552" s="25"/>
      <c r="E552" s="34"/>
    </row>
    <row r="553">
      <c r="D553" s="25"/>
      <c r="E553" s="34"/>
    </row>
    <row r="554">
      <c r="D554" s="25"/>
      <c r="E554" s="34"/>
    </row>
    <row r="555">
      <c r="D555" s="25"/>
      <c r="E555" s="34"/>
    </row>
    <row r="556">
      <c r="D556" s="25"/>
      <c r="E556" s="34"/>
    </row>
    <row r="557">
      <c r="D557" s="25"/>
      <c r="E557" s="34"/>
    </row>
    <row r="558">
      <c r="D558" s="25"/>
      <c r="E558" s="34"/>
    </row>
    <row r="559">
      <c r="D559" s="25"/>
      <c r="E559" s="34"/>
    </row>
    <row r="560">
      <c r="D560" s="25"/>
      <c r="E560" s="34"/>
    </row>
    <row r="561">
      <c r="D561" s="25"/>
      <c r="E561" s="34"/>
    </row>
    <row r="562">
      <c r="D562" s="25"/>
      <c r="E562" s="34"/>
    </row>
    <row r="563">
      <c r="D563" s="25"/>
      <c r="E563" s="34"/>
    </row>
    <row r="564">
      <c r="D564" s="25"/>
      <c r="E564" s="34"/>
    </row>
    <row r="565">
      <c r="D565" s="25"/>
      <c r="E565" s="34"/>
    </row>
    <row r="566">
      <c r="D566" s="25"/>
      <c r="E566" s="34"/>
    </row>
    <row r="567">
      <c r="D567" s="25"/>
      <c r="E567" s="34"/>
    </row>
    <row r="568">
      <c r="D568" s="25"/>
      <c r="E568" s="34"/>
    </row>
    <row r="569">
      <c r="D569" s="25"/>
      <c r="E569" s="34"/>
    </row>
    <row r="570">
      <c r="D570" s="25"/>
      <c r="E570" s="34"/>
    </row>
    <row r="571">
      <c r="D571" s="25"/>
      <c r="E571" s="34"/>
    </row>
    <row r="572">
      <c r="D572" s="25"/>
      <c r="E572" s="34"/>
    </row>
    <row r="573">
      <c r="D573" s="25"/>
      <c r="E573" s="34"/>
    </row>
    <row r="574">
      <c r="D574" s="25"/>
      <c r="E574" s="34"/>
    </row>
    <row r="575">
      <c r="D575" s="25"/>
      <c r="E575" s="34"/>
    </row>
    <row r="576">
      <c r="D576" s="25"/>
      <c r="E576" s="34"/>
    </row>
    <row r="577">
      <c r="D577" s="25"/>
      <c r="E577" s="34"/>
    </row>
    <row r="578">
      <c r="D578" s="25"/>
      <c r="E578" s="34"/>
    </row>
    <row r="579">
      <c r="D579" s="25"/>
      <c r="E579" s="34"/>
    </row>
    <row r="580">
      <c r="D580" s="25"/>
      <c r="E580" s="34"/>
    </row>
    <row r="581">
      <c r="D581" s="25"/>
      <c r="E581" s="34"/>
    </row>
    <row r="582">
      <c r="D582" s="25"/>
      <c r="E582" s="34"/>
    </row>
    <row r="583">
      <c r="D583" s="25"/>
      <c r="E583" s="34"/>
    </row>
    <row r="584">
      <c r="D584" s="25"/>
      <c r="E584" s="34"/>
    </row>
    <row r="585">
      <c r="D585" s="25"/>
      <c r="E585" s="34"/>
    </row>
    <row r="586">
      <c r="D586" s="25"/>
      <c r="E586" s="34"/>
    </row>
    <row r="587">
      <c r="D587" s="25"/>
      <c r="E587" s="34"/>
    </row>
    <row r="588">
      <c r="D588" s="25"/>
      <c r="E588" s="34"/>
    </row>
    <row r="589">
      <c r="D589" s="25"/>
      <c r="E589" s="34"/>
    </row>
    <row r="590">
      <c r="D590" s="25"/>
      <c r="E590" s="34"/>
    </row>
    <row r="591">
      <c r="D591" s="25"/>
      <c r="E591" s="34"/>
    </row>
    <row r="592">
      <c r="D592" s="25"/>
      <c r="E592" s="34"/>
    </row>
    <row r="593">
      <c r="D593" s="25"/>
      <c r="E593" s="34"/>
    </row>
    <row r="594">
      <c r="D594" s="25"/>
      <c r="E594" s="34"/>
    </row>
    <row r="595">
      <c r="D595" s="25"/>
      <c r="E595" s="34"/>
    </row>
    <row r="596">
      <c r="D596" s="25"/>
      <c r="E596" s="34"/>
    </row>
    <row r="597">
      <c r="D597" s="25"/>
      <c r="E597" s="34"/>
    </row>
    <row r="598">
      <c r="D598" s="25"/>
      <c r="E598" s="34"/>
    </row>
    <row r="599">
      <c r="D599" s="25"/>
      <c r="E599" s="34"/>
    </row>
    <row r="600">
      <c r="D600" s="25"/>
      <c r="E600" s="34"/>
    </row>
    <row r="601">
      <c r="D601" s="25"/>
      <c r="E601" s="34"/>
    </row>
    <row r="602">
      <c r="D602" s="25"/>
      <c r="E602" s="34"/>
    </row>
    <row r="603">
      <c r="D603" s="25"/>
      <c r="E603" s="34"/>
    </row>
    <row r="604">
      <c r="D604" s="25"/>
      <c r="E604" s="34"/>
    </row>
    <row r="605">
      <c r="D605" s="25"/>
      <c r="E605" s="34"/>
    </row>
    <row r="606">
      <c r="D606" s="25"/>
      <c r="E606" s="34"/>
    </row>
    <row r="607">
      <c r="D607" s="25"/>
      <c r="E607" s="34"/>
    </row>
    <row r="608">
      <c r="D608" s="25"/>
      <c r="E608" s="34"/>
    </row>
    <row r="609">
      <c r="D609" s="25"/>
      <c r="E609" s="34"/>
    </row>
    <row r="610">
      <c r="D610" s="25"/>
      <c r="E610" s="34"/>
    </row>
    <row r="611">
      <c r="D611" s="25"/>
      <c r="E611" s="34"/>
    </row>
    <row r="612">
      <c r="D612" s="25"/>
      <c r="E612" s="34"/>
    </row>
    <row r="613">
      <c r="D613" s="25"/>
      <c r="E613" s="34"/>
    </row>
    <row r="614">
      <c r="D614" s="25"/>
      <c r="E614" s="34"/>
    </row>
    <row r="615">
      <c r="D615" s="25"/>
      <c r="E615" s="34"/>
    </row>
    <row r="616">
      <c r="D616" s="25"/>
      <c r="E616" s="34"/>
    </row>
    <row r="617">
      <c r="D617" s="25"/>
      <c r="E617" s="34"/>
    </row>
    <row r="618">
      <c r="D618" s="25"/>
      <c r="E618" s="34"/>
    </row>
    <row r="619">
      <c r="D619" s="25"/>
      <c r="E619" s="34"/>
    </row>
    <row r="620">
      <c r="D620" s="25"/>
      <c r="E620" s="34"/>
    </row>
    <row r="621">
      <c r="D621" s="25"/>
      <c r="E621" s="34"/>
    </row>
    <row r="622">
      <c r="D622" s="25"/>
      <c r="E622" s="34"/>
    </row>
    <row r="623">
      <c r="D623" s="25"/>
      <c r="E623" s="34"/>
    </row>
    <row r="624">
      <c r="D624" s="25"/>
      <c r="E624" s="34"/>
    </row>
    <row r="625">
      <c r="D625" s="25"/>
      <c r="E625" s="34"/>
    </row>
    <row r="626">
      <c r="D626" s="25"/>
      <c r="E626" s="34"/>
    </row>
    <row r="627">
      <c r="D627" s="25"/>
      <c r="E627" s="34"/>
    </row>
    <row r="628">
      <c r="D628" s="25"/>
      <c r="E628" s="34"/>
    </row>
    <row r="629">
      <c r="D629" s="25"/>
      <c r="E629" s="34"/>
    </row>
    <row r="630">
      <c r="D630" s="25"/>
      <c r="E630" s="34"/>
    </row>
    <row r="631">
      <c r="D631" s="25"/>
      <c r="E631" s="34"/>
    </row>
    <row r="632">
      <c r="D632" s="25"/>
      <c r="E632" s="34"/>
    </row>
    <row r="633">
      <c r="D633" s="25"/>
      <c r="E633" s="34"/>
    </row>
    <row r="634">
      <c r="D634" s="25"/>
      <c r="E634" s="34"/>
    </row>
    <row r="635">
      <c r="D635" s="25"/>
      <c r="E635" s="34"/>
    </row>
    <row r="636">
      <c r="D636" s="25"/>
      <c r="E636" s="34"/>
    </row>
    <row r="637">
      <c r="D637" s="25"/>
      <c r="E637" s="34"/>
    </row>
    <row r="638">
      <c r="D638" s="25"/>
      <c r="E638" s="34"/>
    </row>
    <row r="639">
      <c r="D639" s="25"/>
      <c r="E639" s="34"/>
    </row>
    <row r="640">
      <c r="D640" s="25"/>
      <c r="E640" s="34"/>
    </row>
    <row r="641">
      <c r="D641" s="25"/>
      <c r="E641" s="34"/>
    </row>
    <row r="642">
      <c r="D642" s="25"/>
      <c r="E642" s="34"/>
    </row>
    <row r="643">
      <c r="D643" s="25"/>
      <c r="E643" s="34"/>
    </row>
    <row r="644">
      <c r="D644" s="25"/>
      <c r="E644" s="34"/>
    </row>
    <row r="645">
      <c r="D645" s="25"/>
      <c r="E645" s="34"/>
    </row>
    <row r="646">
      <c r="D646" s="25"/>
      <c r="E646" s="34"/>
    </row>
    <row r="647">
      <c r="D647" s="25"/>
      <c r="E647" s="34"/>
    </row>
    <row r="648">
      <c r="D648" s="25"/>
      <c r="E648" s="34"/>
    </row>
    <row r="649">
      <c r="D649" s="25"/>
      <c r="E649" s="34"/>
    </row>
    <row r="650">
      <c r="D650" s="25"/>
      <c r="E650" s="34"/>
    </row>
    <row r="651">
      <c r="D651" s="25"/>
      <c r="E651" s="34"/>
    </row>
    <row r="652">
      <c r="D652" s="25"/>
      <c r="E652" s="34"/>
    </row>
    <row r="653">
      <c r="D653" s="25"/>
      <c r="E653" s="34"/>
    </row>
    <row r="654">
      <c r="D654" s="25"/>
      <c r="E654" s="34"/>
    </row>
    <row r="655">
      <c r="D655" s="25"/>
      <c r="E655" s="34"/>
    </row>
    <row r="656">
      <c r="D656" s="25"/>
      <c r="E656" s="34"/>
    </row>
    <row r="657">
      <c r="D657" s="25"/>
      <c r="E657" s="34"/>
    </row>
    <row r="658">
      <c r="D658" s="25"/>
      <c r="E658" s="34"/>
    </row>
    <row r="659">
      <c r="D659" s="25"/>
      <c r="E659" s="34"/>
    </row>
    <row r="660">
      <c r="D660" s="25"/>
      <c r="E660" s="34"/>
    </row>
    <row r="661">
      <c r="D661" s="25"/>
      <c r="E661" s="34"/>
    </row>
    <row r="662">
      <c r="D662" s="25"/>
      <c r="E662" s="34"/>
    </row>
    <row r="663">
      <c r="D663" s="25"/>
      <c r="E663" s="34"/>
    </row>
    <row r="664">
      <c r="D664" s="25"/>
      <c r="E664" s="34"/>
    </row>
    <row r="665">
      <c r="D665" s="25"/>
      <c r="E665" s="34"/>
    </row>
    <row r="666">
      <c r="D666" s="25"/>
      <c r="E666" s="34"/>
    </row>
    <row r="667">
      <c r="D667" s="25"/>
      <c r="E667" s="34"/>
    </row>
    <row r="668">
      <c r="D668" s="25"/>
      <c r="E668" s="34"/>
    </row>
    <row r="669">
      <c r="D669" s="25"/>
      <c r="E669" s="34"/>
    </row>
    <row r="670">
      <c r="D670" s="25"/>
      <c r="E670" s="34"/>
    </row>
    <row r="671">
      <c r="D671" s="25"/>
      <c r="E671" s="34"/>
    </row>
    <row r="672">
      <c r="D672" s="25"/>
      <c r="E672" s="34"/>
    </row>
    <row r="673">
      <c r="D673" s="25"/>
      <c r="E673" s="34"/>
    </row>
    <row r="674">
      <c r="D674" s="25"/>
      <c r="E674" s="34"/>
    </row>
    <row r="675">
      <c r="D675" s="25"/>
      <c r="E675" s="34"/>
    </row>
    <row r="676">
      <c r="D676" s="25"/>
      <c r="E676" s="34"/>
    </row>
    <row r="677">
      <c r="D677" s="25"/>
      <c r="E677" s="34"/>
    </row>
    <row r="678">
      <c r="D678" s="25"/>
      <c r="E678" s="34"/>
    </row>
    <row r="679">
      <c r="D679" s="25"/>
      <c r="E679" s="34"/>
    </row>
    <row r="680">
      <c r="D680" s="25"/>
      <c r="E680" s="34"/>
    </row>
    <row r="681">
      <c r="D681" s="25"/>
      <c r="E681" s="34"/>
    </row>
    <row r="682">
      <c r="D682" s="25"/>
      <c r="E682" s="34"/>
    </row>
    <row r="683">
      <c r="D683" s="25"/>
      <c r="E683" s="34"/>
    </row>
    <row r="684">
      <c r="D684" s="25"/>
      <c r="E684" s="34"/>
    </row>
    <row r="685">
      <c r="D685" s="25"/>
      <c r="E685" s="34"/>
    </row>
    <row r="686">
      <c r="D686" s="25"/>
      <c r="E686" s="34"/>
    </row>
    <row r="687">
      <c r="D687" s="25"/>
      <c r="E687" s="34"/>
    </row>
    <row r="688">
      <c r="D688" s="25"/>
      <c r="E688" s="34"/>
    </row>
    <row r="689">
      <c r="D689" s="25"/>
      <c r="E689" s="34"/>
    </row>
    <row r="690">
      <c r="D690" s="25"/>
      <c r="E690" s="34"/>
    </row>
    <row r="691">
      <c r="D691" s="25"/>
      <c r="E691" s="34"/>
    </row>
    <row r="692">
      <c r="D692" s="25"/>
      <c r="E692" s="34"/>
    </row>
    <row r="693">
      <c r="D693" s="25"/>
      <c r="E693" s="34"/>
    </row>
    <row r="694">
      <c r="D694" s="25"/>
      <c r="E694" s="34"/>
    </row>
    <row r="695">
      <c r="D695" s="25"/>
      <c r="E695" s="34"/>
    </row>
    <row r="696">
      <c r="D696" s="25"/>
      <c r="E696" s="34"/>
    </row>
    <row r="697">
      <c r="D697" s="25"/>
      <c r="E697" s="34"/>
    </row>
    <row r="698">
      <c r="D698" s="25"/>
      <c r="E698" s="34"/>
    </row>
    <row r="699">
      <c r="D699" s="25"/>
      <c r="E699" s="34"/>
    </row>
    <row r="700">
      <c r="D700" s="25"/>
      <c r="E700" s="34"/>
    </row>
    <row r="701">
      <c r="D701" s="25"/>
      <c r="E701" s="34"/>
    </row>
    <row r="702">
      <c r="D702" s="25"/>
      <c r="E702" s="34"/>
    </row>
    <row r="703">
      <c r="D703" s="25"/>
      <c r="E703" s="34"/>
    </row>
    <row r="704">
      <c r="D704" s="25"/>
      <c r="E704" s="34"/>
    </row>
    <row r="705">
      <c r="D705" s="25"/>
      <c r="E705" s="34"/>
    </row>
    <row r="706">
      <c r="D706" s="25"/>
      <c r="E706" s="34"/>
    </row>
    <row r="707">
      <c r="D707" s="25"/>
      <c r="E707" s="34"/>
    </row>
    <row r="708">
      <c r="D708" s="25"/>
      <c r="E708" s="34"/>
    </row>
    <row r="709">
      <c r="D709" s="25"/>
      <c r="E709" s="34"/>
    </row>
    <row r="710">
      <c r="D710" s="25"/>
      <c r="E710" s="34"/>
    </row>
    <row r="711">
      <c r="D711" s="25"/>
      <c r="E711" s="34"/>
    </row>
    <row r="712">
      <c r="D712" s="25"/>
      <c r="E712" s="34"/>
    </row>
    <row r="713">
      <c r="D713" s="25"/>
      <c r="E713" s="34"/>
    </row>
    <row r="714">
      <c r="D714" s="25"/>
      <c r="E714" s="34"/>
    </row>
    <row r="715">
      <c r="D715" s="25"/>
      <c r="E715" s="34"/>
    </row>
    <row r="716">
      <c r="D716" s="25"/>
      <c r="E716" s="34"/>
    </row>
    <row r="717">
      <c r="D717" s="25"/>
      <c r="E717" s="34"/>
    </row>
    <row r="718">
      <c r="D718" s="25"/>
      <c r="E718" s="34"/>
    </row>
    <row r="719">
      <c r="D719" s="25"/>
      <c r="E719" s="34"/>
    </row>
    <row r="720">
      <c r="D720" s="25"/>
      <c r="E720" s="34"/>
    </row>
    <row r="721">
      <c r="D721" s="25"/>
      <c r="E721" s="34"/>
    </row>
    <row r="722">
      <c r="D722" s="25"/>
      <c r="E722" s="34"/>
    </row>
    <row r="723">
      <c r="D723" s="25"/>
      <c r="E723" s="34"/>
    </row>
    <row r="724">
      <c r="D724" s="25"/>
      <c r="E724" s="34"/>
    </row>
    <row r="725">
      <c r="D725" s="25"/>
      <c r="E725" s="34"/>
    </row>
    <row r="726">
      <c r="D726" s="25"/>
      <c r="E726" s="34"/>
    </row>
    <row r="727">
      <c r="D727" s="25"/>
      <c r="E727" s="34"/>
    </row>
    <row r="728">
      <c r="D728" s="25"/>
      <c r="E728" s="34"/>
    </row>
    <row r="729">
      <c r="D729" s="25"/>
      <c r="E729" s="34"/>
    </row>
    <row r="730">
      <c r="D730" s="25"/>
      <c r="E730" s="34"/>
    </row>
    <row r="731">
      <c r="D731" s="25"/>
      <c r="E731" s="34"/>
    </row>
    <row r="732">
      <c r="D732" s="25"/>
      <c r="E732" s="34"/>
    </row>
    <row r="733">
      <c r="D733" s="25"/>
      <c r="E733" s="34"/>
    </row>
    <row r="734">
      <c r="D734" s="25"/>
      <c r="E734" s="34"/>
    </row>
    <row r="735">
      <c r="D735" s="25"/>
      <c r="E735" s="34"/>
    </row>
    <row r="736">
      <c r="D736" s="25"/>
      <c r="E736" s="34"/>
    </row>
    <row r="737">
      <c r="D737" s="25"/>
      <c r="E737" s="34"/>
    </row>
    <row r="738">
      <c r="D738" s="25"/>
      <c r="E738" s="34"/>
    </row>
    <row r="739">
      <c r="D739" s="25"/>
      <c r="E739" s="34"/>
    </row>
    <row r="740">
      <c r="D740" s="25"/>
      <c r="E740" s="34"/>
    </row>
    <row r="741">
      <c r="D741" s="25"/>
      <c r="E741" s="34"/>
    </row>
    <row r="742">
      <c r="D742" s="25"/>
      <c r="E742" s="34"/>
    </row>
    <row r="743">
      <c r="D743" s="25"/>
      <c r="E743" s="34"/>
    </row>
    <row r="744">
      <c r="D744" s="25"/>
      <c r="E744" s="34"/>
    </row>
    <row r="745">
      <c r="D745" s="25"/>
      <c r="E745" s="34"/>
    </row>
    <row r="746">
      <c r="D746" s="25"/>
      <c r="E746" s="34"/>
    </row>
    <row r="747">
      <c r="D747" s="25"/>
      <c r="E747" s="34"/>
    </row>
    <row r="748">
      <c r="D748" s="25"/>
      <c r="E748" s="34"/>
    </row>
    <row r="749">
      <c r="D749" s="25"/>
      <c r="E749" s="34"/>
    </row>
    <row r="750">
      <c r="D750" s="25"/>
      <c r="E750" s="34"/>
    </row>
    <row r="751">
      <c r="D751" s="25"/>
      <c r="E751" s="34"/>
    </row>
    <row r="752">
      <c r="D752" s="25"/>
      <c r="E752" s="34"/>
    </row>
    <row r="753">
      <c r="D753" s="25"/>
      <c r="E753" s="34"/>
    </row>
    <row r="754">
      <c r="D754" s="25"/>
      <c r="E754" s="34"/>
    </row>
    <row r="755">
      <c r="D755" s="25"/>
      <c r="E755" s="34"/>
    </row>
    <row r="756">
      <c r="D756" s="25"/>
      <c r="E756" s="34"/>
    </row>
    <row r="757">
      <c r="D757" s="25"/>
      <c r="E757" s="34"/>
    </row>
    <row r="758">
      <c r="D758" s="25"/>
      <c r="E758" s="34"/>
    </row>
    <row r="759">
      <c r="D759" s="25"/>
      <c r="E759" s="34"/>
    </row>
    <row r="760">
      <c r="D760" s="25"/>
      <c r="E760" s="34"/>
    </row>
    <row r="761">
      <c r="D761" s="25"/>
      <c r="E761" s="34"/>
    </row>
    <row r="762">
      <c r="D762" s="25"/>
      <c r="E762" s="34"/>
    </row>
    <row r="763">
      <c r="D763" s="25"/>
      <c r="E763" s="34"/>
    </row>
    <row r="764">
      <c r="D764" s="25"/>
      <c r="E764" s="34"/>
    </row>
    <row r="765">
      <c r="D765" s="25"/>
      <c r="E765" s="34"/>
    </row>
    <row r="766">
      <c r="D766" s="25"/>
      <c r="E766" s="34"/>
    </row>
    <row r="767">
      <c r="D767" s="25"/>
      <c r="E767" s="34"/>
    </row>
    <row r="768">
      <c r="D768" s="25"/>
      <c r="E768" s="34"/>
    </row>
    <row r="769">
      <c r="D769" s="25"/>
      <c r="E769" s="34"/>
    </row>
    <row r="770">
      <c r="D770" s="25"/>
      <c r="E770" s="34"/>
    </row>
    <row r="771">
      <c r="D771" s="25"/>
      <c r="E771" s="34"/>
    </row>
    <row r="772">
      <c r="D772" s="25"/>
      <c r="E772" s="34"/>
    </row>
    <row r="773">
      <c r="D773" s="25"/>
      <c r="E773" s="34"/>
    </row>
    <row r="774">
      <c r="D774" s="25"/>
      <c r="E774" s="34"/>
    </row>
    <row r="775">
      <c r="D775" s="25"/>
      <c r="E775" s="34"/>
    </row>
    <row r="776">
      <c r="D776" s="25"/>
      <c r="E776" s="34"/>
    </row>
    <row r="777">
      <c r="D777" s="25"/>
      <c r="E777" s="34"/>
    </row>
    <row r="778">
      <c r="D778" s="25"/>
      <c r="E778" s="34"/>
    </row>
    <row r="779">
      <c r="D779" s="25"/>
      <c r="E779" s="34"/>
    </row>
    <row r="780">
      <c r="D780" s="25"/>
      <c r="E780" s="34"/>
    </row>
    <row r="781">
      <c r="D781" s="25"/>
      <c r="E781" s="34"/>
    </row>
    <row r="782">
      <c r="D782" s="25"/>
      <c r="E782" s="34"/>
    </row>
    <row r="783">
      <c r="D783" s="25"/>
      <c r="E783" s="34"/>
    </row>
    <row r="784">
      <c r="D784" s="25"/>
      <c r="E784" s="34"/>
    </row>
    <row r="785">
      <c r="D785" s="25"/>
      <c r="E785" s="34"/>
    </row>
    <row r="786">
      <c r="D786" s="25"/>
      <c r="E786" s="34"/>
    </row>
    <row r="787">
      <c r="D787" s="25"/>
      <c r="E787" s="34"/>
    </row>
    <row r="788">
      <c r="D788" s="25"/>
      <c r="E788" s="34"/>
    </row>
    <row r="789">
      <c r="D789" s="25"/>
      <c r="E789" s="34"/>
    </row>
    <row r="790">
      <c r="D790" s="25"/>
      <c r="E790" s="34"/>
    </row>
    <row r="791">
      <c r="D791" s="25"/>
      <c r="E791" s="34"/>
    </row>
    <row r="792">
      <c r="D792" s="25"/>
      <c r="E792" s="34"/>
    </row>
    <row r="793">
      <c r="D793" s="25"/>
      <c r="E793" s="34"/>
    </row>
    <row r="794">
      <c r="D794" s="25"/>
      <c r="E794" s="34"/>
    </row>
    <row r="795">
      <c r="D795" s="25"/>
      <c r="E795" s="34"/>
    </row>
    <row r="796">
      <c r="D796" s="25"/>
      <c r="E796" s="34"/>
    </row>
    <row r="797">
      <c r="D797" s="25"/>
      <c r="E797" s="34"/>
    </row>
    <row r="798">
      <c r="D798" s="25"/>
      <c r="E798" s="34"/>
    </row>
    <row r="799">
      <c r="D799" s="25"/>
      <c r="E799" s="34"/>
    </row>
    <row r="800">
      <c r="D800" s="25"/>
      <c r="E800" s="34"/>
    </row>
    <row r="801">
      <c r="D801" s="25"/>
      <c r="E801" s="34"/>
    </row>
    <row r="802">
      <c r="D802" s="25"/>
      <c r="E802" s="34"/>
    </row>
    <row r="803">
      <c r="D803" s="25"/>
      <c r="E803" s="34"/>
    </row>
    <row r="804">
      <c r="D804" s="25"/>
      <c r="E804" s="34"/>
    </row>
    <row r="805">
      <c r="D805" s="25"/>
      <c r="E805" s="34"/>
    </row>
    <row r="806">
      <c r="D806" s="25"/>
      <c r="E806" s="34"/>
    </row>
    <row r="807">
      <c r="D807" s="25"/>
      <c r="E807" s="34"/>
    </row>
    <row r="808">
      <c r="D808" s="25"/>
      <c r="E808" s="34"/>
    </row>
    <row r="809">
      <c r="D809" s="25"/>
      <c r="E809" s="34"/>
    </row>
    <row r="810">
      <c r="D810" s="25"/>
      <c r="E810" s="34"/>
    </row>
    <row r="811">
      <c r="D811" s="25"/>
      <c r="E811" s="34"/>
    </row>
    <row r="812">
      <c r="D812" s="25"/>
      <c r="E812" s="34"/>
    </row>
    <row r="813">
      <c r="D813" s="25"/>
      <c r="E813" s="34"/>
    </row>
    <row r="814">
      <c r="D814" s="25"/>
      <c r="E814" s="34"/>
    </row>
    <row r="815">
      <c r="D815" s="25"/>
      <c r="E815" s="34"/>
    </row>
    <row r="816">
      <c r="D816" s="25"/>
      <c r="E816" s="34"/>
    </row>
    <row r="817">
      <c r="D817" s="25"/>
      <c r="E817" s="34"/>
    </row>
    <row r="818">
      <c r="D818" s="25"/>
      <c r="E818" s="34"/>
    </row>
    <row r="819">
      <c r="D819" s="25"/>
      <c r="E819" s="34"/>
    </row>
    <row r="820">
      <c r="D820" s="25"/>
      <c r="E820" s="34"/>
    </row>
    <row r="821">
      <c r="D821" s="25"/>
      <c r="E821" s="34"/>
    </row>
    <row r="822">
      <c r="D822" s="25"/>
      <c r="E822" s="34"/>
    </row>
    <row r="823">
      <c r="D823" s="25"/>
      <c r="E823" s="34"/>
    </row>
    <row r="824">
      <c r="D824" s="25"/>
      <c r="E824" s="34"/>
    </row>
    <row r="825">
      <c r="D825" s="25"/>
      <c r="E825" s="34"/>
    </row>
    <row r="826">
      <c r="D826" s="25"/>
      <c r="E826" s="34"/>
    </row>
    <row r="827">
      <c r="D827" s="25"/>
      <c r="E827" s="34"/>
    </row>
    <row r="828">
      <c r="D828" s="25"/>
      <c r="E828" s="34"/>
    </row>
    <row r="829">
      <c r="D829" s="25"/>
      <c r="E829" s="34"/>
    </row>
    <row r="830">
      <c r="D830" s="25"/>
      <c r="E830" s="34"/>
    </row>
    <row r="831">
      <c r="D831" s="25"/>
      <c r="E831" s="34"/>
    </row>
    <row r="832">
      <c r="D832" s="25"/>
      <c r="E832" s="34"/>
    </row>
    <row r="833">
      <c r="D833" s="25"/>
      <c r="E833" s="34"/>
    </row>
    <row r="834">
      <c r="D834" s="25"/>
      <c r="E834" s="34"/>
    </row>
    <row r="835">
      <c r="D835" s="25"/>
      <c r="E835" s="34"/>
    </row>
    <row r="836">
      <c r="D836" s="25"/>
      <c r="E836" s="34"/>
    </row>
    <row r="837">
      <c r="D837" s="25"/>
      <c r="E837" s="34"/>
    </row>
    <row r="838">
      <c r="D838" s="25"/>
      <c r="E838" s="34"/>
    </row>
    <row r="839">
      <c r="D839" s="25"/>
      <c r="E839" s="34"/>
    </row>
    <row r="840">
      <c r="D840" s="25"/>
      <c r="E840" s="34"/>
    </row>
    <row r="841">
      <c r="D841" s="25"/>
      <c r="E841" s="34"/>
    </row>
    <row r="842">
      <c r="D842" s="25"/>
      <c r="E842" s="34"/>
    </row>
    <row r="843">
      <c r="D843" s="25"/>
      <c r="E843" s="34"/>
    </row>
    <row r="844">
      <c r="D844" s="25"/>
      <c r="E844" s="34"/>
    </row>
    <row r="845">
      <c r="D845" s="25"/>
      <c r="E845" s="34"/>
    </row>
    <row r="846">
      <c r="D846" s="25"/>
      <c r="E846" s="34"/>
    </row>
    <row r="847">
      <c r="D847" s="25"/>
      <c r="E847" s="34"/>
    </row>
    <row r="848">
      <c r="D848" s="25"/>
      <c r="E848" s="34"/>
    </row>
    <row r="849">
      <c r="D849" s="25"/>
      <c r="E849" s="34"/>
    </row>
    <row r="850">
      <c r="D850" s="25"/>
      <c r="E850" s="34"/>
    </row>
    <row r="851">
      <c r="D851" s="25"/>
      <c r="E851" s="34"/>
    </row>
    <row r="852">
      <c r="D852" s="25"/>
      <c r="E852" s="34"/>
    </row>
    <row r="853">
      <c r="D853" s="25"/>
      <c r="E853" s="34"/>
    </row>
    <row r="854">
      <c r="D854" s="25"/>
      <c r="E854" s="34"/>
    </row>
    <row r="855">
      <c r="D855" s="25"/>
      <c r="E855" s="34"/>
    </row>
    <row r="856">
      <c r="D856" s="25"/>
      <c r="E856" s="34"/>
    </row>
    <row r="857">
      <c r="D857" s="25"/>
      <c r="E857" s="34"/>
    </row>
    <row r="858">
      <c r="D858" s="25"/>
      <c r="E858" s="34"/>
    </row>
    <row r="859">
      <c r="D859" s="25"/>
      <c r="E859" s="34"/>
    </row>
    <row r="860">
      <c r="D860" s="25"/>
      <c r="E860" s="34"/>
    </row>
    <row r="861">
      <c r="D861" s="25"/>
      <c r="E861" s="34"/>
    </row>
    <row r="862">
      <c r="D862" s="25"/>
      <c r="E862" s="34"/>
    </row>
    <row r="863">
      <c r="D863" s="25"/>
      <c r="E863" s="34"/>
    </row>
    <row r="864">
      <c r="D864" s="25"/>
      <c r="E864" s="34"/>
    </row>
    <row r="865">
      <c r="D865" s="25"/>
      <c r="E865" s="34"/>
    </row>
    <row r="866">
      <c r="D866" s="25"/>
      <c r="E866" s="34"/>
    </row>
    <row r="867">
      <c r="D867" s="25"/>
      <c r="E867" s="34"/>
    </row>
    <row r="868">
      <c r="D868" s="25"/>
      <c r="E868" s="34"/>
    </row>
    <row r="869">
      <c r="D869" s="25"/>
      <c r="E869" s="34"/>
    </row>
    <row r="870">
      <c r="D870" s="25"/>
      <c r="E870" s="34"/>
    </row>
    <row r="871">
      <c r="D871" s="25"/>
      <c r="E871" s="34"/>
    </row>
    <row r="872">
      <c r="D872" s="25"/>
      <c r="E872" s="34"/>
    </row>
    <row r="873">
      <c r="D873" s="25"/>
      <c r="E873" s="34"/>
    </row>
    <row r="874">
      <c r="D874" s="25"/>
      <c r="E874" s="34"/>
    </row>
    <row r="875">
      <c r="D875" s="25"/>
      <c r="E875" s="34"/>
    </row>
    <row r="876">
      <c r="D876" s="25"/>
      <c r="E876" s="34"/>
    </row>
    <row r="877">
      <c r="D877" s="25"/>
      <c r="E877" s="34"/>
    </row>
    <row r="878">
      <c r="D878" s="25"/>
      <c r="E878" s="34"/>
    </row>
    <row r="879">
      <c r="D879" s="25"/>
      <c r="E879" s="34"/>
    </row>
    <row r="880">
      <c r="D880" s="25"/>
      <c r="E880" s="34"/>
    </row>
    <row r="881">
      <c r="D881" s="25"/>
      <c r="E881" s="34"/>
    </row>
    <row r="882">
      <c r="D882" s="25"/>
      <c r="E882" s="34"/>
    </row>
    <row r="883">
      <c r="D883" s="25"/>
      <c r="E883" s="34"/>
    </row>
    <row r="884">
      <c r="D884" s="25"/>
      <c r="E884" s="34"/>
    </row>
    <row r="885">
      <c r="D885" s="25"/>
      <c r="E885" s="34"/>
    </row>
    <row r="886">
      <c r="D886" s="25"/>
      <c r="E886" s="34"/>
    </row>
    <row r="887">
      <c r="D887" s="25"/>
      <c r="E887" s="34"/>
    </row>
    <row r="888">
      <c r="D888" s="25"/>
      <c r="E888" s="34"/>
    </row>
    <row r="889">
      <c r="D889" s="25"/>
      <c r="E889" s="34"/>
    </row>
    <row r="890">
      <c r="D890" s="25"/>
      <c r="E890" s="34"/>
    </row>
    <row r="891">
      <c r="D891" s="25"/>
      <c r="E891" s="34"/>
    </row>
    <row r="892">
      <c r="D892" s="25"/>
      <c r="E892" s="34"/>
    </row>
    <row r="893">
      <c r="D893" s="25"/>
      <c r="E893" s="34"/>
    </row>
    <row r="894">
      <c r="D894" s="25"/>
      <c r="E894" s="34"/>
    </row>
    <row r="895">
      <c r="D895" s="25"/>
      <c r="E895" s="34"/>
    </row>
    <row r="896">
      <c r="D896" s="25"/>
      <c r="E896" s="34"/>
    </row>
    <row r="897">
      <c r="D897" s="25"/>
      <c r="E897" s="34"/>
    </row>
    <row r="898">
      <c r="D898" s="25"/>
      <c r="E898" s="34"/>
    </row>
    <row r="899">
      <c r="D899" s="25"/>
      <c r="E899" s="34"/>
    </row>
    <row r="900">
      <c r="D900" s="25"/>
      <c r="E900" s="34"/>
    </row>
    <row r="901">
      <c r="D901" s="25"/>
      <c r="E901" s="34"/>
    </row>
    <row r="902">
      <c r="D902" s="25"/>
      <c r="E902" s="34"/>
    </row>
    <row r="903">
      <c r="D903" s="25"/>
      <c r="E903" s="34"/>
    </row>
    <row r="904">
      <c r="D904" s="25"/>
      <c r="E904" s="34"/>
    </row>
    <row r="905">
      <c r="D905" s="25"/>
      <c r="E905" s="34"/>
    </row>
    <row r="906">
      <c r="D906" s="25"/>
      <c r="E906" s="34"/>
    </row>
    <row r="907">
      <c r="D907" s="25"/>
      <c r="E907" s="34"/>
    </row>
    <row r="908">
      <c r="D908" s="25"/>
      <c r="E908" s="34"/>
    </row>
    <row r="909">
      <c r="D909" s="25"/>
      <c r="E909" s="34"/>
    </row>
    <row r="910">
      <c r="D910" s="25"/>
      <c r="E910" s="34"/>
    </row>
    <row r="911">
      <c r="D911" s="25"/>
      <c r="E911" s="34"/>
    </row>
    <row r="912">
      <c r="D912" s="25"/>
      <c r="E912" s="34"/>
    </row>
    <row r="913">
      <c r="D913" s="25"/>
      <c r="E913" s="34"/>
    </row>
    <row r="914">
      <c r="D914" s="25"/>
      <c r="E914" s="34"/>
    </row>
    <row r="915">
      <c r="D915" s="25"/>
      <c r="E915" s="34"/>
    </row>
    <row r="916">
      <c r="D916" s="25"/>
      <c r="E916" s="34"/>
    </row>
    <row r="917">
      <c r="D917" s="25"/>
      <c r="E917" s="34"/>
    </row>
    <row r="918">
      <c r="D918" s="25"/>
      <c r="E918" s="34"/>
    </row>
    <row r="919">
      <c r="D919" s="25"/>
      <c r="E919" s="34"/>
    </row>
    <row r="920">
      <c r="D920" s="25"/>
      <c r="E920" s="34"/>
    </row>
    <row r="921">
      <c r="D921" s="25"/>
      <c r="E921" s="34"/>
    </row>
    <row r="922">
      <c r="D922" s="25"/>
      <c r="E922" s="34"/>
    </row>
    <row r="923">
      <c r="D923" s="25"/>
      <c r="E923" s="34"/>
    </row>
    <row r="924">
      <c r="D924" s="25"/>
      <c r="E924" s="34"/>
    </row>
    <row r="925">
      <c r="D925" s="25"/>
      <c r="E925" s="34"/>
    </row>
    <row r="926">
      <c r="D926" s="25"/>
      <c r="E926" s="34"/>
    </row>
    <row r="927">
      <c r="D927" s="25"/>
      <c r="E927" s="34"/>
    </row>
    <row r="928">
      <c r="D928" s="25"/>
      <c r="E928" s="34"/>
    </row>
    <row r="929">
      <c r="D929" s="25"/>
      <c r="E929" s="34"/>
    </row>
    <row r="930">
      <c r="D930" s="25"/>
      <c r="E930" s="34"/>
    </row>
    <row r="931">
      <c r="D931" s="25"/>
      <c r="E931" s="34"/>
    </row>
    <row r="932">
      <c r="D932" s="25"/>
      <c r="E932" s="34"/>
    </row>
    <row r="933">
      <c r="D933" s="25"/>
      <c r="E933" s="34"/>
    </row>
    <row r="934">
      <c r="D934" s="25"/>
      <c r="E934" s="34"/>
    </row>
    <row r="935">
      <c r="D935" s="25"/>
      <c r="E935" s="34"/>
    </row>
    <row r="936">
      <c r="D936" s="25"/>
      <c r="E936" s="34"/>
    </row>
    <row r="937">
      <c r="D937" s="25"/>
      <c r="E937" s="34"/>
    </row>
    <row r="938">
      <c r="D938" s="25"/>
      <c r="E938" s="34"/>
    </row>
    <row r="939">
      <c r="D939" s="25"/>
      <c r="E939" s="34"/>
    </row>
    <row r="940">
      <c r="D940" s="25"/>
      <c r="E940" s="34"/>
    </row>
    <row r="941">
      <c r="D941" s="25"/>
      <c r="E941" s="34"/>
    </row>
    <row r="942">
      <c r="D942" s="25"/>
      <c r="E942" s="34"/>
    </row>
    <row r="943">
      <c r="D943" s="25"/>
      <c r="E943" s="34"/>
    </row>
    <row r="944">
      <c r="D944" s="25"/>
      <c r="E944" s="34"/>
    </row>
    <row r="945">
      <c r="D945" s="25"/>
      <c r="E945" s="34"/>
    </row>
    <row r="946">
      <c r="D946" s="25"/>
      <c r="E946" s="34"/>
    </row>
    <row r="947">
      <c r="D947" s="25"/>
      <c r="E947" s="34"/>
    </row>
    <row r="948">
      <c r="D948" s="25"/>
      <c r="E948" s="34"/>
    </row>
    <row r="949">
      <c r="D949" s="25"/>
      <c r="E949" s="34"/>
    </row>
    <row r="950">
      <c r="D950" s="25"/>
      <c r="E950" s="34"/>
    </row>
    <row r="951">
      <c r="D951" s="25"/>
      <c r="E951" s="34"/>
    </row>
    <row r="952">
      <c r="D952" s="25"/>
      <c r="E952" s="34"/>
    </row>
    <row r="953">
      <c r="D953" s="25"/>
      <c r="E953" s="34"/>
    </row>
    <row r="954">
      <c r="D954" s="25"/>
      <c r="E954" s="34"/>
    </row>
    <row r="955">
      <c r="D955" s="25"/>
      <c r="E955" s="34"/>
    </row>
    <row r="956">
      <c r="D956" s="25"/>
      <c r="E956" s="34"/>
    </row>
    <row r="957">
      <c r="D957" s="25"/>
      <c r="E957" s="34"/>
    </row>
    <row r="958">
      <c r="D958" s="25"/>
      <c r="E958" s="34"/>
    </row>
    <row r="959">
      <c r="D959" s="25"/>
      <c r="E959" s="34"/>
    </row>
    <row r="960">
      <c r="D960" s="25"/>
      <c r="E960" s="34"/>
    </row>
    <row r="961">
      <c r="D961" s="25"/>
      <c r="E961" s="34"/>
    </row>
    <row r="962">
      <c r="D962" s="25"/>
      <c r="E962" s="34"/>
    </row>
    <row r="963">
      <c r="D963" s="25"/>
      <c r="E963" s="34"/>
    </row>
    <row r="964">
      <c r="D964" s="25"/>
      <c r="E964" s="34"/>
    </row>
    <row r="965">
      <c r="D965" s="25"/>
      <c r="E965" s="34"/>
    </row>
    <row r="966">
      <c r="D966" s="25"/>
      <c r="E966" s="34"/>
    </row>
    <row r="967">
      <c r="D967" s="25"/>
      <c r="E967" s="34"/>
    </row>
    <row r="968">
      <c r="D968" s="25"/>
      <c r="E968" s="34"/>
    </row>
    <row r="969">
      <c r="D969" s="25"/>
      <c r="E969" s="34"/>
    </row>
    <row r="970">
      <c r="D970" s="25"/>
      <c r="E970" s="34"/>
    </row>
    <row r="971">
      <c r="D971" s="25"/>
      <c r="E971" s="34"/>
    </row>
    <row r="972">
      <c r="D972" s="25"/>
      <c r="E972" s="34"/>
    </row>
    <row r="973">
      <c r="D973" s="25"/>
      <c r="E973" s="34"/>
    </row>
    <row r="974">
      <c r="D974" s="25"/>
      <c r="E974" s="34"/>
    </row>
    <row r="975">
      <c r="D975" s="25"/>
      <c r="E975" s="34"/>
    </row>
    <row r="976">
      <c r="D976" s="25"/>
      <c r="E976" s="34"/>
    </row>
    <row r="977">
      <c r="D977" s="25"/>
      <c r="E977" s="34"/>
    </row>
    <row r="978">
      <c r="D978" s="25"/>
      <c r="E978" s="34"/>
    </row>
    <row r="979">
      <c r="D979" s="25"/>
      <c r="E979" s="34"/>
    </row>
    <row r="980">
      <c r="D980" s="25"/>
      <c r="E980" s="34"/>
    </row>
    <row r="981">
      <c r="D981" s="25"/>
      <c r="E981" s="34"/>
    </row>
    <row r="982">
      <c r="D982" s="25"/>
      <c r="E982" s="34"/>
    </row>
    <row r="983">
      <c r="D983" s="25"/>
      <c r="E983" s="34"/>
    </row>
    <row r="984">
      <c r="D984" s="25"/>
      <c r="E984" s="34"/>
    </row>
    <row r="985">
      <c r="D985" s="25"/>
      <c r="E985" s="34"/>
    </row>
    <row r="986">
      <c r="D986" s="25"/>
      <c r="E986" s="34"/>
    </row>
    <row r="987">
      <c r="D987" s="25"/>
      <c r="E987" s="34"/>
    </row>
    <row r="988">
      <c r="D988" s="25"/>
      <c r="E988" s="34"/>
    </row>
    <row r="989">
      <c r="D989" s="25"/>
      <c r="E989" s="34"/>
    </row>
    <row r="990">
      <c r="D990" s="25"/>
      <c r="E990" s="34"/>
    </row>
    <row r="991">
      <c r="D991" s="25"/>
      <c r="E991" s="34"/>
    </row>
    <row r="992">
      <c r="D992" s="25"/>
      <c r="E992" s="34"/>
    </row>
    <row r="993">
      <c r="D993" s="25"/>
      <c r="E993" s="34"/>
    </row>
    <row r="994">
      <c r="D994" s="25"/>
      <c r="E994" s="34"/>
    </row>
    <row r="995">
      <c r="D995" s="25"/>
      <c r="E995" s="34"/>
    </row>
    <row r="996">
      <c r="D996" s="25"/>
      <c r="E996" s="34"/>
    </row>
    <row r="997">
      <c r="D997" s="25"/>
      <c r="E997" s="34"/>
    </row>
    <row r="998">
      <c r="D998" s="25"/>
      <c r="E998" s="34"/>
    </row>
    <row r="999">
      <c r="D999" s="25"/>
      <c r="E999" s="34"/>
    </row>
    <row r="1000">
      <c r="D1000" s="25"/>
      <c r="E1000" s="34"/>
    </row>
    <row r="1001">
      <c r="D1001" s="25"/>
      <c r="E1001" s="34"/>
    </row>
    <row r="1002">
      <c r="D1002" s="25"/>
      <c r="E1002" s="34"/>
    </row>
    <row r="1003">
      <c r="D1003" s="25"/>
      <c r="E1003" s="34"/>
    </row>
    <row r="1004">
      <c r="D1004" s="25"/>
      <c r="E1004" s="34"/>
    </row>
    <row r="1005">
      <c r="D1005" s="25"/>
      <c r="E1005" s="34"/>
    </row>
    <row r="1006">
      <c r="D1006" s="25"/>
      <c r="E1006" s="34"/>
    </row>
    <row r="1007">
      <c r="D1007" s="25"/>
      <c r="E1007" s="34"/>
    </row>
    <row r="1008">
      <c r="D1008" s="25"/>
      <c r="E1008" s="34"/>
    </row>
    <row r="1009">
      <c r="D1009" s="25"/>
      <c r="E1009" s="34"/>
    </row>
    <row r="1010">
      <c r="D1010" s="25"/>
      <c r="E1010" s="34"/>
    </row>
    <row r="1011">
      <c r="D1011" s="25"/>
      <c r="E1011" s="34"/>
    </row>
    <row r="1012">
      <c r="D1012" s="25"/>
      <c r="E1012" s="34"/>
    </row>
    <row r="1013">
      <c r="D1013" s="25"/>
      <c r="E1013" s="34"/>
    </row>
    <row r="1014">
      <c r="D1014" s="25"/>
      <c r="E1014" s="34"/>
    </row>
    <row r="1015">
      <c r="D1015" s="25"/>
      <c r="E1015" s="34"/>
    </row>
    <row r="1016">
      <c r="D1016" s="25"/>
      <c r="E1016" s="34"/>
    </row>
    <row r="1017">
      <c r="D1017" s="25"/>
      <c r="E1017" s="34"/>
    </row>
    <row r="1018">
      <c r="D1018" s="25"/>
      <c r="E1018" s="34"/>
    </row>
    <row r="1019">
      <c r="D1019" s="25"/>
      <c r="E1019" s="34"/>
    </row>
    <row r="1020">
      <c r="D1020" s="25"/>
      <c r="E1020" s="34"/>
    </row>
    <row r="1021">
      <c r="D1021" s="25"/>
      <c r="E1021" s="34"/>
    </row>
    <row r="1022">
      <c r="D1022" s="25"/>
      <c r="E1022" s="34"/>
    </row>
    <row r="1023">
      <c r="D1023" s="25"/>
      <c r="E1023" s="34"/>
    </row>
    <row r="1024">
      <c r="D1024" s="25"/>
      <c r="E1024" s="34"/>
    </row>
    <row r="1025">
      <c r="D1025" s="25"/>
      <c r="E1025" s="34"/>
    </row>
    <row r="1026">
      <c r="D1026" s="25"/>
      <c r="E1026" s="34"/>
    </row>
    <row r="1027">
      <c r="D1027" s="25"/>
      <c r="E1027" s="34"/>
    </row>
    <row r="1028">
      <c r="D1028" s="25"/>
      <c r="E1028" s="34"/>
    </row>
    <row r="1029">
      <c r="D1029" s="25"/>
      <c r="E1029" s="34"/>
    </row>
    <row r="1030">
      <c r="D1030" s="25"/>
      <c r="E1030" s="34"/>
    </row>
    <row r="1031">
      <c r="D1031" s="25"/>
      <c r="E1031" s="34"/>
    </row>
    <row r="1032">
      <c r="D1032" s="25"/>
      <c r="E1032" s="34"/>
    </row>
    <row r="1033">
      <c r="D1033" s="25"/>
      <c r="E1033" s="34"/>
    </row>
    <row r="1034">
      <c r="D1034" s="25"/>
      <c r="E1034" s="34"/>
    </row>
    <row r="1035">
      <c r="D1035" s="25"/>
      <c r="E1035" s="34"/>
    </row>
    <row r="1036">
      <c r="D1036" s="25"/>
      <c r="E1036" s="34"/>
    </row>
    <row r="1037">
      <c r="D1037" s="25"/>
      <c r="E1037" s="34"/>
    </row>
    <row r="1038">
      <c r="D1038" s="25"/>
      <c r="E1038" s="34"/>
    </row>
    <row r="1039">
      <c r="D1039" s="25"/>
      <c r="E1039" s="34"/>
    </row>
    <row r="1040">
      <c r="D1040" s="25"/>
      <c r="E1040" s="34"/>
    </row>
    <row r="1041">
      <c r="D1041" s="25"/>
      <c r="E1041" s="34"/>
    </row>
    <row r="1042">
      <c r="D1042" s="25"/>
      <c r="E1042" s="34"/>
    </row>
    <row r="1043">
      <c r="D1043" s="25"/>
      <c r="E1043" s="34"/>
    </row>
    <row r="1044">
      <c r="D1044" s="25"/>
      <c r="E1044" s="34"/>
    </row>
    <row r="1045">
      <c r="D1045" s="25"/>
      <c r="E1045" s="34"/>
    </row>
    <row r="1046">
      <c r="D1046" s="25"/>
      <c r="E1046" s="34"/>
    </row>
    <row r="1047">
      <c r="D1047" s="25"/>
      <c r="E1047" s="34"/>
    </row>
    <row r="1048">
      <c r="D1048" s="25"/>
      <c r="E1048" s="34"/>
    </row>
    <row r="1049">
      <c r="D1049" s="25"/>
      <c r="E1049" s="34"/>
    </row>
    <row r="1050">
      <c r="D1050" s="25"/>
      <c r="E1050" s="34"/>
    </row>
    <row r="1051">
      <c r="D1051" s="25"/>
      <c r="E1051" s="34"/>
    </row>
    <row r="1052">
      <c r="D1052" s="25"/>
      <c r="E1052" s="34"/>
    </row>
    <row r="1053">
      <c r="D1053" s="25"/>
      <c r="E1053" s="34"/>
    </row>
    <row r="1054">
      <c r="D1054" s="25"/>
      <c r="E1054" s="34"/>
    </row>
    <row r="1055">
      <c r="D1055" s="25"/>
      <c r="E1055" s="34"/>
    </row>
    <row r="1056">
      <c r="D1056" s="25"/>
      <c r="E1056" s="34"/>
    </row>
    <row r="1057">
      <c r="D1057" s="25"/>
      <c r="E1057" s="34"/>
    </row>
    <row r="1058">
      <c r="D1058" s="25"/>
      <c r="E1058" s="34"/>
    </row>
    <row r="1059">
      <c r="D1059" s="25"/>
      <c r="E1059" s="34"/>
    </row>
    <row r="1060">
      <c r="D1060" s="25"/>
      <c r="E1060" s="34"/>
    </row>
    <row r="1061">
      <c r="D1061" s="25"/>
      <c r="E1061" s="34"/>
    </row>
    <row r="1062">
      <c r="D1062" s="25"/>
      <c r="E1062" s="34"/>
    </row>
    <row r="1063">
      <c r="D1063" s="25"/>
      <c r="E1063" s="34"/>
    </row>
    <row r="1064">
      <c r="D1064" s="25"/>
      <c r="E1064" s="34"/>
    </row>
    <row r="1065">
      <c r="D1065" s="25"/>
      <c r="E1065" s="34"/>
    </row>
    <row r="1066">
      <c r="D1066" s="25"/>
      <c r="E1066" s="34"/>
    </row>
    <row r="1067">
      <c r="D1067" s="25"/>
      <c r="E1067" s="34"/>
    </row>
    <row r="1068">
      <c r="D1068" s="25"/>
      <c r="E1068" s="34"/>
    </row>
    <row r="1069">
      <c r="D1069" s="25"/>
      <c r="E1069" s="34"/>
    </row>
    <row r="1070">
      <c r="D1070" s="25"/>
      <c r="E1070" s="34"/>
    </row>
    <row r="1071">
      <c r="D1071" s="25"/>
      <c r="E1071" s="34"/>
    </row>
    <row r="1072">
      <c r="D1072" s="25"/>
      <c r="E1072" s="34"/>
    </row>
    <row r="1073">
      <c r="D1073" s="25"/>
      <c r="E1073" s="34"/>
    </row>
    <row r="1074">
      <c r="D1074" s="25"/>
      <c r="E1074" s="34"/>
    </row>
    <row r="1075">
      <c r="D1075" s="25"/>
      <c r="E1075" s="34"/>
    </row>
    <row r="1076">
      <c r="D1076" s="25"/>
      <c r="E1076" s="34"/>
    </row>
  </sheetData>
  <drawing r:id="rId1"/>
</worksheet>
</file>