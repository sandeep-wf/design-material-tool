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s" sheetId="1" r:id="rId5"/>
    <sheet state="visible" name="Material" sheetId="2" r:id="rId6"/>
    <sheet state="visible" name="Mapping" sheetId="3" r:id="rId7"/>
    <sheet state="visible" name="Design" sheetId="4" r:id="rId8"/>
  </sheets>
  <definedNames/>
  <calcPr/>
</workbook>
</file>

<file path=xl/sharedStrings.xml><?xml version="1.0" encoding="utf-8"?>
<sst xmlns="http://schemas.openxmlformats.org/spreadsheetml/2006/main" count="1053" uniqueCount="255">
  <si>
    <t>Sno</t>
  </si>
  <si>
    <t>design_name</t>
  </si>
  <si>
    <t>design_code</t>
  </si>
  <si>
    <t>published</t>
  </si>
  <si>
    <t>active</t>
  </si>
  <si>
    <t>BR-1-1</t>
  </si>
  <si>
    <t>Yes</t>
  </si>
  <si>
    <t>BR-1-2</t>
  </si>
  <si>
    <t>BR-2-1</t>
  </si>
  <si>
    <t>BR-2-2</t>
  </si>
  <si>
    <t>BR-3-1</t>
  </si>
  <si>
    <t>BR-3-2</t>
  </si>
  <si>
    <t>BR-4-1</t>
  </si>
  <si>
    <t>BR-4-2</t>
  </si>
  <si>
    <t>BR-5-1</t>
  </si>
  <si>
    <t>BR-5-2</t>
  </si>
  <si>
    <t>BR-6-1</t>
  </si>
  <si>
    <t>BR-6-2</t>
  </si>
  <si>
    <t>BR-7-1</t>
  </si>
  <si>
    <t>BR-7-2</t>
  </si>
  <si>
    <t>BR-8-1</t>
  </si>
  <si>
    <t>BR-8-2</t>
  </si>
  <si>
    <t>BR-12-1</t>
  </si>
  <si>
    <t>BR-13-1</t>
  </si>
  <si>
    <t>BR-15-1</t>
  </si>
  <si>
    <t>BR-15-2</t>
  </si>
  <si>
    <t>BR-9-1</t>
  </si>
  <si>
    <t>BR-19-1</t>
  </si>
  <si>
    <t>BR-10-1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</si>
  <si>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</si>
  <si>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</si>
  <si>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</si>
  <si>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</si>
  <si>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</si>
  <si>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</si>
  <si>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</si>
  <si>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</si>
  <si>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</si>
  <si>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</si>
  <si>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</si>
  <si>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</si>
  <si>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</si>
  <si>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</si>
  <si>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</si>
  <si>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</si>
  <si>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</si>
  <si>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</si>
  <si>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</si>
  <si>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</si>
  <si>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</si>
  <si>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</si>
  <si>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</si>
  <si>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</si>
  <si>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</si>
  <si>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</si>
  <si>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</si>
  <si>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</si>
  <si>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</si>
  <si>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</si>
  <si>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</si>
  <si>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</si>
  <si>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LR-09L-1</t>
  </si>
  <si>
    <t>LR-09L-2</t>
  </si>
  <si>
    <t>LR-10L-1</t>
  </si>
  <si>
    <t>LR-11L-1</t>
  </si>
  <si>
    <t>LR-20L-1</t>
  </si>
  <si>
    <t>LR-20L-2</t>
  </si>
  <si>
    <t>LR-18-1</t>
  </si>
  <si>
    <t>LR-18-2</t>
  </si>
  <si>
    <t>LR-21L-1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</si>
  <si>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</si>
  <si>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</si>
  <si>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</si>
  <si>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</si>
  <si>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</si>
  <si>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</si>
  <si>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</si>
  <si>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</si>
  <si>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</si>
  <si>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LR-26L-1</t>
  </si>
  <si>
    <t>LR-27L-1</t>
  </si>
  <si>
    <t>LR-28L-1</t>
  </si>
  <si>
    <t>LR-28L-2</t>
  </si>
  <si>
    <t>LR-29L-1</t>
  </si>
  <si>
    <t>LR-29L-2</t>
  </si>
  <si>
    <t>LR-30L-1</t>
  </si>
  <si>
    <t>LR-30L-2</t>
  </si>
  <si>
    <t>LR-31L-1</t>
  </si>
  <si>
    <t>LR-31L-2</t>
  </si>
  <si>
    <t>LR-32L-1</t>
  </si>
  <si>
    <t>LR-33L-1</t>
  </si>
  <si>
    <t>LR-33L-2</t>
  </si>
  <si>
    <t>LR-34L-1</t>
  </si>
  <si>
    <t>LR-34L-2</t>
  </si>
  <si>
    <t>LR-35L-1</t>
  </si>
  <si>
    <t>LR-35L-2</t>
  </si>
  <si>
    <t>LR-36L-1</t>
  </si>
  <si>
    <t>TV-60</t>
  </si>
  <si>
    <t>TV-61</t>
  </si>
  <si>
    <t>TV-62</t>
  </si>
  <si>
    <t>TV-63</t>
  </si>
  <si>
    <t>TV-64</t>
  </si>
  <si>
    <t>TV-65</t>
  </si>
  <si>
    <t>TV-66</t>
  </si>
  <si>
    <t>TV-67</t>
  </si>
  <si>
    <t>TV-68</t>
  </si>
  <si>
    <t>TV-69</t>
  </si>
  <si>
    <t>TV-70</t>
  </si>
  <si>
    <t>TV-71</t>
  </si>
  <si>
    <t>TV-72</t>
  </si>
  <si>
    <t>TV-73</t>
  </si>
  <si>
    <t>TV-74</t>
  </si>
  <si>
    <t>TV-75</t>
  </si>
  <si>
    <t>TV-76</t>
  </si>
  <si>
    <t>TV-77</t>
  </si>
  <si>
    <t>TV-78</t>
  </si>
  <si>
    <t>TV-79</t>
  </si>
  <si>
    <t>sno</t>
  </si>
  <si>
    <t>material_name</t>
  </si>
  <si>
    <t>material_type</t>
  </si>
  <si>
    <t>material_crm_code</t>
  </si>
  <si>
    <t>material_sap_code</t>
  </si>
  <si>
    <t>price</t>
  </si>
  <si>
    <t>Charcoal PS-Cream-Matte-PN 06167</t>
  </si>
  <si>
    <t>material</t>
  </si>
  <si>
    <t>Charcoal PS-Pine-Wood Grain-PN 03221</t>
  </si>
  <si>
    <t>WHSWPLCS020</t>
  </si>
  <si>
    <t>Charcoal PS-Light-Wood Grain-PN 06277</t>
  </si>
  <si>
    <t>WHSWPLCS103</t>
  </si>
  <si>
    <t>Charcoal PS-Brown-Wood Grain-PN 03399</t>
  </si>
  <si>
    <t>WHSWPLCS079</t>
  </si>
  <si>
    <t>Charcoal PS-Dark-Wood Grain-PN 02746</t>
  </si>
  <si>
    <t>WHSWPLCS042</t>
  </si>
  <si>
    <t>Charcoal PS-Walnut-Wood Grain-PN 03223</t>
  </si>
  <si>
    <t>WHSWPLCS021</t>
  </si>
  <si>
    <t>Charcoal PS-Medium-Wood Grain-PN 05656</t>
  </si>
  <si>
    <t>WHSWPLCS055</t>
  </si>
  <si>
    <t>Charcoal PS-Dark-Wood Grain-PN 03889</t>
  </si>
  <si>
    <t>WHSWPLCS106</t>
  </si>
  <si>
    <t>Charcoal PS-Dark Grey-Matte-PN 00545</t>
  </si>
  <si>
    <t>WHSWPLCS025</t>
  </si>
  <si>
    <t>Charcoal PS-Cream-Matte-PN 05667</t>
  </si>
  <si>
    <t>WHSWPLCS102</t>
  </si>
  <si>
    <t>Charcoal PS-Dark-Wood Grain-PN 03027</t>
  </si>
  <si>
    <t>WHSWPLCS076</t>
  </si>
  <si>
    <t>Charcoal PS-Walnut-Wood Grain-PN 00149</t>
  </si>
  <si>
    <t>WHSWPLCS051</t>
  </si>
  <si>
    <t>Charcoal PS-White-Matte-PN 00155</t>
  </si>
  <si>
    <t>WHSWPLCS029</t>
  </si>
  <si>
    <t>Charcoal PS-Walnut-Wood Grain-PN 02347</t>
  </si>
  <si>
    <t>WHSWPLCS036</t>
  </si>
  <si>
    <t>Brown Wooden Louver PN 02308 - CPC Panel</t>
  </si>
  <si>
    <t>WHSWPLCPCS118</t>
  </si>
  <si>
    <t xml:space="preserve">Beige Fabric Louver PN 02327 CPC Panel </t>
  </si>
  <si>
    <t>WHSWPLCPCS150</t>
  </si>
  <si>
    <t>Brown Wooden Decor PN 02314 CPC Panel</t>
  </si>
  <si>
    <t>WHSWPLCPCS138</t>
  </si>
  <si>
    <t xml:space="preserve">Brown Wooden Louver PN 02307 CPC Panel </t>
  </si>
  <si>
    <t>WHSWPLCPCS132</t>
  </si>
  <si>
    <t xml:space="preserve">Brown Wooden Louver PN 02313 CPC Panel </t>
  </si>
  <si>
    <t>WHSWPLCPCS153</t>
  </si>
  <si>
    <t xml:space="preserve">Brown Wooden PN 02305 CPC Panel </t>
  </si>
  <si>
    <t>WHSWPLCPCS131</t>
  </si>
  <si>
    <t xml:space="preserve">Grey Stone Louver PN 02324 - CPC Panel </t>
  </si>
  <si>
    <t>WHSWPLCPCS128</t>
  </si>
  <si>
    <t xml:space="preserve">Brown Fabric Louver PN 02328 CPC Panel </t>
  </si>
  <si>
    <t>WHSWPLCPCS127</t>
  </si>
  <si>
    <t>Grey Stone Louver PN 02322 - CPC Panel</t>
  </si>
  <si>
    <t>WHSWPLCPCS124</t>
  </si>
  <si>
    <t>Brown Wooden Louver PN 02307 B-CPC Panel</t>
  </si>
  <si>
    <t>WHSWPLCPCS133</t>
  </si>
  <si>
    <t>Brown Wooden Louver PN 02305 B-CPC Panel</t>
  </si>
  <si>
    <t>WHSWPLCPCS130</t>
  </si>
  <si>
    <t xml:space="preserve">Grey Marble Louver PN 02325 - CPC Panel </t>
  </si>
  <si>
    <t>WHSWPLCPCS115</t>
  </si>
  <si>
    <t xml:space="preserve">White Marble Louver PN 02304 CPC Panel </t>
  </si>
  <si>
    <t>WHSWPLCPCS112</t>
  </si>
  <si>
    <t>Brown Stone Decor PN 02323 CPC Panel</t>
  </si>
  <si>
    <t>WHSWPLCPCS159</t>
  </si>
  <si>
    <t xml:space="preserve">Brown Wooden Louver PN 02312 CPC Panel </t>
  </si>
  <si>
    <t>WHSWPLCPCS152</t>
  </si>
  <si>
    <t>Beige Wooden Louver PN 02309 CPC Panel</t>
  </si>
  <si>
    <t>WHSWPLCPCS155</t>
  </si>
  <si>
    <t>Charcoal PS-Beige-Matte-PN 03851</t>
  </si>
  <si>
    <t>WHSWPLCS006</t>
  </si>
  <si>
    <t>Charcoal PS-Pine-Wood Grain-PN 00147</t>
  </si>
  <si>
    <t>WHSWPLCS033</t>
  </si>
  <si>
    <t>Charcoal PS-Brown-Wood Grain-PN 05755</t>
  </si>
  <si>
    <t>WHSWPLCS078</t>
  </si>
  <si>
    <t>Charcoal PS-Teak-Wood Grain-PN 02343</t>
  </si>
  <si>
    <t>WHSWPLCS035</t>
  </si>
  <si>
    <t xml:space="preserve">PN 02315 B Crema Fluted CPC Board </t>
  </si>
  <si>
    <t>WHSWPLCPCS140</t>
  </si>
  <si>
    <t>Grey Marble Louver PN 02325 B-CPC Panel</t>
  </si>
  <si>
    <t>WHSWPLCPCS114</t>
  </si>
  <si>
    <t>Brown Wooden Louver PN 02313 B CPC Panel</t>
  </si>
  <si>
    <t>WHSWPLCPCS154</t>
  </si>
  <si>
    <t>Beige Plain Louver PN 02311 B-CPC Panel</t>
  </si>
  <si>
    <t>WHSWPLCPCS136</t>
  </si>
  <si>
    <t>Grey Stone Louver PN 02324 B - CPC Panel</t>
  </si>
  <si>
    <t>WHSWPLCPCS129</t>
  </si>
  <si>
    <t>Silicon sealant glue</t>
  </si>
  <si>
    <t>WHSWGLSS168</t>
  </si>
  <si>
    <t>material_md_code</t>
  </si>
  <si>
    <t>qty</t>
  </si>
  <si>
    <t>WHSWPLCS017</t>
  </si>
  <si>
    <t>??</t>
  </si>
  <si>
    <t>2307 B</t>
  </si>
  <si>
    <t>2305 B</t>
  </si>
  <si>
    <t>2315 B</t>
  </si>
  <si>
    <t>2325 B</t>
  </si>
  <si>
    <t>2313B</t>
  </si>
  <si>
    <t>2311 B</t>
  </si>
  <si>
    <t>2324B</t>
  </si>
  <si>
    <t>2325B</t>
  </si>
  <si>
    <t>Design no.</t>
  </si>
  <si>
    <t>Variant</t>
  </si>
  <si>
    <t>Material Code 1</t>
  </si>
  <si>
    <t>Material Link 1</t>
  </si>
  <si>
    <t>Material Code 2</t>
  </si>
  <si>
    <t>Material Link 2</t>
  </si>
  <si>
    <t>Material Code 3</t>
  </si>
  <si>
    <t>Material Link 3</t>
  </si>
  <si>
    <t>Trim</t>
  </si>
  <si>
    <t>Beading</t>
  </si>
  <si>
    <t xml:space="preserve">BEDROOM </t>
  </si>
  <si>
    <t>LIVING ROOM</t>
  </si>
  <si>
    <t>09L</t>
  </si>
  <si>
    <t>10L</t>
  </si>
  <si>
    <t>11L</t>
  </si>
  <si>
    <t>20L</t>
  </si>
  <si>
    <t>21L</t>
  </si>
  <si>
    <t>22L</t>
  </si>
  <si>
    <t>2319 B</t>
  </si>
  <si>
    <t>23L</t>
  </si>
  <si>
    <t>24L</t>
  </si>
  <si>
    <t>25L</t>
  </si>
  <si>
    <t>2318B</t>
  </si>
  <si>
    <t>2316B</t>
  </si>
  <si>
    <t>26L</t>
  </si>
  <si>
    <t>27L</t>
  </si>
  <si>
    <t>28L</t>
  </si>
  <si>
    <t>29L</t>
  </si>
  <si>
    <t>30L</t>
  </si>
  <si>
    <t>31L</t>
  </si>
  <si>
    <t>32L</t>
  </si>
  <si>
    <t>33L</t>
  </si>
  <si>
    <t>34L</t>
  </si>
  <si>
    <t>35L</t>
  </si>
  <si>
    <t>36L</t>
  </si>
  <si>
    <t>2308B</t>
  </si>
  <si>
    <t>TV WALL</t>
  </si>
  <si>
    <t>2308 B</t>
  </si>
  <si>
    <t>2328 B</t>
  </si>
  <si>
    <t>2312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</si>
</sst>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9.0"/>
      <color theme="1"/>
      <name val="Arial"/>
    </font>
    <font>
      <u/>
      <color rgb="FF1155CC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center" readingOrder="0"/>
    </xf>
    <xf borderId="1" fillId="2" fontId="4" numFmtId="0" xfId="0" applyBorder="1" applyFill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materialdepot.in/pn-02313-surfex-ms-238-bo-english-oak-9-17-ft-x-2-ft-plain-board-8-mm/product" TargetMode="External"/><Relationship Id="rId42" Type="http://schemas.openxmlformats.org/officeDocument/2006/relationships/hyperlink" Target="https://materialdepot.in/pn-02313-surfex-ms-238-bo-english-oak-9-17-ft-x-2-ft-plain-board-8-mm/product" TargetMode="External"/><Relationship Id="rId41" Type="http://schemas.openxmlformats.org/officeDocument/2006/relationships/hyperlink" Target="https://materialdepot.com/pn-02324-surfex-ms-5852-bo-armani-grey-9-17-ft-x-2-ft-plain-board-8-mm/product" TargetMode="External"/><Relationship Id="rId44" Type="http://schemas.openxmlformats.org/officeDocument/2006/relationships/hyperlink" Target="https://materialdepot.in/pn-02313-surfex-ms-238-bo-english-oak-9-17-ft-x-2-ft-plain-board-8-mm/product" TargetMode="External"/><Relationship Id="rId43" Type="http://schemas.openxmlformats.org/officeDocument/2006/relationships/hyperlink" Target="https://materialdepot.in/pn-02304-ms-710-bo-9-ft-2-inch-x-2-ft-plain-board-8-mm/product" TargetMode="External"/><Relationship Id="rId46" Type="http://schemas.openxmlformats.org/officeDocument/2006/relationships/hyperlink" Target="https://materialdepot.com/pn-02328-surfex-ms-2133-bo-checkered-brown-9-17-ft-x-2-ft-plain-board-8-mm/product" TargetMode="External"/><Relationship Id="rId45" Type="http://schemas.openxmlformats.org/officeDocument/2006/relationships/hyperlink" Target="https://materialdepot.in/pn-02314-surfex-ms-624-bo-austin-brown-oak-9-17-ft-x-2-ft-plain-board-8-mm/product" TargetMode="External"/><Relationship Id="rId107" Type="http://schemas.openxmlformats.org/officeDocument/2006/relationships/hyperlink" Target="https://materialdepot.in/pn-02326-surfex-ms-2131-bo-checkered-light-9-17-ft-x-2-ft-plain-board-8-mm/product" TargetMode="External"/><Relationship Id="rId106" Type="http://schemas.openxmlformats.org/officeDocument/2006/relationships/hyperlink" Target="https://materialdepot.in/pn-05662-8-ft-x-5-inch-charcoal-panels-10-mm-q9z6nweh/product" TargetMode="External"/><Relationship Id="rId105" Type="http://schemas.openxmlformats.org/officeDocument/2006/relationships/hyperlink" Target="https://materialdepot.in/pn-02322-surfex-mz-973-bo-grey-concrete-9-17-ft-x-2-ft-plain-board-8-mm/product" TargetMode="External"/><Relationship Id="rId104" Type="http://schemas.openxmlformats.org/officeDocument/2006/relationships/hyperlink" Target="https://materialdepot.in/pn-02314-surfex-ms-624-bo-austin-brown-oak-9-17-ft-x-2-ft-plain-board-8-mm/product" TargetMode="External"/><Relationship Id="rId109" Type="http://schemas.openxmlformats.org/officeDocument/2006/relationships/hyperlink" Target="https://materialdepot.in/pn-02304-ms-710-bo-9-ft-2-inch-x-2-ft-plain-board-8-mm/product" TargetMode="External"/><Relationship Id="rId108" Type="http://schemas.openxmlformats.org/officeDocument/2006/relationships/hyperlink" Target="https://materialdepot.in/pn-03851-fl-2012-charcoal-louvers-panels-9-5-ft-x-6-inch-10-mm/product" TargetMode="External"/><Relationship Id="rId48" Type="http://schemas.openxmlformats.org/officeDocument/2006/relationships/hyperlink" Target="https://materialdepot.in/pn-02308-surfex-ms-691-bo-crema-oak-9-17-ft-x-2-ft-plain-board-8-mm/product" TargetMode="External"/><Relationship Id="rId47" Type="http://schemas.openxmlformats.org/officeDocument/2006/relationships/hyperlink" Target="https://materialdepot.in/pn-02312-surfex-ms-636-bo-boliver-brown-9-17-ft-x-2-ft-plain-board-8-mm/product" TargetMode="External"/><Relationship Id="rId49" Type="http://schemas.openxmlformats.org/officeDocument/2006/relationships/hyperlink" Target="https://materialdepot.in/pn-02309-surfex-ms-693-bo-soft-light-oak-9-17-ft-x-2-ft-plain-board-8-mm/product" TargetMode="External"/><Relationship Id="rId103" Type="http://schemas.openxmlformats.org/officeDocument/2006/relationships/hyperlink" Target="https://materialdepot.in/pn-02316-b-surfex-ml-3673-fl-cadet-blue-9-ft-x-0-5-ft-flute-board-8-mm/product" TargetMode="External"/><Relationship Id="rId102" Type="http://schemas.openxmlformats.org/officeDocument/2006/relationships/hyperlink" Target="https://materialdepot.in/pn-02321-surfex-mz-972-bo-swedish-concrete-9-17-ft-x-2-ft-plain-board-8-mm/product" TargetMode="External"/><Relationship Id="rId101" Type="http://schemas.openxmlformats.org/officeDocument/2006/relationships/hyperlink" Target="https://materialdepot.in/pn-02318-b-surfex-ml-3664-fl-charcoal-grey-9-ft-x-0-5-ft-flute-board-8-mm/product" TargetMode="External"/><Relationship Id="rId100" Type="http://schemas.openxmlformats.org/officeDocument/2006/relationships/hyperlink" Target="https://materialdepot.in/pn-02312-surfex-ms-636-bo-boliver-brown-9-17-ft-x-2-ft-plain-board-8-mm/product" TargetMode="External"/><Relationship Id="rId31" Type="http://schemas.openxmlformats.org/officeDocument/2006/relationships/hyperlink" Target="https://materialdepot.com/pn-02324-surfex-ms-5852-bo-armani-grey-9-17-ft-x-2-ft-plain-board-8-mm/product" TargetMode="External"/><Relationship Id="rId30" Type="http://schemas.openxmlformats.org/officeDocument/2006/relationships/hyperlink" Target="https://materialdepot.in/pn-02305-ms-108-bo-9-ft-2-inch-x-2-ft-plain-board-8-mm/product" TargetMode="External"/><Relationship Id="rId33" Type="http://schemas.openxmlformats.org/officeDocument/2006/relationships/hyperlink" Target="https://materialdepot.in/pn-02305-ms-108-bo-9-ft-2-inch-x-2-ft-plain-board-8-mm/product" TargetMode="External"/><Relationship Id="rId32" Type="http://schemas.openxmlformats.org/officeDocument/2006/relationships/hyperlink" Target="https://materialdepot.in/pn-02314-surfex-ms-624-bo-austin-brown-oak-9-17-ft-x-2-ft-plain-board-8-mm/product" TargetMode="External"/><Relationship Id="rId182" Type="http://schemas.openxmlformats.org/officeDocument/2006/relationships/drawing" Target="../drawings/drawing4.xml"/><Relationship Id="rId35" Type="http://schemas.openxmlformats.org/officeDocument/2006/relationships/hyperlink" Target="https://materialdepot.in/pn-02305-ms-108-bo-9-ft-2-inch-x-2-ft-plain-board-8-mm/product" TargetMode="External"/><Relationship Id="rId181" Type="http://schemas.openxmlformats.org/officeDocument/2006/relationships/hyperlink" Target="https://materialdepot.in/pn-02325-b-surfex-ms-8047-fl-statuario-9-ft-x-0-5-ft-flute-board-8-mm/product" TargetMode="External"/><Relationship Id="rId34" Type="http://schemas.openxmlformats.org/officeDocument/2006/relationships/hyperlink" Target="https://materialdepot.in/pn-02323-surfex-ms-5851-bo-armani-light-9-17-ft-x-2-ft-plain-board-8-mm/product" TargetMode="External"/><Relationship Id="rId180" Type="http://schemas.openxmlformats.org/officeDocument/2006/relationships/hyperlink" Target="https://materialdepot.in/pn-02325-surfex-ms-8047-bo-statuario-9-17-ft-x-2-ft-plain-board-8-mm/product" TargetMode="External"/><Relationship Id="rId37" Type="http://schemas.openxmlformats.org/officeDocument/2006/relationships/hyperlink" Target="https://materialdepot.com/pn-02324-surfex-ms-5852-bo-armani-grey-9-17-ft-x-2-ft-plain-board-8-mm/product" TargetMode="External"/><Relationship Id="rId176" Type="http://schemas.openxmlformats.org/officeDocument/2006/relationships/hyperlink" Target="https://materialdepot.com/pn-02324-b-surfex-ms-5852-fl-armani-grey-9-ft-x-0-5-ft-flute-board-8-mm/product" TargetMode="External"/><Relationship Id="rId36" Type="http://schemas.openxmlformats.org/officeDocument/2006/relationships/hyperlink" Target="https://materialdepot.in/pn-02304-ms-710-bo-9-ft-2-inch-x-2-ft-plain-board-8-mm/product" TargetMode="External"/><Relationship Id="rId175" Type="http://schemas.openxmlformats.org/officeDocument/2006/relationships/hyperlink" Target="https://materialdepot.com/pn-02324-surfex-ms-5852-bo-armani-grey-9-17-ft-x-2-ft-plain-board-8-mm/product" TargetMode="External"/><Relationship Id="rId39" Type="http://schemas.openxmlformats.org/officeDocument/2006/relationships/hyperlink" Target="https://materialdepot.in/pn-02314-surfex-ms-624-bo-austin-brown-oak-9-17-ft-x-2-ft-plain-board-8-mm/product" TargetMode="External"/><Relationship Id="rId174" Type="http://schemas.openxmlformats.org/officeDocument/2006/relationships/hyperlink" Target="https://materialdepot.com/pn-02311-b-surfex-ms-634-fl-boliver-beige-9-ft-x-0-5-ft-flute-board-8-mm/product" TargetMode="External"/><Relationship Id="rId38" Type="http://schemas.openxmlformats.org/officeDocument/2006/relationships/hyperlink" Target="https://drive.google.com/file/d/1jfzXAp3GgSPX9-kZuzWnyDHkxTjNpB2l/view?usp=sharing" TargetMode="External"/><Relationship Id="rId173" Type="http://schemas.openxmlformats.org/officeDocument/2006/relationships/hyperlink" Target="https://materialdepot.com/pn-02311-surfex-ms-634-bo-boliver-beige-9-17-ft-x-2-ft-plain-board-8-mm/product" TargetMode="External"/><Relationship Id="rId179" Type="http://schemas.openxmlformats.org/officeDocument/2006/relationships/hyperlink" Target="https://materialdepot.in/pn-02313-surfex-ms-238-bo-english-oak-9-17-ft-x-2-ft-plain-board-8-mm/product" TargetMode="External"/><Relationship Id="rId178" Type="http://schemas.openxmlformats.org/officeDocument/2006/relationships/hyperlink" Target="https://materialdepot.in/pn-03865-fl-6120-charcoal-louvers-panels-9-5-ft-x-6-inch-10-mm/product" TargetMode="External"/><Relationship Id="rId177" Type="http://schemas.openxmlformats.org/officeDocument/2006/relationships/hyperlink" Target="https://materialdepot.in/pn-02313-surfex-ms-238-bo-english-oak-9-17-ft-x-2-ft-plain-board-8-mm/product" TargetMode="External"/><Relationship Id="rId20" Type="http://schemas.openxmlformats.org/officeDocument/2006/relationships/hyperlink" Target="http://google.com/url?q=https://materialdepot.in/pn-02327-surfex-ms-2132-bo-checkered-grey-9-17-ft-x-2-ft-plain-board-8-mm/product&amp;sa=D&amp;source=editors&amp;ust=1782110150100001&amp;usg=AOvVaw3Ex2UpujxINec8oorU88Lr" TargetMode="External"/><Relationship Id="rId22" Type="http://schemas.openxmlformats.org/officeDocument/2006/relationships/hyperlink" Target="https://drive.google.com/file/d/1-0jBOqO-TJaWOlwda933TiIhtKv2hL5a/view?usp=sharing" TargetMode="External"/><Relationship Id="rId21" Type="http://schemas.openxmlformats.org/officeDocument/2006/relationships/hyperlink" Target="https://drive.google.com/file/d/175Q2NJisJEu1oA9y7GTkBNEIE1Nky93Q/view?usp=sharing" TargetMode="External"/><Relationship Id="rId24" Type="http://schemas.openxmlformats.org/officeDocument/2006/relationships/hyperlink" Target="https://drive.google.com/file/d/175Q2NJisJEu1oA9y7GTkBNEIE1Nky93Q/view?usp=sharing" TargetMode="External"/><Relationship Id="rId23" Type="http://schemas.openxmlformats.org/officeDocument/2006/relationships/hyperlink" Target="https://drive.google.com/file/d/1-0jBOqO-TJaWOlwda933TiIhtKv2hL5a/view?usp=sharing" TargetMode="External"/><Relationship Id="rId129" Type="http://schemas.openxmlformats.org/officeDocument/2006/relationships/hyperlink" Target="https://materialdepot.in/pn-02322-surfex-mz-973-bo-grey-concrete-9-17-ft-x-2-ft-plain-board-8-mm/product" TargetMode="External"/><Relationship Id="rId128" Type="http://schemas.openxmlformats.org/officeDocument/2006/relationships/hyperlink" Target="https://materialdepot.in/pn-03914-fl-3015-charcoal-louvers-panels-9-5-ft-x-6-inch-10-mm/product" TargetMode="External"/><Relationship Id="rId127" Type="http://schemas.openxmlformats.org/officeDocument/2006/relationships/hyperlink" Target="https://materialdepot.in/pn-02313-surfex-ms-238-bo-english-oak-9-17-ft-x-2-ft-plain-board-8-mm/product" TargetMode="External"/><Relationship Id="rId126" Type="http://schemas.openxmlformats.org/officeDocument/2006/relationships/hyperlink" Target="https://materialdepot.com/pn-03221-42-pvc-louver-vol-5-collection-8-ft-x-5-inch-8-mm/product" TargetMode="External"/><Relationship Id="rId26" Type="http://schemas.openxmlformats.org/officeDocument/2006/relationships/hyperlink" Target="https://materialdepot.in/pn-02305-ms-108-bo-9-ft-2-inch-x-2-ft-plain-board-8-mm/product" TargetMode="External"/><Relationship Id="rId121" Type="http://schemas.openxmlformats.org/officeDocument/2006/relationships/hyperlink" Target="https://materialdepot.com/pn-05514-charcoal-louvers-9-5-ft-x-5-inch-11-mm-lo0yhcne/product" TargetMode="External"/><Relationship Id="rId25" Type="http://schemas.openxmlformats.org/officeDocument/2006/relationships/hyperlink" Target="https://materialdepot.in/pn-02313-surfex-ms-238-bo-english-oak-9-17-ft-x-2-ft-plain-board-8-mm/product" TargetMode="External"/><Relationship Id="rId120" Type="http://schemas.openxmlformats.org/officeDocument/2006/relationships/hyperlink" Target="https://materialdepot.in/pn-02322-surfex-mz-973-bo-grey-concrete-9-17-ft-x-2-ft-plain-board-8-mm/product" TargetMode="External"/><Relationship Id="rId28" Type="http://schemas.openxmlformats.org/officeDocument/2006/relationships/hyperlink" Target="https://drive.google.com/file/d/1jfzXAp3GgSPX9-kZuzWnyDHkxTjNpB2l/view?usp=sharing" TargetMode="External"/><Relationship Id="rId27" Type="http://schemas.openxmlformats.org/officeDocument/2006/relationships/hyperlink" Target="https://materialdepot.com/pn-02324-surfex-ms-5852-bo-armani-grey-9-17-ft-x-2-ft-plain-board-8-mm/product" TargetMode="External"/><Relationship Id="rId125" Type="http://schemas.openxmlformats.org/officeDocument/2006/relationships/hyperlink" Target="https://materialdepot.in/pn-02313-surfex-ms-238-bo-english-oak-9-17-ft-x-2-ft-plain-board-8-mm/product" TargetMode="External"/><Relationship Id="rId29" Type="http://schemas.openxmlformats.org/officeDocument/2006/relationships/hyperlink" Target="https://materialdepot.com/pn-02328-surfex-ms-2133-bo-checkered-brown-9-17-ft-x-2-ft-plain-board-8-mm/product" TargetMode="External"/><Relationship Id="rId124" Type="http://schemas.openxmlformats.org/officeDocument/2006/relationships/hyperlink" Target="https://materialdepot.in/pn-02322-surfex-mz-973-bo-grey-concrete-9-17-ft-x-2-ft-plain-board-8-mm/product" TargetMode="External"/><Relationship Id="rId123" Type="http://schemas.openxmlformats.org/officeDocument/2006/relationships/hyperlink" Target="https://materialdepot.in/pn-00545-raj-decor-charcoal-louvers-panels-8-ft-x-5-inch-8-mm-505-w-04/product" TargetMode="External"/><Relationship Id="rId122" Type="http://schemas.openxmlformats.org/officeDocument/2006/relationships/hyperlink" Target="https://materialdepot.in/pn-02308-surfex-ms-691-bo-crema-oak-9-17-ft-x-2-ft-plain-board-8-mm/product" TargetMode="External"/><Relationship Id="rId95" Type="http://schemas.openxmlformats.org/officeDocument/2006/relationships/hyperlink" Target="https://materialdepot.com/pn-04616-charcoal-brown-louver-8-ft-x-4-7-inch-12-mm-zgxeqsjq/product" TargetMode="External"/><Relationship Id="rId94" Type="http://schemas.openxmlformats.org/officeDocument/2006/relationships/hyperlink" Target="https://drive.google.com/file/d/1gxe9xUkHNY0sBfqETCh3NHRx86Cs7fxI/view?usp=sharing" TargetMode="External"/><Relationship Id="rId97" Type="http://schemas.openxmlformats.org/officeDocument/2006/relationships/hyperlink" Target="https://materialdepot.com/pn-05662-8-ft-x-5-inch-charcoal-panels-10-mm-q9z6nweh/product" TargetMode="External"/><Relationship Id="rId96" Type="http://schemas.openxmlformats.org/officeDocument/2006/relationships/hyperlink" Target="https://materialdepot.com/pn-03210-31-pvc-louver-vol-5-collection-8-ft-x-5-inch-8-mm/product" TargetMode="External"/><Relationship Id="rId11" Type="http://schemas.openxmlformats.org/officeDocument/2006/relationships/hyperlink" Target="https://materialdepot.in/pn-00545-raj-decor-charcoal-louvers-panels-8-ft-x-5-inch-8-mm-505-w-04/product" TargetMode="External"/><Relationship Id="rId99" Type="http://schemas.openxmlformats.org/officeDocument/2006/relationships/hyperlink" Target="https://materialdepot.com/pn-02328-surfex-ms-2133-bo-checkered-brown-9-17-ft-x-2-ft-plain-board-8-mm/product" TargetMode="External"/><Relationship Id="rId10" Type="http://schemas.openxmlformats.org/officeDocument/2006/relationships/hyperlink" Target="https://materialdepot.com/pn-03221-42-pvc-louver-vol-5-collection-8-ft-x-5-inch-8-mm/product" TargetMode="External"/><Relationship Id="rId98" Type="http://schemas.openxmlformats.org/officeDocument/2006/relationships/hyperlink" Target="https://materialdepot.in/pn-02307-surfex-ms-381-bo-blonde-walnut-9-17-ft-x-2-ft-plain-board-8-mm/product" TargetMode="External"/><Relationship Id="rId13" Type="http://schemas.openxmlformats.org/officeDocument/2006/relationships/hyperlink" Target="https://materialdepot.com/pn-03027-11-charcoal-louver-9-ft-x-5-inch-8-mm/product" TargetMode="External"/><Relationship Id="rId12" Type="http://schemas.openxmlformats.org/officeDocument/2006/relationships/hyperlink" Target="https://materialdepot.com/pn-05667-8-ft-x-5-inch-charcoal-panels-10-mm-fhs6ul5e/product" TargetMode="External"/><Relationship Id="rId91" Type="http://schemas.openxmlformats.org/officeDocument/2006/relationships/hyperlink" Target="https://materialdepot.in/pn-02326-surfex-ms-2131-bo-checkered-light-9-17-ft-x-2-ft-plain-board-8-mm/product" TargetMode="External"/><Relationship Id="rId90" Type="http://schemas.openxmlformats.org/officeDocument/2006/relationships/hyperlink" Target="https://materialdepot.com/pn-02328-surfex-ms-2133-bo-checkered-brown-9-17-ft-x-2-ft-plain-board-8-mm/product" TargetMode="External"/><Relationship Id="rId93" Type="http://schemas.openxmlformats.org/officeDocument/2006/relationships/hyperlink" Target="https://materialdepot.com/pn-04629-charcoal-brown-louver-8-ft-x-4-7-inch-12-mm-t0tsjvn6/product" TargetMode="External"/><Relationship Id="rId92" Type="http://schemas.openxmlformats.org/officeDocument/2006/relationships/hyperlink" Target="https://materialdepot.com/pn-05514-charcoal-louvers-9-5-ft-x-5-inch-11-mm-lo0yhcne/product" TargetMode="External"/><Relationship Id="rId118" Type="http://schemas.openxmlformats.org/officeDocument/2006/relationships/hyperlink" Target="https://materialdepot.in/pn-02321-surfex-mz-972-bo-swedish-concrete-9-17-ft-x-2-ft-plain-board-8-mm/product" TargetMode="External"/><Relationship Id="rId117" Type="http://schemas.openxmlformats.org/officeDocument/2006/relationships/hyperlink" Target="https://materialdepot.in/pn-02308-surfex-ms-691-bo-crema-oak-9-17-ft-x-2-ft-plain-board-8-mm/product" TargetMode="External"/><Relationship Id="rId116" Type="http://schemas.openxmlformats.org/officeDocument/2006/relationships/hyperlink" Target="https://materialdepot.in/pn-02313-surfex-ms-238-bo-english-oak-9-17-ft-x-2-ft-plain-board-8-mm/product" TargetMode="External"/><Relationship Id="rId115" Type="http://schemas.openxmlformats.org/officeDocument/2006/relationships/hyperlink" Target="https://materialdepot.in/pn-02313-surfex-ms-238-bo-english-oak-9-17-ft-x-2-ft-plain-board-8-mm/product" TargetMode="External"/><Relationship Id="rId119" Type="http://schemas.openxmlformats.org/officeDocument/2006/relationships/hyperlink" Target="https://materialdepot.in/pn-02322-surfex-mz-973-bo-grey-concrete-9-17-ft-x-2-ft-plain-board-8-mm/product" TargetMode="External"/><Relationship Id="rId15" Type="http://schemas.openxmlformats.org/officeDocument/2006/relationships/hyperlink" Target="https://materialdepot.com/pn-00155-ht-8-ft-x-5-inch-louver-panel-12-mm-28/product" TargetMode="External"/><Relationship Id="rId110" Type="http://schemas.openxmlformats.org/officeDocument/2006/relationships/hyperlink" Target="https://materialdepot.com/pn-05662-8-ft-x-5-inch-charcoal-panels-10-mm-q9z6nweh/product" TargetMode="External"/><Relationship Id="rId14" Type="http://schemas.openxmlformats.org/officeDocument/2006/relationships/hyperlink" Target="https://materialdepot.com/pn-00149-ht-8-ft-x-5-inch-louver-panel-12-mm-22/product" TargetMode="External"/><Relationship Id="rId17" Type="http://schemas.openxmlformats.org/officeDocument/2006/relationships/hyperlink" Target="https://materialdepot.com/pn-05667-8-ft-x-5-inch-charcoal-panels-10-mm-fhs6ul5e/product" TargetMode="External"/><Relationship Id="rId16" Type="http://schemas.openxmlformats.org/officeDocument/2006/relationships/hyperlink" Target="https://materialdepot.com/pn-00149-ht-8-ft-x-5-inch-louver-panel-12-mm-22/product" TargetMode="External"/><Relationship Id="rId19" Type="http://schemas.openxmlformats.org/officeDocument/2006/relationships/hyperlink" Target="https://drive.google.com/file/d/1UehbLFDmMuKQreO-7ag1OAJfCnhuulcP/view?usp=sharing" TargetMode="External"/><Relationship Id="rId114" Type="http://schemas.openxmlformats.org/officeDocument/2006/relationships/hyperlink" Target="https://materialdepot.in/pn-02322-surfex-mz-973-bo-grey-concrete-9-17-ft-x-2-ft-plain-board-8-mm/product" TargetMode="External"/><Relationship Id="rId18" Type="http://schemas.openxmlformats.org/officeDocument/2006/relationships/hyperlink" Target="https://materialdepot.com/pn-02347-cl-4219-wood-charcoal-louvers-panels-8-ft-x-5-9-inch-8-mm/product" TargetMode="External"/><Relationship Id="rId113" Type="http://schemas.openxmlformats.org/officeDocument/2006/relationships/hyperlink" Target="https://materialdepot.in/pn-02322-surfex-mz-973-bo-grey-concrete-9-17-ft-x-2-ft-plain-board-8-mm/product" TargetMode="External"/><Relationship Id="rId112" Type="http://schemas.openxmlformats.org/officeDocument/2006/relationships/hyperlink" Target="https://materialdepot.com/pn-02324-surfex-ms-5852-bo-armani-grey-9-17-ft-x-2-ft-plain-board-8-mm/product" TargetMode="External"/><Relationship Id="rId111" Type="http://schemas.openxmlformats.org/officeDocument/2006/relationships/hyperlink" Target="https://materialdepot.in/pn-02313-surfex-ms-238-bo-english-oak-9-17-ft-x-2-ft-plain-board-8-mm/product" TargetMode="External"/><Relationship Id="rId84" Type="http://schemas.openxmlformats.org/officeDocument/2006/relationships/hyperlink" Target="https://materialdepot.com/pn-00155-ht-8-ft-x-5-inch-louver-panel-12-mm-28/product" TargetMode="External"/><Relationship Id="rId83" Type="http://schemas.openxmlformats.org/officeDocument/2006/relationships/hyperlink" Target="http://google.com/url?q=https://materialdepot.in/pn-02327-surfex-ms-2132-bo-checkered-grey-9-17-ft-x-2-ft-plain-board-8-mm/product&amp;sa=D&amp;source=editors&amp;ust=1782110150100001&amp;usg=AOvVaw3Ex2UpujxINec8oorU88Lr" TargetMode="External"/><Relationship Id="rId86" Type="http://schemas.openxmlformats.org/officeDocument/2006/relationships/hyperlink" Target="https://materialdepot.com/pn-04598-wood-charcoal-louvers-6dy6fndg/product" TargetMode="External"/><Relationship Id="rId85" Type="http://schemas.openxmlformats.org/officeDocument/2006/relationships/hyperlink" Target="https://materialdepot.in/pn-03214-35-pvc-louver-vol-5-collection-8-ft-x-5-inch-8-mm/product" TargetMode="External"/><Relationship Id="rId88" Type="http://schemas.openxmlformats.org/officeDocument/2006/relationships/hyperlink" Target="https://materialdepot.in/pn-02307-surfex-ms-381-bo-blonde-walnut-9-17-ft-x-2-ft-plain-board-8-mm/product" TargetMode="External"/><Relationship Id="rId150" Type="http://schemas.openxmlformats.org/officeDocument/2006/relationships/hyperlink" Target="https://materialdepot.in/pn-02322-surfex-mz-973-bo-grey-concrete-9-17-ft-x-2-ft-plain-board-8-mm/product" TargetMode="External"/><Relationship Id="rId87" Type="http://schemas.openxmlformats.org/officeDocument/2006/relationships/hyperlink" Target="https://materialdepot.com/pn-06274-b-louvers-panels-9-ft-x-4-7-inch-12-mm/product" TargetMode="External"/><Relationship Id="rId89" Type="http://schemas.openxmlformats.org/officeDocument/2006/relationships/hyperlink" Target="https://materialdepot.in/pn-02313-surfex-ms-238-bo-english-oak-9-17-ft-x-2-ft-plain-board-8-mm/product" TargetMode="External"/><Relationship Id="rId80" Type="http://schemas.openxmlformats.org/officeDocument/2006/relationships/hyperlink" Target="https://materialdepot.in/pn-02304-ms-710-bo-9-ft-2-inch-x-2-ft-plain-board-8-mm/product" TargetMode="External"/><Relationship Id="rId82" Type="http://schemas.openxmlformats.org/officeDocument/2006/relationships/hyperlink" Target="https://materialdepot.in/pn-02313-b-surfex-ms-238-fl-english-oak-9-ft-x-0-5-ft-flute-board-8-mm/product" TargetMode="External"/><Relationship Id="rId81" Type="http://schemas.openxmlformats.org/officeDocument/2006/relationships/hyperlink" Target="https://materialdepot.in/pn-02313-surfex-ms-238-bo-english-oak-9-17-ft-x-2-ft-plain-board-8-mm/product" TargetMode="External"/><Relationship Id="rId1" Type="http://schemas.openxmlformats.org/officeDocument/2006/relationships/hyperlink" Target="https://materialdepot.com/pn-06167-charcoal-louvers-panels-9-5-ft-x-7-8-inch-12-mm/product" TargetMode="External"/><Relationship Id="rId2" Type="http://schemas.openxmlformats.org/officeDocument/2006/relationships/hyperlink" Target="https://materialdepot.com/pn-03221-42-pvc-louver-vol-5-collection-8-ft-x-5-inch-8-mm/product" TargetMode="External"/><Relationship Id="rId3" Type="http://schemas.openxmlformats.org/officeDocument/2006/relationships/hyperlink" Target="https://materialdepot.com/pn-06277-louvers-panels-8-ft-x-4-7-inch-12-mm/product" TargetMode="External"/><Relationship Id="rId149" Type="http://schemas.openxmlformats.org/officeDocument/2006/relationships/hyperlink" Target="https://materialdepot.in/pn-02308-b-surfex-ms-691-fl-crema-oak-9-ft-x-0-5-ft-flute-board-8-mm/product" TargetMode="External"/><Relationship Id="rId4" Type="http://schemas.openxmlformats.org/officeDocument/2006/relationships/hyperlink" Target="https://materialdepot.com/pn-03399-164-prive-xl-series-louvers-panels-9-5-ft-x-4-9-inch-11-mm/product" TargetMode="External"/><Relationship Id="rId148" Type="http://schemas.openxmlformats.org/officeDocument/2006/relationships/hyperlink" Target="https://materialdepot.in/pn-02325-surfex-ms-8047-bo-statuario-9-17-ft-x-2-ft-plain-board-8-mm/product" TargetMode="External"/><Relationship Id="rId9" Type="http://schemas.openxmlformats.org/officeDocument/2006/relationships/hyperlink" Target="https://materialdepot.com/pn-03889-fl-2007-charcoal-louvers-panels-9-5-ft-x-6-inch-10-mm/product" TargetMode="External"/><Relationship Id="rId143" Type="http://schemas.openxmlformats.org/officeDocument/2006/relationships/hyperlink" Target="https://materialdepot.com/pn-06167-charcoal-louvers-panels-9-5-ft-x-7-8-inch-12-mm/product" TargetMode="External"/><Relationship Id="rId142" Type="http://schemas.openxmlformats.org/officeDocument/2006/relationships/hyperlink" Target="https://materialdepot.in/pn-02312-surfex-ms-636-bo-boliver-brown-9-17-ft-x-2-ft-plain-board-8-mm/product" TargetMode="External"/><Relationship Id="rId141" Type="http://schemas.openxmlformats.org/officeDocument/2006/relationships/hyperlink" Target="https://materialdepot.in/pn-02308-b-surfex-ms-691-fl-crema-oak-9-ft-x-0-5-ft-flute-board-8-mm/product" TargetMode="External"/><Relationship Id="rId140" Type="http://schemas.openxmlformats.org/officeDocument/2006/relationships/hyperlink" Target="https://materialdepot.in/pn-02313-surfex-ms-238-bo-english-oak-9-17-ft-x-2-ft-plain-board-8-mm/product" TargetMode="External"/><Relationship Id="rId5" Type="http://schemas.openxmlformats.org/officeDocument/2006/relationships/hyperlink" Target="https://materialdepot.com/pn-06167-charcoal-louvers-panels-9-5-ft-x-7-8-inch-12-mm/product" TargetMode="External"/><Relationship Id="rId147" Type="http://schemas.openxmlformats.org/officeDocument/2006/relationships/hyperlink" Target="https://materialdepot.in/pn-02325-b-surfex-ms-8047-fl-statuario-9-ft-x-0-5-ft-flute-board-8-mm/product" TargetMode="External"/><Relationship Id="rId6" Type="http://schemas.openxmlformats.org/officeDocument/2006/relationships/hyperlink" Target="https://materialdepot.com/pn-02746-rg-5238-groove-pastel-series-charcoal-louvers-9-ft-x-115-mm-12-mm/product" TargetMode="External"/><Relationship Id="rId146" Type="http://schemas.openxmlformats.org/officeDocument/2006/relationships/hyperlink" Target="https://materialdepot.com/pn-02324-surfex-ms-5852-bo-armani-grey-9-17-ft-x-2-ft-plain-board-8-mm/product" TargetMode="External"/><Relationship Id="rId7" Type="http://schemas.openxmlformats.org/officeDocument/2006/relationships/hyperlink" Target="https://materialdepot.com/pn-03223-44-pvc-louver-vol-5-collection-8-ft-x-5-inch-8-mm/product" TargetMode="External"/><Relationship Id="rId145" Type="http://schemas.openxmlformats.org/officeDocument/2006/relationships/hyperlink" Target="https://materialdepot.com/pn-05484-charcoal-8-ft-x-5-inch-louver-panel-11-mm-71kr2sxp/product" TargetMode="External"/><Relationship Id="rId8" Type="http://schemas.openxmlformats.org/officeDocument/2006/relationships/hyperlink" Target="https://materialdepot.com/pn-05656-mn-9183-prive-xl-series-charcoal-decorativve-wall-louver-panel-9-5-ft-x-0-41-11-mm/product" TargetMode="External"/><Relationship Id="rId144" Type="http://schemas.openxmlformats.org/officeDocument/2006/relationships/hyperlink" Target="https://materialdepot.in/pn-02307-surfex-ms-381-bo-blonde-walnut-9-17-ft-x-2-ft-plain-board-8-mm/product" TargetMode="External"/><Relationship Id="rId73" Type="http://schemas.openxmlformats.org/officeDocument/2006/relationships/hyperlink" Target="https://materialdepot.com/pn-02347-cl-4219-wood-charcoal-louvers-panels-8-ft-x-5-9-inch-8-mm/product" TargetMode="External"/><Relationship Id="rId72" Type="http://schemas.openxmlformats.org/officeDocument/2006/relationships/hyperlink" Target="https://materialdepot.com/pn-02324-surfex-ms-5852-bo-armani-grey-9-17-ft-x-2-ft-plain-board-8-mm/product" TargetMode="External"/><Relationship Id="rId75" Type="http://schemas.openxmlformats.org/officeDocument/2006/relationships/hyperlink" Target="https://materialdepot.in/pn-02315-b-surfex-ml-3658-fl-crema-9-ft-x-0-5-ft-flute-board-8-mm/product" TargetMode="External"/><Relationship Id="rId74" Type="http://schemas.openxmlformats.org/officeDocument/2006/relationships/hyperlink" Target="https://materialdepot.in/pn-03851-fl-2012-charcoal-louvers-panels-9-5-ft-x-6-inch-10-mm/product" TargetMode="External"/><Relationship Id="rId77" Type="http://schemas.openxmlformats.org/officeDocument/2006/relationships/hyperlink" Target="https://materialdepot.in/pn-02325-b-surfex-ms-8047-fl-statuario-9-ft-x-0-5-ft-flute-board-8-mm/product" TargetMode="External"/><Relationship Id="rId76" Type="http://schemas.openxmlformats.org/officeDocument/2006/relationships/hyperlink" Target="https://materialdepot.in/pn-02314-surfex-ms-624-bo-austin-brown-oak-9-17-ft-x-2-ft-plain-board-8-mm/product" TargetMode="External"/><Relationship Id="rId79" Type="http://schemas.openxmlformats.org/officeDocument/2006/relationships/hyperlink" Target="https://materialdepot.in/pn-02313-b-surfex-ms-238-fl-english-oak-9-ft-x-0-5-ft-flute-board-8-mm/product" TargetMode="External"/><Relationship Id="rId78" Type="http://schemas.openxmlformats.org/officeDocument/2006/relationships/hyperlink" Target="https://materialdepot.in/pn-02313-surfex-ms-238-bo-english-oak-9-17-ft-x-2-ft-plain-board-8-mm/product" TargetMode="External"/><Relationship Id="rId71" Type="http://schemas.openxmlformats.org/officeDocument/2006/relationships/hyperlink" Target="https://materialdepot.com/pn-02347-cl-4219-wood-charcoal-louvers-panels-8-ft-x-5-9-inch-8-mm/product" TargetMode="External"/><Relationship Id="rId70" Type="http://schemas.openxmlformats.org/officeDocument/2006/relationships/hyperlink" Target="https://materialdepot.in/pn-02307-surfex-ms-381-bo-blonde-walnut-9-17-ft-x-2-ft-plain-board-8-mm/product" TargetMode="External"/><Relationship Id="rId139" Type="http://schemas.openxmlformats.org/officeDocument/2006/relationships/hyperlink" Target="https://materialdepot.in/pn-02313-surfex-ms-238-bo-english-oak-9-17-ft-x-2-ft-plain-board-8-mm/product" TargetMode="External"/><Relationship Id="rId138" Type="http://schemas.openxmlformats.org/officeDocument/2006/relationships/hyperlink" Target="https://materialdepot.com/pn-05662-8-ft-x-5-inch-charcoal-panels-10-mm-q9z6nweh/product" TargetMode="External"/><Relationship Id="rId137" Type="http://schemas.openxmlformats.org/officeDocument/2006/relationships/hyperlink" Target="https://materialdepot.com/pn-03210-31-pvc-louver-vol-5-collection-8-ft-x-5-inch-8-mm/product" TargetMode="External"/><Relationship Id="rId132" Type="http://schemas.openxmlformats.org/officeDocument/2006/relationships/hyperlink" Target="https://materialdepot.in/pn-02325-surfex-ms-8047-bo-statuario-9-17-ft-x-2-ft-plain-board-8-mm/product" TargetMode="External"/><Relationship Id="rId131" Type="http://schemas.openxmlformats.org/officeDocument/2006/relationships/hyperlink" Target="https://materialdepot.in/pn-02313-surfex-ms-238-bo-english-oak-9-17-ft-x-2-ft-plain-board-8-mm/product" TargetMode="External"/><Relationship Id="rId130" Type="http://schemas.openxmlformats.org/officeDocument/2006/relationships/hyperlink" Target="https://materialdepot.com/pn-06274-b-louvers-panels-9-ft-x-4-7-inch-12-mm/product" TargetMode="External"/><Relationship Id="rId136" Type="http://schemas.openxmlformats.org/officeDocument/2006/relationships/hyperlink" Target="https://materialdepot.com/pn-02328-surfex-ms-2133-bo-checkered-brown-9-17-ft-x-2-ft-plain-board-8-mm/product" TargetMode="External"/><Relationship Id="rId135" Type="http://schemas.openxmlformats.org/officeDocument/2006/relationships/hyperlink" Target="https://materialdepot.in/pn-02304-ms-710-bo-9-ft-2-inch-x-2-ft-plain-board-8-mm/product" TargetMode="External"/><Relationship Id="rId134" Type="http://schemas.openxmlformats.org/officeDocument/2006/relationships/hyperlink" Target="https://materialdepot.in/pn-02322-surfex-mz-973-bo-grey-concrete-9-17-ft-x-2-ft-plain-board-8-mm/product" TargetMode="External"/><Relationship Id="rId133" Type="http://schemas.openxmlformats.org/officeDocument/2006/relationships/hyperlink" Target="https://materialdepot.in/pn-02325-b-surfex-ms-8047-fl-statuario-9-ft-x-0-5-ft-flute-board-8-mm/product" TargetMode="External"/><Relationship Id="rId62" Type="http://schemas.openxmlformats.org/officeDocument/2006/relationships/hyperlink" Target="https://materialdepot.in/pn-02325-surfex-ms-8047-bo-statuario-9-17-ft-x-2-ft-plain-board-8-mm/product" TargetMode="External"/><Relationship Id="rId61" Type="http://schemas.openxmlformats.org/officeDocument/2006/relationships/hyperlink" Target="https://materialdepot.com/pn-02324-surfex-ms-5852-bo-armani-grey-9-17-ft-x-2-ft-plain-board-8-mm/product" TargetMode="External"/><Relationship Id="rId64" Type="http://schemas.openxmlformats.org/officeDocument/2006/relationships/hyperlink" Target="https://materialdepot.in/pn-03851-fl-2012-charcoal-louvers-panels-9-5-ft-x-6-inch-10-mm/product" TargetMode="External"/><Relationship Id="rId63" Type="http://schemas.openxmlformats.org/officeDocument/2006/relationships/hyperlink" Target="https://materialdepot.in/pn-03851-fl-2012-charcoal-louvers-panels-9-5-ft-x-6-inch-10-mm/product" TargetMode="External"/><Relationship Id="rId66" Type="http://schemas.openxmlformats.org/officeDocument/2006/relationships/hyperlink" Target="http://google.com/url?q=https://materialdepot.in/pn-02327-surfex-ms-2132-bo-checkered-grey-9-17-ft-x-2-ft-plain-board-8-mm/product&amp;sa=D&amp;source=editors&amp;ust=1782110150100001&amp;usg=AOvVaw3Ex2UpujxINec8oorU88Lr" TargetMode="External"/><Relationship Id="rId172" Type="http://schemas.openxmlformats.org/officeDocument/2006/relationships/hyperlink" Target="https://materialdepot.in/pn-02312-surfex-ms-636-bo-boliver-brown-9-17-ft-x-2-ft-plain-board-8-mm/product" TargetMode="External"/><Relationship Id="rId65" Type="http://schemas.openxmlformats.org/officeDocument/2006/relationships/hyperlink" Target="https://materialdepot.in/pn-00147-ht-8-ft-x-5-inch-louver-panel-12-mm-20/product" TargetMode="External"/><Relationship Id="rId171" Type="http://schemas.openxmlformats.org/officeDocument/2006/relationships/hyperlink" Target="https://materialdepot.in/pn-02308-surfex-ms-691-bo-crema-oak-9-17-ft-x-2-ft-plain-board-8-mm/product" TargetMode="External"/><Relationship Id="rId68" Type="http://schemas.openxmlformats.org/officeDocument/2006/relationships/hyperlink" Target="https://materialdepot.in/pn-02325-surfex-ms-8047-bo-statuario-9-17-ft-x-2-ft-plain-board-8-mm/product" TargetMode="External"/><Relationship Id="rId170" Type="http://schemas.openxmlformats.org/officeDocument/2006/relationships/hyperlink" Target="https://materialdepot.in/pn-02326-surfex-ms-2131-bo-checkered-light-9-17-ft-x-2-ft-plain-board-8-mm/product" TargetMode="External"/><Relationship Id="rId67" Type="http://schemas.openxmlformats.org/officeDocument/2006/relationships/hyperlink" Target="https://materialdepot.in/pn-05755-charcoal-louvers-panels-9-5-ft-x-7-8-inch-12-mm/product" TargetMode="External"/><Relationship Id="rId60" Type="http://schemas.openxmlformats.org/officeDocument/2006/relationships/hyperlink" Target="https://materialdepot.in/pn-02305-b-ms-108-fl-9-ft-2-inch-x-2-ft-fluted-board-8-mm/product" TargetMode="External"/><Relationship Id="rId165" Type="http://schemas.openxmlformats.org/officeDocument/2006/relationships/hyperlink" Target="https://materialdepot.in/pn-02325-surfex-ms-8047-bo-statuario-9-17-ft-x-2-ft-plain-board-8-mm/product" TargetMode="External"/><Relationship Id="rId69" Type="http://schemas.openxmlformats.org/officeDocument/2006/relationships/hyperlink" Target="https://materialdepot.in/pn-02343-cl-4215-marble-charcoal-louvers-panels-8-ft-x-5-9-inch-8-mm/product" TargetMode="External"/><Relationship Id="rId164" Type="http://schemas.openxmlformats.org/officeDocument/2006/relationships/hyperlink" Target="https://materialdepot.com/pn-05925-charcoal-louver-panelpanels-8-ft-x-6-inch-11-mm/product" TargetMode="External"/><Relationship Id="rId163" Type="http://schemas.openxmlformats.org/officeDocument/2006/relationships/hyperlink" Target="https://materialdepot.com/pn-02328-surfex-ms-2133-bo-checkered-brown-9-17-ft-x-2-ft-plain-board-8-mm/product" TargetMode="External"/><Relationship Id="rId162" Type="http://schemas.openxmlformats.org/officeDocument/2006/relationships/hyperlink" Target="https://materialdepot.com/pn-05593-8-ft-x-5-inch-charcoal-panels-12-mm-4womd3ul/product" TargetMode="External"/><Relationship Id="rId169" Type="http://schemas.openxmlformats.org/officeDocument/2006/relationships/hyperlink" Target="https://materialdepot.in/pn-02304-ms-710-bo-9-ft-2-inch-x-2-ft-plain-board-8-mm/product" TargetMode="External"/><Relationship Id="rId168" Type="http://schemas.openxmlformats.org/officeDocument/2006/relationships/hyperlink" Target="https://materialdepot.com/pn-02312-b-surfex-ms-636-fl-boliver-brown-9-ft-x-0-5-ft-flute-board-8-mm/product" TargetMode="External"/><Relationship Id="rId167" Type="http://schemas.openxmlformats.org/officeDocument/2006/relationships/hyperlink" Target="https://materialdepot.in/pn-02322-surfex-mz-973-bo-grey-concrete-9-17-ft-x-2-ft-plain-board-8-mm/product" TargetMode="External"/><Relationship Id="rId166" Type="http://schemas.openxmlformats.org/officeDocument/2006/relationships/hyperlink" Target="https://materialdepot.com/pn-02328-surfex-ms-2133-bo-checkered-brown-9-17-ft-x-2-ft-plain-board-8-mm/product" TargetMode="External"/><Relationship Id="rId51" Type="http://schemas.openxmlformats.org/officeDocument/2006/relationships/hyperlink" Target="https://materialdepot.in/pn-02314-surfex-ms-624-bo-austin-brown-oak-9-17-ft-x-2-ft-plain-board-8-mm/product" TargetMode="External"/><Relationship Id="rId50" Type="http://schemas.openxmlformats.org/officeDocument/2006/relationships/hyperlink" Target="https://materialdepot.in/pn-02307-surfex-ms-381-bo-blonde-walnut-9-17-ft-x-2-ft-plain-board-8-mm/product" TargetMode="External"/><Relationship Id="rId53" Type="http://schemas.openxmlformats.org/officeDocument/2006/relationships/hyperlink" Target="https://materialdepot.in/pn-02313-surfex-ms-238-bo-english-oak-9-17-ft-x-2-ft-plain-board-8-mm/product" TargetMode="External"/><Relationship Id="rId52" Type="http://schemas.openxmlformats.org/officeDocument/2006/relationships/hyperlink" Target="https://materialdepot.in/pn-02322-surfex-mz-973-bo-grey-concrete-9-17-ft-x-2-ft-plain-board-8-mm/product" TargetMode="External"/><Relationship Id="rId55" Type="http://schemas.openxmlformats.org/officeDocument/2006/relationships/hyperlink" Target="https://materialdepot.in/pn-02313-surfex-ms-238-bo-english-oak-9-17-ft-x-2-ft-plain-board-8-mm/product" TargetMode="External"/><Relationship Id="rId161" Type="http://schemas.openxmlformats.org/officeDocument/2006/relationships/hyperlink" Target="https://materialdepot.in/pn-02308-surfex-ms-691-bo-crema-oak-9-17-ft-x-2-ft-plain-board-8-mm/product" TargetMode="External"/><Relationship Id="rId54" Type="http://schemas.openxmlformats.org/officeDocument/2006/relationships/hyperlink" Target="https://materialdepot.in/pn-02305-ms-108-bo-9-ft-2-inch-x-2-ft-plain-board-8-mm/product" TargetMode="External"/><Relationship Id="rId160" Type="http://schemas.openxmlformats.org/officeDocument/2006/relationships/hyperlink" Target="https://materialdepot.in/pn-02305-ms-108-bo-9-ft-2-inch-x-2-ft-plain-board-8-mm/product" TargetMode="External"/><Relationship Id="rId57" Type="http://schemas.openxmlformats.org/officeDocument/2006/relationships/hyperlink" Target="https://materialdepot.in/pn-02304-ms-710-bo-9-ft-2-inch-x-2-ft-plain-board-8-mm/product" TargetMode="External"/><Relationship Id="rId56" Type="http://schemas.openxmlformats.org/officeDocument/2006/relationships/hyperlink" Target="https://materialdepot.in/pn-02305-ms-108-bo-9-ft-2-inch-x-2-ft-plain-board-8-mm/product" TargetMode="External"/><Relationship Id="rId159" Type="http://schemas.openxmlformats.org/officeDocument/2006/relationships/hyperlink" Target="https://materialdepot.com/pn-05514-charcoal-louvers-9-5-ft-x-5-inch-11-mm-lo0yhcne/product" TargetMode="External"/><Relationship Id="rId59" Type="http://schemas.openxmlformats.org/officeDocument/2006/relationships/hyperlink" Target="https://materialdepot.in/pn-02314-surfex-ms-624-bo-austin-brown-oak-9-17-ft-x-2-ft-plain-board-8-mm/product" TargetMode="External"/><Relationship Id="rId154" Type="http://schemas.openxmlformats.org/officeDocument/2006/relationships/hyperlink" Target="https://materialdepot.in/pn-02312-surfex-ms-636-bo-boliver-brown-9-17-ft-x-2-ft-plain-board-8-mm/product" TargetMode="External"/><Relationship Id="rId58" Type="http://schemas.openxmlformats.org/officeDocument/2006/relationships/hyperlink" Target="https://materialdepot.in/pn-02307-b-surfex-ms-381-fl-blonde-walnut-9-ft-x-0-5-ft-flute-board-8-mm/product" TargetMode="External"/><Relationship Id="rId153" Type="http://schemas.openxmlformats.org/officeDocument/2006/relationships/hyperlink" Target="https://materialdepot.in/pn-03856-fl-2016-charcoal-louvers-panels-9-5-ft-x-6-inch-10-mm/product" TargetMode="External"/><Relationship Id="rId152" Type="http://schemas.openxmlformats.org/officeDocument/2006/relationships/hyperlink" Target="https://materialdepot.in/pn-02314-surfex-ms-624-bo-austin-brown-oak-9-17-ft-x-2-ft-plain-board-8-mm/product" TargetMode="External"/><Relationship Id="rId151" Type="http://schemas.openxmlformats.org/officeDocument/2006/relationships/hyperlink" Target="https://materialdepot.com/pn-03221-42-pvc-louver-vol-5-collection-8-ft-x-5-inch-8-mm/product" TargetMode="External"/><Relationship Id="rId158" Type="http://schemas.openxmlformats.org/officeDocument/2006/relationships/hyperlink" Target="http://google.com/url?q=https://materialdepot.in/pn-02327-surfex-ms-2132-bo-checkered-grey-9-17-ft-x-2-ft-plain-board-8-mm/product&amp;sa=D&amp;source=editors&amp;ust=1782110150100001&amp;usg=AOvVaw3Ex2UpujxINec8oorU88Lr" TargetMode="External"/><Relationship Id="rId157" Type="http://schemas.openxmlformats.org/officeDocument/2006/relationships/hyperlink" Target="https://materialdepot.com/pn-02324-surfex-ms-5852-bo-armani-grey-9-17-ft-x-2-ft-plain-board-8-mm/product" TargetMode="External"/><Relationship Id="rId156" Type="http://schemas.openxmlformats.org/officeDocument/2006/relationships/hyperlink" Target="http://google.com/url?q=https://materialdepot.in/pn-02327-surfex-ms-2132-bo-checkered-grey-9-17-ft-x-2-ft-plain-board-8-mm/product&amp;sa=D&amp;source=editors&amp;ust=1782110150100001&amp;usg=AOvVaw3Ex2UpujxINec8oorU88Lr" TargetMode="External"/><Relationship Id="rId155" Type="http://schemas.openxmlformats.org/officeDocument/2006/relationships/hyperlink" Target="https://materialdepot.com/pn-04073-fl-1644-charcoal-louvers-panels-8-ft-x-5-inch-12-mm/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 t="s">
        <v>5</v>
      </c>
      <c r="C2" s="2" t="s">
        <v>5</v>
      </c>
      <c r="D2" s="1" t="s">
        <v>6</v>
      </c>
      <c r="E2" s="1" t="s">
        <v>6</v>
      </c>
    </row>
    <row r="3">
      <c r="A3" s="1">
        <v>2.0</v>
      </c>
      <c r="B3" s="2" t="s">
        <v>7</v>
      </c>
      <c r="C3" s="2" t="s">
        <v>7</v>
      </c>
      <c r="D3" s="1" t="s">
        <v>6</v>
      </c>
      <c r="E3" s="1" t="s">
        <v>6</v>
      </c>
    </row>
    <row r="4">
      <c r="A4" s="1">
        <v>3.0</v>
      </c>
      <c r="B4" s="2" t="s">
        <v>8</v>
      </c>
      <c r="C4" s="2" t="s">
        <v>8</v>
      </c>
      <c r="D4" s="1" t="s">
        <v>6</v>
      </c>
      <c r="E4" s="1" t="s">
        <v>6</v>
      </c>
    </row>
    <row r="5">
      <c r="A5" s="1">
        <v>4.0</v>
      </c>
      <c r="B5" s="2" t="s">
        <v>9</v>
      </c>
      <c r="C5" s="2" t="s">
        <v>9</v>
      </c>
      <c r="D5" s="1" t="s">
        <v>6</v>
      </c>
      <c r="E5" s="1" t="s">
        <v>6</v>
      </c>
    </row>
    <row r="6">
      <c r="A6" s="1">
        <v>5.0</v>
      </c>
      <c r="B6" s="2" t="s">
        <v>10</v>
      </c>
      <c r="C6" s="2" t="s">
        <v>10</v>
      </c>
      <c r="D6" s="1" t="s">
        <v>6</v>
      </c>
      <c r="E6" s="1" t="s">
        <v>6</v>
      </c>
    </row>
    <row r="7">
      <c r="A7" s="1">
        <v>6.0</v>
      </c>
      <c r="B7" s="2" t="s">
        <v>11</v>
      </c>
      <c r="C7" s="2" t="s">
        <v>11</v>
      </c>
      <c r="D7" s="1" t="s">
        <v>6</v>
      </c>
      <c r="E7" s="1" t="s">
        <v>6</v>
      </c>
    </row>
    <row r="8">
      <c r="A8" s="1">
        <v>7.0</v>
      </c>
      <c r="B8" s="2" t="s">
        <v>12</v>
      </c>
      <c r="C8" s="2" t="s">
        <v>12</v>
      </c>
      <c r="D8" s="1" t="s">
        <v>6</v>
      </c>
      <c r="E8" s="1" t="s">
        <v>6</v>
      </c>
    </row>
    <row r="9">
      <c r="A9" s="1">
        <v>8.0</v>
      </c>
      <c r="B9" s="2" t="s">
        <v>13</v>
      </c>
      <c r="C9" s="2" t="s">
        <v>13</v>
      </c>
      <c r="D9" s="1" t="s">
        <v>6</v>
      </c>
      <c r="E9" s="1" t="s">
        <v>6</v>
      </c>
    </row>
    <row r="10">
      <c r="A10" s="1">
        <v>9.0</v>
      </c>
      <c r="B10" s="2" t="s">
        <v>14</v>
      </c>
      <c r="C10" s="2" t="s">
        <v>14</v>
      </c>
      <c r="D10" s="1" t="s">
        <v>6</v>
      </c>
      <c r="E10" s="1" t="s">
        <v>6</v>
      </c>
    </row>
    <row r="11">
      <c r="A11" s="1">
        <v>10.0</v>
      </c>
      <c r="B11" s="2" t="s">
        <v>15</v>
      </c>
      <c r="C11" s="2" t="s">
        <v>15</v>
      </c>
      <c r="D11" s="1" t="s">
        <v>6</v>
      </c>
      <c r="E11" s="1" t="s">
        <v>6</v>
      </c>
    </row>
    <row r="12">
      <c r="A12" s="1">
        <v>11.0</v>
      </c>
      <c r="B12" s="2" t="s">
        <v>16</v>
      </c>
      <c r="C12" s="2" t="s">
        <v>16</v>
      </c>
      <c r="D12" s="1" t="s">
        <v>6</v>
      </c>
      <c r="E12" s="1" t="s">
        <v>6</v>
      </c>
    </row>
    <row r="13">
      <c r="A13" s="1">
        <v>12.0</v>
      </c>
      <c r="B13" s="2" t="s">
        <v>17</v>
      </c>
      <c r="C13" s="2" t="s">
        <v>17</v>
      </c>
      <c r="D13" s="1" t="s">
        <v>6</v>
      </c>
      <c r="E13" s="1" t="s">
        <v>6</v>
      </c>
    </row>
    <row r="14">
      <c r="A14" s="1">
        <v>13.0</v>
      </c>
      <c r="B14" s="2" t="s">
        <v>18</v>
      </c>
      <c r="C14" s="2" t="s">
        <v>18</v>
      </c>
      <c r="D14" s="1" t="s">
        <v>6</v>
      </c>
      <c r="E14" s="1" t="s">
        <v>6</v>
      </c>
    </row>
    <row r="15">
      <c r="A15" s="1">
        <v>14.0</v>
      </c>
      <c r="B15" s="2" t="s">
        <v>19</v>
      </c>
      <c r="C15" s="2" t="s">
        <v>19</v>
      </c>
      <c r="D15" s="1" t="s">
        <v>6</v>
      </c>
      <c r="E15" s="1" t="s">
        <v>6</v>
      </c>
    </row>
    <row r="16">
      <c r="A16" s="1">
        <v>15.0</v>
      </c>
      <c r="B16" s="2" t="s">
        <v>20</v>
      </c>
      <c r="C16" s="2" t="s">
        <v>20</v>
      </c>
      <c r="D16" s="1" t="s">
        <v>6</v>
      </c>
      <c r="E16" s="1" t="s">
        <v>6</v>
      </c>
    </row>
    <row r="17">
      <c r="A17" s="1">
        <v>16.0</v>
      </c>
      <c r="B17" s="2" t="s">
        <v>21</v>
      </c>
      <c r="C17" s="2" t="s">
        <v>21</v>
      </c>
      <c r="D17" s="1" t="s">
        <v>6</v>
      </c>
      <c r="E17" s="1" t="s">
        <v>6</v>
      </c>
    </row>
    <row r="18">
      <c r="A18" s="1">
        <v>17.0</v>
      </c>
      <c r="B18" s="2" t="s">
        <v>22</v>
      </c>
      <c r="C18" s="2" t="s">
        <v>22</v>
      </c>
      <c r="D18" s="1" t="s">
        <v>6</v>
      </c>
      <c r="E18" s="1" t="s">
        <v>6</v>
      </c>
    </row>
    <row r="19">
      <c r="A19" s="1">
        <v>18.0</v>
      </c>
      <c r="B19" s="2" t="s">
        <v>23</v>
      </c>
      <c r="C19" s="2" t="s">
        <v>23</v>
      </c>
      <c r="D19" s="1" t="s">
        <v>6</v>
      </c>
      <c r="E19" s="1" t="s">
        <v>6</v>
      </c>
    </row>
    <row r="20">
      <c r="A20" s="1">
        <v>19.0</v>
      </c>
      <c r="B20" s="2" t="s">
        <v>24</v>
      </c>
      <c r="C20" s="2" t="s">
        <v>24</v>
      </c>
      <c r="D20" s="1" t="s">
        <v>6</v>
      </c>
      <c r="E20" s="1" t="s">
        <v>6</v>
      </c>
    </row>
    <row r="21">
      <c r="A21" s="1">
        <v>20.0</v>
      </c>
      <c r="B21" s="2" t="s">
        <v>25</v>
      </c>
      <c r="C21" s="2" t="s">
        <v>25</v>
      </c>
      <c r="D21" s="1" t="s">
        <v>6</v>
      </c>
      <c r="E21" s="1" t="s">
        <v>6</v>
      </c>
    </row>
    <row r="22">
      <c r="A22" s="1">
        <v>21.0</v>
      </c>
      <c r="B22" s="2" t="s">
        <v>26</v>
      </c>
      <c r="C22" s="2" t="s">
        <v>26</v>
      </c>
      <c r="D22" s="1" t="s">
        <v>6</v>
      </c>
      <c r="E22" s="1" t="s">
        <v>6</v>
      </c>
    </row>
    <row r="23">
      <c r="A23" s="1">
        <v>22.0</v>
      </c>
      <c r="B23" s="2" t="s">
        <v>27</v>
      </c>
      <c r="C23" s="2" t="s">
        <v>27</v>
      </c>
      <c r="D23" s="1" t="s">
        <v>6</v>
      </c>
      <c r="E23" s="1" t="s">
        <v>6</v>
      </c>
    </row>
    <row r="24">
      <c r="A24" s="1">
        <v>23.0</v>
      </c>
      <c r="B24" s="2" t="s">
        <v>28</v>
      </c>
      <c r="C24" s="2" t="s">
        <v>28</v>
      </c>
      <c r="D24" s="1" t="s">
        <v>6</v>
      </c>
      <c r="E24" s="1" t="s">
        <v>6</v>
      </c>
    </row>
    <row r="25">
      <c r="A25" s="1">
        <v>24.0</v>
      </c>
      <c r="B25" s="2" t="s">
        <v>29</v>
      </c>
      <c r="C25" s="2" t="s">
        <v>29</v>
      </c>
      <c r="D25" s="1" t="s">
        <v>6</v>
      </c>
      <c r="E25" s="1" t="s">
        <v>6</v>
      </c>
    </row>
    <row r="26">
      <c r="A26" s="1">
        <v>25.0</v>
      </c>
      <c r="B26" s="2" t="s">
        <v>30</v>
      </c>
      <c r="C26" s="2" t="s">
        <v>30</v>
      </c>
      <c r="D26" s="1" t="s">
        <v>6</v>
      </c>
      <c r="E26" s="1" t="s">
        <v>6</v>
      </c>
    </row>
    <row r="27">
      <c r="A27" s="1">
        <v>26.0</v>
      </c>
      <c r="B27" s="2" t="s">
        <v>31</v>
      </c>
      <c r="C27" s="2" t="s">
        <v>31</v>
      </c>
      <c r="D27" s="1" t="s">
        <v>6</v>
      </c>
      <c r="E27" s="1" t="s">
        <v>6</v>
      </c>
    </row>
    <row r="28">
      <c r="A28" s="1">
        <v>27.0</v>
      </c>
      <c r="B28" s="2" t="s">
        <v>32</v>
      </c>
      <c r="C28" s="2" t="s">
        <v>32</v>
      </c>
      <c r="D28" s="1" t="s">
        <v>6</v>
      </c>
      <c r="E28" s="1" t="s">
        <v>6</v>
      </c>
    </row>
    <row r="29">
      <c r="A29" s="1">
        <v>28.0</v>
      </c>
      <c r="B29" s="2" t="s">
        <v>33</v>
      </c>
      <c r="C29" s="2" t="s">
        <v>33</v>
      </c>
      <c r="D29" s="1" t="s">
        <v>6</v>
      </c>
      <c r="E29" s="1" t="s">
        <v>6</v>
      </c>
    </row>
    <row r="30">
      <c r="A30" s="1">
        <v>29.0</v>
      </c>
      <c r="B30" s="2" t="s">
        <v>34</v>
      </c>
      <c r="C30" s="2" t="s">
        <v>34</v>
      </c>
      <c r="D30" s="1" t="s">
        <v>6</v>
      </c>
      <c r="E30" s="1" t="s">
        <v>6</v>
      </c>
    </row>
    <row r="31">
      <c r="A31" s="1">
        <v>30.0</v>
      </c>
      <c r="B31" s="2" t="s">
        <v>35</v>
      </c>
      <c r="C31" s="2" t="s">
        <v>35</v>
      </c>
      <c r="D31" s="1" t="s">
        <v>6</v>
      </c>
      <c r="E31" s="1" t="s">
        <v>6</v>
      </c>
    </row>
    <row r="32">
      <c r="A32" s="1">
        <v>31.0</v>
      </c>
      <c r="B32" s="2" t="s">
        <v>36</v>
      </c>
      <c r="C32" s="2" t="s">
        <v>36</v>
      </c>
      <c r="D32" s="1" t="s">
        <v>6</v>
      </c>
      <c r="E32" s="1" t="s">
        <v>6</v>
      </c>
    </row>
    <row r="33">
      <c r="A33" s="1">
        <v>32.0</v>
      </c>
      <c r="B33" s="2" t="s">
        <v>37</v>
      </c>
      <c r="C33" s="2" t="s">
        <v>37</v>
      </c>
      <c r="D33" s="1" t="s">
        <v>6</v>
      </c>
      <c r="E33" s="1" t="s">
        <v>6</v>
      </c>
    </row>
    <row r="34">
      <c r="A34" s="1">
        <v>33.0</v>
      </c>
      <c r="B34" s="2" t="s">
        <v>38</v>
      </c>
      <c r="C34" s="2" t="s">
        <v>38</v>
      </c>
      <c r="D34" s="1" t="s">
        <v>6</v>
      </c>
      <c r="E34" s="1" t="s">
        <v>6</v>
      </c>
    </row>
    <row r="35">
      <c r="A35" s="1">
        <v>34.0</v>
      </c>
      <c r="B35" s="2" t="s">
        <v>39</v>
      </c>
      <c r="C35" s="2" t="s">
        <v>39</v>
      </c>
      <c r="D35" s="1" t="s">
        <v>6</v>
      </c>
      <c r="E35" s="1" t="s">
        <v>6</v>
      </c>
    </row>
    <row r="36">
      <c r="A36" s="1">
        <v>35.0</v>
      </c>
      <c r="B36" s="2" t="s">
        <v>40</v>
      </c>
      <c r="C36" s="2" t="s">
        <v>40</v>
      </c>
      <c r="D36" s="1" t="s">
        <v>6</v>
      </c>
      <c r="E36" s="1" t="s">
        <v>6</v>
      </c>
    </row>
    <row r="37">
      <c r="A37" s="1">
        <v>36.0</v>
      </c>
      <c r="B37" s="2" t="s">
        <v>41</v>
      </c>
      <c r="C37" s="2" t="s">
        <v>41</v>
      </c>
      <c r="D37" s="1" t="s">
        <v>6</v>
      </c>
      <c r="E37" s="1" t="s">
        <v>6</v>
      </c>
    </row>
    <row r="38">
      <c r="A38" s="1">
        <v>37.0</v>
      </c>
      <c r="B38" s="2" t="s">
        <v>42</v>
      </c>
      <c r="C38" s="2" t="s">
        <v>42</v>
      </c>
      <c r="D38" s="1" t="s">
        <v>6</v>
      </c>
      <c r="E38" s="1" t="s">
        <v>6</v>
      </c>
    </row>
    <row r="39">
      <c r="A39" s="1">
        <v>38.0</v>
      </c>
      <c r="B39" s="2" t="s">
        <v>43</v>
      </c>
      <c r="C39" s="2" t="s">
        <v>43</v>
      </c>
      <c r="D39" s="1" t="s">
        <v>6</v>
      </c>
      <c r="E39" s="1" t="s">
        <v>6</v>
      </c>
    </row>
    <row r="40">
      <c r="A40" s="1">
        <v>39.0</v>
      </c>
      <c r="B40" s="2" t="s">
        <v>44</v>
      </c>
      <c r="C40" s="2" t="s">
        <v>44</v>
      </c>
      <c r="D40" s="1" t="s">
        <v>6</v>
      </c>
      <c r="E40" s="1" t="s">
        <v>6</v>
      </c>
    </row>
    <row r="41">
      <c r="A41" s="1">
        <v>40.0</v>
      </c>
      <c r="B41" s="2" t="s">
        <v>45</v>
      </c>
      <c r="C41" s="2" t="s">
        <v>45</v>
      </c>
      <c r="D41" s="1" t="s">
        <v>6</v>
      </c>
      <c r="E41" s="1" t="s">
        <v>6</v>
      </c>
    </row>
    <row r="42">
      <c r="A42" s="1">
        <v>41.0</v>
      </c>
      <c r="B42" s="2" t="s">
        <v>46</v>
      </c>
      <c r="C42" s="2" t="s">
        <v>46</v>
      </c>
      <c r="D42" s="1" t="s">
        <v>6</v>
      </c>
      <c r="E42" s="1" t="s">
        <v>6</v>
      </c>
    </row>
    <row r="43">
      <c r="A43" s="1">
        <v>42.0</v>
      </c>
      <c r="B43" s="2" t="s">
        <v>47</v>
      </c>
      <c r="C43" s="2" t="s">
        <v>47</v>
      </c>
      <c r="D43" s="1" t="s">
        <v>6</v>
      </c>
      <c r="E43" s="1" t="s">
        <v>6</v>
      </c>
    </row>
    <row r="44">
      <c r="A44" s="1">
        <v>43.0</v>
      </c>
      <c r="B44" s="2" t="s">
        <v>48</v>
      </c>
      <c r="C44" s="2" t="s">
        <v>48</v>
      </c>
      <c r="D44" s="1" t="s">
        <v>6</v>
      </c>
      <c r="E44" s="1" t="s">
        <v>6</v>
      </c>
    </row>
    <row r="45">
      <c r="A45" s="1">
        <v>44.0</v>
      </c>
      <c r="B45" s="2" t="s">
        <v>49</v>
      </c>
      <c r="C45" s="2" t="s">
        <v>49</v>
      </c>
      <c r="D45" s="1" t="s">
        <v>6</v>
      </c>
      <c r="E45" s="1" t="s">
        <v>6</v>
      </c>
    </row>
    <row r="46">
      <c r="A46" s="1">
        <v>45.0</v>
      </c>
      <c r="B46" s="2" t="s">
        <v>50</v>
      </c>
      <c r="C46" s="2" t="s">
        <v>50</v>
      </c>
      <c r="D46" s="1" t="s">
        <v>6</v>
      </c>
      <c r="E46" s="1" t="s">
        <v>6</v>
      </c>
    </row>
    <row r="47">
      <c r="A47" s="1">
        <v>46.0</v>
      </c>
      <c r="B47" s="2" t="s">
        <v>51</v>
      </c>
      <c r="C47" s="2" t="s">
        <v>51</v>
      </c>
      <c r="D47" s="1" t="s">
        <v>6</v>
      </c>
      <c r="E47" s="1" t="s">
        <v>6</v>
      </c>
    </row>
    <row r="48">
      <c r="A48" s="1">
        <v>47.0</v>
      </c>
      <c r="B48" s="2" t="s">
        <v>52</v>
      </c>
      <c r="C48" s="2" t="s">
        <v>52</v>
      </c>
      <c r="D48" s="1" t="s">
        <v>6</v>
      </c>
      <c r="E48" s="1" t="s">
        <v>6</v>
      </c>
    </row>
    <row r="49">
      <c r="A49" s="1">
        <v>48.0</v>
      </c>
      <c r="B49" s="2" t="s">
        <v>53</v>
      </c>
      <c r="C49" s="2" t="s">
        <v>53</v>
      </c>
      <c r="D49" s="1" t="s">
        <v>6</v>
      </c>
      <c r="E49" s="1" t="s">
        <v>6</v>
      </c>
    </row>
    <row r="50">
      <c r="A50" s="1">
        <v>49.0</v>
      </c>
      <c r="B50" s="2" t="s">
        <v>54</v>
      </c>
      <c r="C50" s="2" t="s">
        <v>54</v>
      </c>
      <c r="D50" s="1" t="s">
        <v>6</v>
      </c>
      <c r="E50" s="1" t="s">
        <v>6</v>
      </c>
    </row>
    <row r="51">
      <c r="A51" s="1">
        <v>50.0</v>
      </c>
      <c r="B51" s="2" t="s">
        <v>55</v>
      </c>
      <c r="C51" s="2" t="s">
        <v>55</v>
      </c>
      <c r="D51" s="1" t="s">
        <v>6</v>
      </c>
      <c r="E51" s="1" t="s">
        <v>6</v>
      </c>
    </row>
    <row r="52">
      <c r="A52" s="1">
        <v>51.0</v>
      </c>
      <c r="B52" s="2" t="s">
        <v>56</v>
      </c>
      <c r="C52" s="2" t="s">
        <v>56</v>
      </c>
      <c r="D52" s="1" t="s">
        <v>6</v>
      </c>
      <c r="E52" s="1" t="s">
        <v>6</v>
      </c>
    </row>
    <row r="53">
      <c r="A53" s="1">
        <v>52.0</v>
      </c>
      <c r="B53" s="2" t="s">
        <v>57</v>
      </c>
      <c r="C53" s="2" t="s">
        <v>57</v>
      </c>
      <c r="D53" s="1" t="s">
        <v>6</v>
      </c>
      <c r="E53" s="1" t="s">
        <v>6</v>
      </c>
    </row>
    <row r="54">
      <c r="A54" s="1">
        <v>53.0</v>
      </c>
      <c r="B54" s="2" t="s">
        <v>58</v>
      </c>
      <c r="C54" s="2" t="s">
        <v>58</v>
      </c>
      <c r="D54" s="1" t="s">
        <v>6</v>
      </c>
      <c r="E54" s="1" t="s">
        <v>6</v>
      </c>
    </row>
    <row r="55">
      <c r="A55" s="1">
        <v>54.0</v>
      </c>
      <c r="B55" s="2" t="s">
        <v>59</v>
      </c>
      <c r="C55" s="2" t="s">
        <v>59</v>
      </c>
      <c r="D55" s="1" t="s">
        <v>6</v>
      </c>
      <c r="E55" s="1" t="s">
        <v>6</v>
      </c>
    </row>
    <row r="56">
      <c r="A56" s="1">
        <v>55.0</v>
      </c>
      <c r="B56" s="2" t="s">
        <v>60</v>
      </c>
      <c r="C56" s="2" t="s">
        <v>60</v>
      </c>
      <c r="D56" s="1" t="s">
        <v>6</v>
      </c>
      <c r="E56" s="1" t="s">
        <v>6</v>
      </c>
    </row>
    <row r="57">
      <c r="A57" s="1">
        <v>56.0</v>
      </c>
      <c r="B57" s="2" t="s">
        <v>61</v>
      </c>
      <c r="C57" s="2" t="s">
        <v>61</v>
      </c>
      <c r="D57" s="1" t="s">
        <v>6</v>
      </c>
      <c r="E57" s="1" t="s">
        <v>6</v>
      </c>
    </row>
    <row r="58">
      <c r="A58" s="1">
        <v>57.0</v>
      </c>
      <c r="B58" s="2" t="s">
        <v>62</v>
      </c>
      <c r="C58" s="2" t="s">
        <v>62</v>
      </c>
      <c r="D58" s="1" t="s">
        <v>6</v>
      </c>
      <c r="E58" s="1" t="s">
        <v>6</v>
      </c>
    </row>
    <row r="59">
      <c r="A59" s="1">
        <v>58.0</v>
      </c>
      <c r="B59" s="2" t="s">
        <v>63</v>
      </c>
      <c r="C59" s="2" t="s">
        <v>63</v>
      </c>
      <c r="D59" s="1" t="s">
        <v>6</v>
      </c>
      <c r="E59" s="1" t="s">
        <v>6</v>
      </c>
    </row>
    <row r="60">
      <c r="A60" s="1">
        <v>59.0</v>
      </c>
      <c r="B60" s="2" t="s">
        <v>64</v>
      </c>
      <c r="C60" s="2" t="s">
        <v>64</v>
      </c>
      <c r="D60" s="1" t="s">
        <v>6</v>
      </c>
      <c r="E60" s="1" t="s">
        <v>6</v>
      </c>
    </row>
    <row r="61">
      <c r="A61" s="1">
        <v>60.0</v>
      </c>
      <c r="B61" s="2" t="s">
        <v>65</v>
      </c>
      <c r="C61" s="2" t="s">
        <v>65</v>
      </c>
      <c r="D61" s="1" t="s">
        <v>6</v>
      </c>
      <c r="E61" s="1" t="s">
        <v>6</v>
      </c>
    </row>
    <row r="62">
      <c r="A62" s="1">
        <v>61.0</v>
      </c>
      <c r="B62" s="2" t="s">
        <v>66</v>
      </c>
      <c r="C62" s="2" t="s">
        <v>66</v>
      </c>
      <c r="D62" s="1" t="s">
        <v>6</v>
      </c>
      <c r="E62" s="1" t="s">
        <v>6</v>
      </c>
    </row>
    <row r="63">
      <c r="A63" s="1">
        <v>62.0</v>
      </c>
      <c r="B63" s="2" t="s">
        <v>67</v>
      </c>
      <c r="C63" s="2" t="s">
        <v>67</v>
      </c>
      <c r="D63" s="1" t="s">
        <v>6</v>
      </c>
      <c r="E63" s="1" t="s">
        <v>6</v>
      </c>
    </row>
    <row r="64">
      <c r="A64" s="1">
        <v>63.0</v>
      </c>
      <c r="B64" s="2" t="s">
        <v>68</v>
      </c>
      <c r="C64" s="2" t="s">
        <v>68</v>
      </c>
      <c r="D64" s="1" t="s">
        <v>6</v>
      </c>
      <c r="E64" s="1" t="s">
        <v>6</v>
      </c>
    </row>
    <row r="65">
      <c r="A65" s="1">
        <v>64.0</v>
      </c>
      <c r="B65" s="2" t="s">
        <v>69</v>
      </c>
      <c r="C65" s="2" t="s">
        <v>69</v>
      </c>
      <c r="D65" s="1" t="s">
        <v>6</v>
      </c>
      <c r="E65" s="1" t="s">
        <v>6</v>
      </c>
    </row>
    <row r="66">
      <c r="A66" s="1">
        <v>65.0</v>
      </c>
      <c r="B66" s="2" t="s">
        <v>70</v>
      </c>
      <c r="C66" s="2" t="s">
        <v>70</v>
      </c>
      <c r="D66" s="1" t="s">
        <v>6</v>
      </c>
      <c r="E66" s="1" t="s">
        <v>6</v>
      </c>
    </row>
    <row r="67">
      <c r="A67" s="1">
        <v>66.0</v>
      </c>
      <c r="B67" s="2" t="s">
        <v>71</v>
      </c>
      <c r="C67" s="2" t="s">
        <v>71</v>
      </c>
      <c r="D67" s="1" t="s">
        <v>6</v>
      </c>
      <c r="E67" s="1" t="s">
        <v>6</v>
      </c>
    </row>
    <row r="68">
      <c r="A68" s="1">
        <v>67.0</v>
      </c>
      <c r="B68" s="2" t="s">
        <v>72</v>
      </c>
      <c r="C68" s="2" t="s">
        <v>72</v>
      </c>
      <c r="D68" s="1" t="s">
        <v>6</v>
      </c>
      <c r="E68" s="1" t="s">
        <v>6</v>
      </c>
    </row>
    <row r="69">
      <c r="A69" s="1">
        <v>68.0</v>
      </c>
      <c r="B69" s="2" t="s">
        <v>73</v>
      </c>
      <c r="C69" s="2" t="s">
        <v>73</v>
      </c>
      <c r="D69" s="1" t="s">
        <v>6</v>
      </c>
      <c r="E69" s="1" t="s">
        <v>6</v>
      </c>
    </row>
    <row r="70">
      <c r="A70" s="1">
        <v>69.0</v>
      </c>
      <c r="B70" s="2" t="s">
        <v>74</v>
      </c>
      <c r="C70" s="2" t="s">
        <v>74</v>
      </c>
      <c r="D70" s="1" t="s">
        <v>6</v>
      </c>
      <c r="E70" s="1" t="s">
        <v>6</v>
      </c>
    </row>
    <row r="71">
      <c r="A71" s="1">
        <v>70.0</v>
      </c>
      <c r="B71" s="2" t="s">
        <v>75</v>
      </c>
      <c r="C71" s="2" t="s">
        <v>75</v>
      </c>
      <c r="D71" s="1" t="s">
        <v>6</v>
      </c>
      <c r="E71" s="1" t="s">
        <v>6</v>
      </c>
    </row>
    <row r="72">
      <c r="A72" s="1">
        <v>71.0</v>
      </c>
      <c r="B72" s="2" t="s">
        <v>76</v>
      </c>
      <c r="C72" s="2" t="s">
        <v>76</v>
      </c>
      <c r="D72" s="1" t="s">
        <v>6</v>
      </c>
      <c r="E72" s="1" t="s">
        <v>6</v>
      </c>
    </row>
    <row r="73">
      <c r="A73" s="1">
        <v>72.0</v>
      </c>
      <c r="B73" s="2" t="s">
        <v>77</v>
      </c>
      <c r="C73" s="2" t="s">
        <v>77</v>
      </c>
      <c r="D73" s="1" t="s">
        <v>6</v>
      </c>
      <c r="E73" s="1" t="s">
        <v>6</v>
      </c>
    </row>
    <row r="74">
      <c r="A74" s="1">
        <v>73.0</v>
      </c>
      <c r="B74" s="2" t="s">
        <v>78</v>
      </c>
      <c r="C74" s="2" t="s">
        <v>78</v>
      </c>
      <c r="D74" s="1" t="s">
        <v>6</v>
      </c>
      <c r="E74" s="1" t="s">
        <v>6</v>
      </c>
    </row>
    <row r="75">
      <c r="A75" s="1">
        <v>74.0</v>
      </c>
      <c r="B75" s="2" t="s">
        <v>79</v>
      </c>
      <c r="C75" s="2" t="s">
        <v>79</v>
      </c>
      <c r="D75" s="1" t="s">
        <v>6</v>
      </c>
      <c r="E75" s="1" t="s">
        <v>6</v>
      </c>
    </row>
    <row r="76">
      <c r="A76" s="1">
        <v>75.0</v>
      </c>
      <c r="B76" s="2" t="s">
        <v>80</v>
      </c>
      <c r="C76" s="2" t="s">
        <v>80</v>
      </c>
      <c r="D76" s="1" t="s">
        <v>6</v>
      </c>
      <c r="E76" s="1" t="s">
        <v>6</v>
      </c>
    </row>
    <row r="77">
      <c r="A77" s="1">
        <v>76.0</v>
      </c>
      <c r="B77" s="2" t="s">
        <v>81</v>
      </c>
      <c r="C77" s="2" t="s">
        <v>81</v>
      </c>
      <c r="D77" s="1" t="s">
        <v>6</v>
      </c>
      <c r="E77" s="1" t="s">
        <v>6</v>
      </c>
    </row>
    <row r="78">
      <c r="A78" s="1">
        <v>77.0</v>
      </c>
      <c r="B78" s="2" t="s">
        <v>82</v>
      </c>
      <c r="C78" s="2" t="s">
        <v>82</v>
      </c>
      <c r="D78" s="1" t="s">
        <v>6</v>
      </c>
      <c r="E78" s="1" t="s">
        <v>6</v>
      </c>
    </row>
    <row r="79">
      <c r="A79" s="1">
        <v>78.0</v>
      </c>
      <c r="B79" s="2" t="s">
        <v>83</v>
      </c>
      <c r="C79" s="2" t="s">
        <v>83</v>
      </c>
      <c r="D79" s="1" t="s">
        <v>6</v>
      </c>
      <c r="E79" s="1" t="s">
        <v>6</v>
      </c>
    </row>
    <row r="80">
      <c r="A80" s="1">
        <v>79.0</v>
      </c>
      <c r="B80" s="2" t="s">
        <v>84</v>
      </c>
      <c r="C80" s="2" t="s">
        <v>84</v>
      </c>
      <c r="D80" s="1" t="s">
        <v>6</v>
      </c>
      <c r="E80" s="1" t="s">
        <v>6</v>
      </c>
    </row>
    <row r="81">
      <c r="A81" s="1">
        <v>80.0</v>
      </c>
      <c r="B81" s="2" t="s">
        <v>85</v>
      </c>
      <c r="C81" s="2" t="s">
        <v>85</v>
      </c>
      <c r="D81" s="1" t="s">
        <v>6</v>
      </c>
      <c r="E81" s="1" t="s">
        <v>6</v>
      </c>
    </row>
    <row r="82">
      <c r="A82" s="1">
        <v>81.0</v>
      </c>
      <c r="B82" s="2" t="s">
        <v>86</v>
      </c>
      <c r="C82" s="2" t="s">
        <v>86</v>
      </c>
      <c r="D82" s="1" t="s">
        <v>6</v>
      </c>
      <c r="E82" s="1" t="s">
        <v>6</v>
      </c>
    </row>
    <row r="83">
      <c r="A83" s="1">
        <v>82.0</v>
      </c>
      <c r="B83" s="2" t="s">
        <v>87</v>
      </c>
      <c r="C83" s="2" t="s">
        <v>87</v>
      </c>
      <c r="D83" s="1" t="s">
        <v>6</v>
      </c>
      <c r="E83" s="1" t="s">
        <v>6</v>
      </c>
    </row>
    <row r="84">
      <c r="A84" s="1">
        <v>83.0</v>
      </c>
      <c r="B84" s="2" t="s">
        <v>88</v>
      </c>
      <c r="C84" s="2" t="s">
        <v>88</v>
      </c>
      <c r="D84" s="1" t="s">
        <v>6</v>
      </c>
      <c r="E84" s="1" t="s">
        <v>6</v>
      </c>
    </row>
    <row r="85">
      <c r="A85" s="1">
        <v>84.0</v>
      </c>
      <c r="B85" s="2" t="s">
        <v>89</v>
      </c>
      <c r="C85" s="2" t="s">
        <v>89</v>
      </c>
      <c r="D85" s="1" t="s">
        <v>6</v>
      </c>
      <c r="E85" s="1" t="s">
        <v>6</v>
      </c>
    </row>
    <row r="86">
      <c r="A86" s="1">
        <v>85.0</v>
      </c>
      <c r="B86" s="2" t="s">
        <v>90</v>
      </c>
      <c r="C86" s="2" t="s">
        <v>90</v>
      </c>
      <c r="D86" s="1" t="s">
        <v>6</v>
      </c>
      <c r="E86" s="1" t="s">
        <v>6</v>
      </c>
    </row>
    <row r="87">
      <c r="A87" s="1">
        <v>86.0</v>
      </c>
      <c r="B87" s="2" t="s">
        <v>91</v>
      </c>
      <c r="C87" s="2" t="s">
        <v>91</v>
      </c>
      <c r="D87" s="1" t="s">
        <v>6</v>
      </c>
      <c r="E87" s="1" t="s">
        <v>6</v>
      </c>
    </row>
    <row r="88">
      <c r="A88" s="1">
        <v>87.0</v>
      </c>
      <c r="B88" s="2" t="s">
        <v>92</v>
      </c>
      <c r="C88" s="2" t="s">
        <v>92</v>
      </c>
      <c r="D88" s="1" t="s">
        <v>6</v>
      </c>
      <c r="E88" s="1" t="s">
        <v>6</v>
      </c>
    </row>
    <row r="89">
      <c r="A89" s="1">
        <v>88.0</v>
      </c>
      <c r="B89" s="2" t="s">
        <v>93</v>
      </c>
      <c r="C89" s="2" t="s">
        <v>93</v>
      </c>
      <c r="D89" s="1" t="s">
        <v>6</v>
      </c>
      <c r="E89" s="1" t="s">
        <v>6</v>
      </c>
    </row>
    <row r="90">
      <c r="A90" s="1">
        <v>89.0</v>
      </c>
      <c r="B90" s="2" t="s">
        <v>94</v>
      </c>
      <c r="C90" s="2" t="s">
        <v>94</v>
      </c>
      <c r="D90" s="1" t="s">
        <v>6</v>
      </c>
      <c r="E90" s="1" t="s">
        <v>6</v>
      </c>
    </row>
    <row r="91">
      <c r="A91" s="1">
        <v>90.0</v>
      </c>
      <c r="B91" s="2" t="s">
        <v>95</v>
      </c>
      <c r="C91" s="2" t="s">
        <v>95</v>
      </c>
      <c r="D91" s="1" t="s">
        <v>6</v>
      </c>
      <c r="E91" s="1" t="s">
        <v>6</v>
      </c>
    </row>
    <row r="92">
      <c r="A92" s="1">
        <v>91.0</v>
      </c>
      <c r="B92" s="2" t="s">
        <v>96</v>
      </c>
      <c r="C92" s="2" t="s">
        <v>96</v>
      </c>
      <c r="D92" s="1" t="s">
        <v>6</v>
      </c>
      <c r="E92" s="1" t="s">
        <v>6</v>
      </c>
    </row>
    <row r="93">
      <c r="A93" s="1">
        <v>92.0</v>
      </c>
      <c r="B93" s="2" t="s">
        <v>97</v>
      </c>
      <c r="C93" s="2" t="s">
        <v>97</v>
      </c>
      <c r="D93" s="1" t="s">
        <v>6</v>
      </c>
      <c r="E93" s="1" t="s">
        <v>6</v>
      </c>
    </row>
    <row r="94">
      <c r="A94" s="1">
        <v>93.0</v>
      </c>
      <c r="B94" s="2" t="s">
        <v>98</v>
      </c>
      <c r="C94" s="2" t="s">
        <v>98</v>
      </c>
      <c r="D94" s="1" t="s">
        <v>6</v>
      </c>
      <c r="E94" s="1" t="s">
        <v>6</v>
      </c>
    </row>
    <row r="95">
      <c r="A95" s="1">
        <v>94.0</v>
      </c>
      <c r="B95" s="2" t="s">
        <v>99</v>
      </c>
      <c r="C95" s="2" t="s">
        <v>99</v>
      </c>
      <c r="D95" s="1" t="s">
        <v>6</v>
      </c>
      <c r="E95" s="1" t="s">
        <v>6</v>
      </c>
    </row>
    <row r="96">
      <c r="A96" s="1">
        <v>95.0</v>
      </c>
      <c r="B96" s="2" t="s">
        <v>100</v>
      </c>
      <c r="C96" s="2" t="s">
        <v>100</v>
      </c>
      <c r="D96" s="1" t="s">
        <v>6</v>
      </c>
      <c r="E96" s="1" t="s">
        <v>6</v>
      </c>
    </row>
    <row r="97">
      <c r="A97" s="1">
        <v>96.0</v>
      </c>
      <c r="B97" s="2" t="s">
        <v>101</v>
      </c>
      <c r="C97" s="2" t="s">
        <v>101</v>
      </c>
      <c r="D97" s="1" t="s">
        <v>6</v>
      </c>
      <c r="E97" s="1" t="s">
        <v>6</v>
      </c>
    </row>
    <row r="98">
      <c r="A98" s="1">
        <v>97.0</v>
      </c>
      <c r="B98" s="2" t="s">
        <v>102</v>
      </c>
      <c r="C98" s="2" t="s">
        <v>102</v>
      </c>
      <c r="D98" s="1" t="s">
        <v>6</v>
      </c>
      <c r="E98" s="1" t="s">
        <v>6</v>
      </c>
    </row>
    <row r="99">
      <c r="A99" s="1">
        <v>98.0</v>
      </c>
      <c r="B99" s="2" t="s">
        <v>103</v>
      </c>
      <c r="C99" s="2" t="s">
        <v>103</v>
      </c>
      <c r="D99" s="1" t="s">
        <v>6</v>
      </c>
      <c r="E99" s="1" t="s">
        <v>6</v>
      </c>
    </row>
    <row r="100">
      <c r="A100" s="1">
        <v>99.0</v>
      </c>
      <c r="B100" s="2" t="s">
        <v>104</v>
      </c>
      <c r="C100" s="2" t="s">
        <v>104</v>
      </c>
      <c r="D100" s="1" t="s">
        <v>6</v>
      </c>
      <c r="E100" s="1" t="s">
        <v>6</v>
      </c>
    </row>
    <row r="101">
      <c r="A101" s="1">
        <v>100.0</v>
      </c>
      <c r="B101" s="2" t="s">
        <v>105</v>
      </c>
      <c r="C101" s="2" t="s">
        <v>105</v>
      </c>
      <c r="D101" s="1" t="s">
        <v>6</v>
      </c>
      <c r="E101" s="1" t="s">
        <v>6</v>
      </c>
    </row>
    <row r="102">
      <c r="A102" s="1">
        <v>101.0</v>
      </c>
      <c r="B102" s="2" t="s">
        <v>106</v>
      </c>
      <c r="C102" s="2" t="s">
        <v>106</v>
      </c>
      <c r="D102" s="1" t="s">
        <v>6</v>
      </c>
      <c r="E102" s="1" t="s">
        <v>6</v>
      </c>
    </row>
    <row r="103">
      <c r="A103" s="1">
        <v>102.0</v>
      </c>
      <c r="B103" s="2" t="s">
        <v>107</v>
      </c>
      <c r="C103" s="2" t="s">
        <v>107</v>
      </c>
      <c r="D103" s="1" t="s">
        <v>6</v>
      </c>
      <c r="E103" s="1" t="s">
        <v>6</v>
      </c>
    </row>
    <row r="104">
      <c r="A104" s="1">
        <v>103.0</v>
      </c>
      <c r="B104" s="2" t="s">
        <v>108</v>
      </c>
      <c r="C104" s="2" t="s">
        <v>108</v>
      </c>
      <c r="D104" s="1" t="s">
        <v>6</v>
      </c>
      <c r="E104" s="1" t="s">
        <v>6</v>
      </c>
    </row>
    <row r="105">
      <c r="A105" s="1">
        <v>104.0</v>
      </c>
      <c r="B105" s="2" t="s">
        <v>109</v>
      </c>
      <c r="C105" s="2" t="s">
        <v>109</v>
      </c>
      <c r="D105" s="1" t="s">
        <v>6</v>
      </c>
      <c r="E105" s="1" t="s">
        <v>6</v>
      </c>
    </row>
    <row r="106">
      <c r="A106" s="1">
        <v>105.0</v>
      </c>
      <c r="B106" s="2" t="s">
        <v>110</v>
      </c>
      <c r="C106" s="2" t="s">
        <v>110</v>
      </c>
      <c r="D106" s="1" t="s">
        <v>6</v>
      </c>
      <c r="E106" s="1" t="s">
        <v>6</v>
      </c>
    </row>
    <row r="107">
      <c r="A107" s="1">
        <v>106.0</v>
      </c>
      <c r="B107" s="2" t="s">
        <v>111</v>
      </c>
      <c r="C107" s="2" t="s">
        <v>111</v>
      </c>
      <c r="D107" s="1" t="s">
        <v>6</v>
      </c>
      <c r="E107" s="1" t="s">
        <v>6</v>
      </c>
    </row>
    <row r="108">
      <c r="A108" s="1">
        <v>107.0</v>
      </c>
      <c r="B108" s="2" t="s">
        <v>112</v>
      </c>
      <c r="C108" s="2" t="s">
        <v>112</v>
      </c>
      <c r="D108" s="1" t="s">
        <v>6</v>
      </c>
      <c r="E108" s="1" t="s">
        <v>6</v>
      </c>
    </row>
    <row r="109">
      <c r="A109" s="1">
        <v>108.0</v>
      </c>
      <c r="B109" s="2" t="s">
        <v>113</v>
      </c>
      <c r="C109" s="2" t="s">
        <v>113</v>
      </c>
      <c r="D109" s="1" t="s">
        <v>6</v>
      </c>
      <c r="E109" s="1" t="s">
        <v>6</v>
      </c>
    </row>
    <row r="110">
      <c r="A110" s="1">
        <v>109.0</v>
      </c>
      <c r="B110" s="2" t="s">
        <v>114</v>
      </c>
      <c r="C110" s="2" t="s">
        <v>114</v>
      </c>
      <c r="D110" s="1" t="s">
        <v>6</v>
      </c>
      <c r="E110" s="1" t="s">
        <v>6</v>
      </c>
    </row>
    <row r="111">
      <c r="A111" s="1">
        <v>110.0</v>
      </c>
      <c r="B111" s="2" t="s">
        <v>115</v>
      </c>
      <c r="C111" s="2" t="s">
        <v>115</v>
      </c>
      <c r="D111" s="1" t="s">
        <v>6</v>
      </c>
      <c r="E111" s="1" t="s">
        <v>6</v>
      </c>
    </row>
    <row r="112">
      <c r="A112" s="1">
        <v>111.0</v>
      </c>
      <c r="B112" s="2" t="s">
        <v>116</v>
      </c>
      <c r="C112" s="2" t="s">
        <v>116</v>
      </c>
      <c r="D112" s="1" t="s">
        <v>6</v>
      </c>
      <c r="E112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5.0"/>
    <col customWidth="1" min="3" max="4" width="17.0"/>
    <col customWidth="1" min="5" max="5" width="16.88"/>
    <col customWidth="1" min="6" max="6" width="8.13"/>
  </cols>
  <sheetData>
    <row r="1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</row>
    <row r="2">
      <c r="A2" s="1">
        <v>1.0</v>
      </c>
      <c r="B2" s="1" t="s">
        <v>123</v>
      </c>
      <c r="C2" s="1" t="s">
        <v>124</v>
      </c>
      <c r="D2" s="2" t="str">
        <f t="array" ref="D2:D41">unique(Mapping!C2:C200)</f>
        <v>WHSWPLCS017</v>
      </c>
      <c r="E2" s="1" t="str">
        <f t="shared" ref="E2:E41" si="1">D2</f>
        <v>WHSWPLCS017</v>
      </c>
      <c r="F2" s="3">
        <v>2500.0</v>
      </c>
    </row>
    <row r="3">
      <c r="A3" s="1">
        <v>2.0</v>
      </c>
      <c r="B3" s="1" t="s">
        <v>125</v>
      </c>
      <c r="C3" s="1" t="s">
        <v>124</v>
      </c>
      <c r="D3" s="2" t="s">
        <v>126</v>
      </c>
      <c r="E3" s="1" t="str">
        <f t="shared" si="1"/>
        <v>WHSWPLCS020</v>
      </c>
      <c r="F3" s="1">
        <v>1500.0</v>
      </c>
    </row>
    <row r="4">
      <c r="A4" s="1">
        <v>3.0</v>
      </c>
      <c r="B4" s="1" t="s">
        <v>127</v>
      </c>
      <c r="C4" s="1" t="s">
        <v>124</v>
      </c>
      <c r="D4" s="2" t="s">
        <v>128</v>
      </c>
      <c r="E4" s="1" t="str">
        <f t="shared" si="1"/>
        <v>WHSWPLCS103</v>
      </c>
      <c r="F4" s="1">
        <v>1500.0</v>
      </c>
    </row>
    <row r="5">
      <c r="A5" s="1">
        <v>4.0</v>
      </c>
      <c r="B5" s="1" t="s">
        <v>129</v>
      </c>
      <c r="C5" s="1" t="s">
        <v>124</v>
      </c>
      <c r="D5" s="2" t="s">
        <v>130</v>
      </c>
      <c r="E5" s="1" t="str">
        <f t="shared" si="1"/>
        <v>WHSWPLCS079</v>
      </c>
      <c r="F5" s="1">
        <v>2250.0</v>
      </c>
    </row>
    <row r="6">
      <c r="A6" s="1">
        <v>5.0</v>
      </c>
      <c r="B6" s="1" t="s">
        <v>131</v>
      </c>
      <c r="C6" s="1" t="s">
        <v>124</v>
      </c>
      <c r="D6" s="2" t="s">
        <v>132</v>
      </c>
      <c r="E6" s="1" t="str">
        <f t="shared" si="1"/>
        <v>WHSWPLCS042</v>
      </c>
      <c r="F6" s="1">
        <v>2250.0</v>
      </c>
    </row>
    <row r="7">
      <c r="A7" s="1">
        <v>6.0</v>
      </c>
      <c r="B7" s="1" t="s">
        <v>133</v>
      </c>
      <c r="C7" s="1" t="s">
        <v>124</v>
      </c>
      <c r="D7" s="2" t="s">
        <v>134</v>
      </c>
      <c r="E7" s="1" t="str">
        <f t="shared" si="1"/>
        <v>WHSWPLCS021</v>
      </c>
      <c r="F7" s="1">
        <v>1500.0</v>
      </c>
    </row>
    <row r="8">
      <c r="A8" s="1">
        <v>7.0</v>
      </c>
      <c r="B8" s="1" t="s">
        <v>135</v>
      </c>
      <c r="C8" s="1" t="s">
        <v>124</v>
      </c>
      <c r="D8" s="2" t="s">
        <v>136</v>
      </c>
      <c r="E8" s="1" t="str">
        <f t="shared" si="1"/>
        <v>WHSWPLCS055</v>
      </c>
      <c r="F8" s="1">
        <v>2250.0</v>
      </c>
    </row>
    <row r="9">
      <c r="A9" s="1">
        <v>8.0</v>
      </c>
      <c r="B9" s="1" t="s">
        <v>137</v>
      </c>
      <c r="C9" s="1" t="s">
        <v>124</v>
      </c>
      <c r="D9" s="2" t="s">
        <v>138</v>
      </c>
      <c r="E9" s="1" t="str">
        <f t="shared" si="1"/>
        <v>WHSWPLCS106</v>
      </c>
      <c r="F9" s="1">
        <v>1750.0</v>
      </c>
    </row>
    <row r="10">
      <c r="A10" s="1">
        <v>9.0</v>
      </c>
      <c r="B10" s="1" t="s">
        <v>139</v>
      </c>
      <c r="C10" s="1" t="s">
        <v>124</v>
      </c>
      <c r="D10" s="2" t="s">
        <v>140</v>
      </c>
      <c r="E10" s="1" t="str">
        <f t="shared" si="1"/>
        <v>WHSWPLCS025</v>
      </c>
      <c r="F10" s="1">
        <v>2250.0</v>
      </c>
    </row>
    <row r="11">
      <c r="A11" s="1">
        <v>10.0</v>
      </c>
      <c r="B11" s="1" t="s">
        <v>141</v>
      </c>
      <c r="C11" s="1" t="s">
        <v>124</v>
      </c>
      <c r="D11" s="2" t="s">
        <v>142</v>
      </c>
      <c r="E11" s="1" t="str">
        <f t="shared" si="1"/>
        <v>WHSWPLCS102</v>
      </c>
      <c r="F11" s="1">
        <v>1500.0</v>
      </c>
    </row>
    <row r="12">
      <c r="A12" s="1">
        <v>11.0</v>
      </c>
      <c r="B12" s="1" t="s">
        <v>143</v>
      </c>
      <c r="C12" s="1" t="s">
        <v>124</v>
      </c>
      <c r="D12" s="2" t="s">
        <v>144</v>
      </c>
      <c r="E12" s="1" t="str">
        <f t="shared" si="1"/>
        <v>WHSWPLCS076</v>
      </c>
      <c r="F12" s="1">
        <v>1500.0</v>
      </c>
    </row>
    <row r="13">
      <c r="A13" s="1">
        <v>12.0</v>
      </c>
      <c r="B13" s="1" t="s">
        <v>145</v>
      </c>
      <c r="C13" s="1" t="s">
        <v>124</v>
      </c>
      <c r="D13" s="2" t="s">
        <v>146</v>
      </c>
      <c r="E13" s="1" t="str">
        <f t="shared" si="1"/>
        <v>WHSWPLCS051</v>
      </c>
      <c r="F13" s="1">
        <v>1500.0</v>
      </c>
    </row>
    <row r="14">
      <c r="A14" s="1">
        <v>13.0</v>
      </c>
      <c r="B14" s="1" t="s">
        <v>147</v>
      </c>
      <c r="C14" s="1" t="s">
        <v>124</v>
      </c>
      <c r="D14" s="2" t="s">
        <v>148</v>
      </c>
      <c r="E14" s="1" t="str">
        <f t="shared" si="1"/>
        <v>WHSWPLCS029</v>
      </c>
      <c r="F14" s="1">
        <v>1500.0</v>
      </c>
    </row>
    <row r="15">
      <c r="A15" s="1">
        <v>14.0</v>
      </c>
      <c r="B15" s="1" t="s">
        <v>149</v>
      </c>
      <c r="C15" s="1" t="s">
        <v>124</v>
      </c>
      <c r="D15" s="2" t="s">
        <v>150</v>
      </c>
      <c r="E15" s="1" t="str">
        <f t="shared" si="1"/>
        <v>WHSWPLCS036</v>
      </c>
      <c r="F15" s="1">
        <v>2500.0</v>
      </c>
    </row>
    <row r="16">
      <c r="A16" s="1">
        <v>15.0</v>
      </c>
      <c r="B16" s="4" t="s">
        <v>151</v>
      </c>
      <c r="C16" s="1" t="s">
        <v>124</v>
      </c>
      <c r="D16" s="2" t="s">
        <v>152</v>
      </c>
      <c r="E16" s="1" t="str">
        <f t="shared" si="1"/>
        <v>WHSWPLCPCS118</v>
      </c>
      <c r="F16" s="1">
        <v>7200.0</v>
      </c>
    </row>
    <row r="17">
      <c r="A17" s="1">
        <v>16.0</v>
      </c>
      <c r="B17" s="4" t="s">
        <v>153</v>
      </c>
      <c r="C17" s="1" t="s">
        <v>124</v>
      </c>
      <c r="D17" s="2" t="s">
        <v>154</v>
      </c>
      <c r="E17" s="1" t="str">
        <f t="shared" si="1"/>
        <v>WHSWPLCPCS150</v>
      </c>
      <c r="F17" s="1">
        <v>7200.0</v>
      </c>
    </row>
    <row r="18">
      <c r="A18" s="1">
        <v>17.0</v>
      </c>
      <c r="B18" s="4" t="s">
        <v>155</v>
      </c>
      <c r="C18" s="1" t="s">
        <v>124</v>
      </c>
      <c r="D18" s="2" t="s">
        <v>156</v>
      </c>
      <c r="E18" s="1" t="str">
        <f t="shared" si="1"/>
        <v>WHSWPLCPCS138</v>
      </c>
      <c r="F18" s="1">
        <v>7200.0</v>
      </c>
    </row>
    <row r="19">
      <c r="A19" s="1">
        <v>18.0</v>
      </c>
      <c r="B19" s="4" t="s">
        <v>157</v>
      </c>
      <c r="C19" s="1" t="s">
        <v>124</v>
      </c>
      <c r="D19" s="2" t="s">
        <v>158</v>
      </c>
      <c r="E19" s="1" t="str">
        <f t="shared" si="1"/>
        <v>WHSWPLCPCS132</v>
      </c>
      <c r="F19" s="1">
        <v>7200.0</v>
      </c>
    </row>
    <row r="20">
      <c r="A20" s="1">
        <v>19.0</v>
      </c>
      <c r="B20" s="4" t="s">
        <v>159</v>
      </c>
      <c r="C20" s="1" t="s">
        <v>124</v>
      </c>
      <c r="D20" s="2" t="s">
        <v>160</v>
      </c>
      <c r="E20" s="1" t="str">
        <f t="shared" si="1"/>
        <v>WHSWPLCPCS153</v>
      </c>
      <c r="F20" s="1">
        <v>7200.0</v>
      </c>
    </row>
    <row r="21">
      <c r="A21" s="1">
        <v>20.0</v>
      </c>
      <c r="B21" s="4" t="s">
        <v>161</v>
      </c>
      <c r="C21" s="1" t="s">
        <v>124</v>
      </c>
      <c r="D21" s="2" t="s">
        <v>162</v>
      </c>
      <c r="E21" s="1" t="str">
        <f t="shared" si="1"/>
        <v>WHSWPLCPCS131</v>
      </c>
      <c r="F21" s="1">
        <v>7200.0</v>
      </c>
    </row>
    <row r="22">
      <c r="A22" s="1">
        <v>21.0</v>
      </c>
      <c r="B22" s="4" t="s">
        <v>163</v>
      </c>
      <c r="C22" s="1" t="s">
        <v>124</v>
      </c>
      <c r="D22" s="2" t="s">
        <v>164</v>
      </c>
      <c r="E22" s="1" t="str">
        <f t="shared" si="1"/>
        <v>WHSWPLCPCS128</v>
      </c>
      <c r="F22" s="1">
        <v>7200.0</v>
      </c>
    </row>
    <row r="23">
      <c r="A23" s="1">
        <v>22.0</v>
      </c>
      <c r="B23" s="4" t="s">
        <v>165</v>
      </c>
      <c r="C23" s="1" t="s">
        <v>124</v>
      </c>
      <c r="D23" s="2" t="s">
        <v>166</v>
      </c>
      <c r="E23" s="1" t="str">
        <f t="shared" si="1"/>
        <v>WHSWPLCPCS127</v>
      </c>
      <c r="F23" s="1">
        <v>7200.0</v>
      </c>
    </row>
    <row r="24">
      <c r="A24" s="1">
        <v>23.0</v>
      </c>
      <c r="B24" s="4" t="s">
        <v>167</v>
      </c>
      <c r="C24" s="1" t="s">
        <v>124</v>
      </c>
      <c r="D24" s="2" t="s">
        <v>168</v>
      </c>
      <c r="E24" s="1" t="str">
        <f t="shared" si="1"/>
        <v>WHSWPLCPCS124</v>
      </c>
      <c r="F24" s="1">
        <v>7200.0</v>
      </c>
    </row>
    <row r="25">
      <c r="A25" s="1">
        <v>24.0</v>
      </c>
      <c r="B25" s="4" t="s">
        <v>169</v>
      </c>
      <c r="C25" s="1" t="s">
        <v>124</v>
      </c>
      <c r="D25" s="2" t="s">
        <v>170</v>
      </c>
      <c r="E25" s="1" t="str">
        <f t="shared" si="1"/>
        <v>WHSWPLCPCS133</v>
      </c>
      <c r="F25" s="1">
        <v>2500.0</v>
      </c>
    </row>
    <row r="26">
      <c r="A26" s="1">
        <v>25.0</v>
      </c>
      <c r="B26" s="4" t="s">
        <v>171</v>
      </c>
      <c r="C26" s="1" t="s">
        <v>124</v>
      </c>
      <c r="D26" s="2" t="s">
        <v>172</v>
      </c>
      <c r="E26" s="1" t="str">
        <f t="shared" si="1"/>
        <v>WHSWPLCPCS130</v>
      </c>
      <c r="F26" s="1">
        <v>2500.0</v>
      </c>
    </row>
    <row r="27">
      <c r="A27" s="1">
        <v>26.0</v>
      </c>
      <c r="B27" s="4" t="s">
        <v>173</v>
      </c>
      <c r="C27" s="1" t="s">
        <v>124</v>
      </c>
      <c r="D27" s="2" t="s">
        <v>174</v>
      </c>
      <c r="E27" s="1" t="str">
        <f t="shared" si="1"/>
        <v>WHSWPLCPCS115</v>
      </c>
      <c r="F27" s="1">
        <v>7200.0</v>
      </c>
    </row>
    <row r="28">
      <c r="A28" s="1">
        <v>27.0</v>
      </c>
      <c r="B28" s="4" t="s">
        <v>175</v>
      </c>
      <c r="C28" s="1" t="s">
        <v>124</v>
      </c>
      <c r="D28" s="2" t="s">
        <v>176</v>
      </c>
      <c r="E28" s="1" t="str">
        <f t="shared" si="1"/>
        <v>WHSWPLCPCS112</v>
      </c>
      <c r="F28" s="1">
        <v>7200.0</v>
      </c>
    </row>
    <row r="29">
      <c r="A29" s="1">
        <v>28.0</v>
      </c>
      <c r="B29" s="4" t="s">
        <v>177</v>
      </c>
      <c r="C29" s="1" t="s">
        <v>124</v>
      </c>
      <c r="D29" s="2" t="s">
        <v>178</v>
      </c>
      <c r="E29" s="1" t="str">
        <f t="shared" si="1"/>
        <v>WHSWPLCPCS159</v>
      </c>
      <c r="F29" s="1">
        <v>7200.0</v>
      </c>
    </row>
    <row r="30">
      <c r="A30" s="1">
        <v>29.0</v>
      </c>
      <c r="B30" s="4" t="s">
        <v>179</v>
      </c>
      <c r="C30" s="1" t="s">
        <v>124</v>
      </c>
      <c r="D30" s="2" t="s">
        <v>180</v>
      </c>
      <c r="E30" s="1" t="str">
        <f t="shared" si="1"/>
        <v>WHSWPLCPCS152</v>
      </c>
      <c r="F30" s="1">
        <v>7200.0</v>
      </c>
    </row>
    <row r="31">
      <c r="A31" s="1">
        <v>30.0</v>
      </c>
      <c r="B31" s="4" t="s">
        <v>181</v>
      </c>
      <c r="C31" s="1" t="s">
        <v>124</v>
      </c>
      <c r="D31" s="2" t="s">
        <v>182</v>
      </c>
      <c r="E31" s="1" t="str">
        <f t="shared" si="1"/>
        <v>WHSWPLCPCS155</v>
      </c>
      <c r="F31" s="1">
        <v>7200.0</v>
      </c>
    </row>
    <row r="32">
      <c r="A32" s="1">
        <v>31.0</v>
      </c>
      <c r="B32" s="1" t="s">
        <v>183</v>
      </c>
      <c r="C32" s="1" t="s">
        <v>124</v>
      </c>
      <c r="D32" s="2" t="s">
        <v>184</v>
      </c>
      <c r="E32" s="1" t="str">
        <f t="shared" si="1"/>
        <v>WHSWPLCS006</v>
      </c>
      <c r="F32" s="1">
        <v>1500.0</v>
      </c>
    </row>
    <row r="33">
      <c r="A33" s="1">
        <v>32.0</v>
      </c>
      <c r="B33" s="1" t="s">
        <v>185</v>
      </c>
      <c r="C33" s="1" t="s">
        <v>124</v>
      </c>
      <c r="D33" s="2" t="s">
        <v>186</v>
      </c>
      <c r="E33" s="1" t="str">
        <f t="shared" si="1"/>
        <v>WHSWPLCS033</v>
      </c>
      <c r="F33" s="1">
        <v>1500.0</v>
      </c>
    </row>
    <row r="34">
      <c r="A34" s="1">
        <v>33.0</v>
      </c>
      <c r="B34" s="1" t="s">
        <v>187</v>
      </c>
      <c r="C34" s="1" t="s">
        <v>124</v>
      </c>
      <c r="D34" s="2" t="s">
        <v>188</v>
      </c>
      <c r="E34" s="1" t="str">
        <f t="shared" si="1"/>
        <v>WHSWPLCS078</v>
      </c>
      <c r="F34" s="1">
        <v>2500.0</v>
      </c>
    </row>
    <row r="35">
      <c r="A35" s="1">
        <v>34.0</v>
      </c>
      <c r="B35" s="1" t="s">
        <v>189</v>
      </c>
      <c r="C35" s="1" t="s">
        <v>124</v>
      </c>
      <c r="D35" s="2" t="s">
        <v>190</v>
      </c>
      <c r="E35" s="1" t="str">
        <f t="shared" si="1"/>
        <v>WHSWPLCS035</v>
      </c>
      <c r="F35" s="1">
        <v>2500.0</v>
      </c>
    </row>
    <row r="36">
      <c r="A36" s="1">
        <v>35.0</v>
      </c>
      <c r="B36" s="4" t="s">
        <v>191</v>
      </c>
      <c r="C36" s="1" t="s">
        <v>124</v>
      </c>
      <c r="D36" s="2" t="s">
        <v>192</v>
      </c>
      <c r="E36" s="1" t="str">
        <f t="shared" si="1"/>
        <v>WHSWPLCPCS140</v>
      </c>
      <c r="F36" s="1">
        <v>2500.0</v>
      </c>
    </row>
    <row r="37">
      <c r="A37" s="1">
        <v>36.0</v>
      </c>
      <c r="B37" s="4" t="s">
        <v>193</v>
      </c>
      <c r="C37" s="1" t="s">
        <v>124</v>
      </c>
      <c r="D37" s="2" t="s">
        <v>194</v>
      </c>
      <c r="E37" s="1" t="str">
        <f t="shared" si="1"/>
        <v>WHSWPLCPCS114</v>
      </c>
      <c r="F37" s="1">
        <v>2500.0</v>
      </c>
    </row>
    <row r="38">
      <c r="A38" s="1">
        <v>37.0</v>
      </c>
      <c r="B38" s="4" t="s">
        <v>195</v>
      </c>
      <c r="C38" s="1" t="s">
        <v>124</v>
      </c>
      <c r="D38" s="2" t="s">
        <v>196</v>
      </c>
      <c r="E38" s="1" t="str">
        <f t="shared" si="1"/>
        <v>WHSWPLCPCS154</v>
      </c>
      <c r="F38" s="1">
        <v>2500.0</v>
      </c>
    </row>
    <row r="39">
      <c r="A39" s="1">
        <v>38.0</v>
      </c>
      <c r="B39" s="4" t="s">
        <v>197</v>
      </c>
      <c r="C39" s="1" t="s">
        <v>124</v>
      </c>
      <c r="D39" s="2" t="s">
        <v>198</v>
      </c>
      <c r="E39" s="1" t="str">
        <f t="shared" si="1"/>
        <v>WHSWPLCPCS136</v>
      </c>
      <c r="F39" s="1">
        <v>2500.0</v>
      </c>
    </row>
    <row r="40">
      <c r="A40" s="1">
        <v>39.0</v>
      </c>
      <c r="B40" s="4" t="s">
        <v>199</v>
      </c>
      <c r="C40" s="1" t="s">
        <v>124</v>
      </c>
      <c r="D40" s="2" t="s">
        <v>200</v>
      </c>
      <c r="E40" s="1" t="str">
        <f t="shared" si="1"/>
        <v>WHSWPLCPCS129</v>
      </c>
      <c r="F40" s="1">
        <v>2500.0</v>
      </c>
    </row>
    <row r="41">
      <c r="A41" s="1">
        <v>40.0</v>
      </c>
      <c r="B41" s="1" t="s">
        <v>201</v>
      </c>
      <c r="C41" s="1" t="s">
        <v>124</v>
      </c>
      <c r="D41" s="2" t="s">
        <v>202</v>
      </c>
      <c r="E41" s="1" t="str">
        <f t="shared" si="1"/>
        <v>WHSWGLSS168</v>
      </c>
      <c r="F41" s="1">
        <v>300.0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0.5"/>
    <col customWidth="1" min="3" max="3" width="17.0"/>
    <col customWidth="1" min="4" max="4" width="14.75"/>
  </cols>
  <sheetData>
    <row r="1">
      <c r="A1" s="1" t="s">
        <v>117</v>
      </c>
      <c r="B1" s="1" t="s">
        <v>2</v>
      </c>
      <c r="C1" s="1" t="s">
        <v>120</v>
      </c>
      <c r="D1" s="1" t="s">
        <v>203</v>
      </c>
      <c r="E1" s="5" t="s">
        <v>204</v>
      </c>
    </row>
    <row r="2">
      <c r="B2" s="2" t="s">
        <v>5</v>
      </c>
      <c r="C2" s="6" t="s">
        <v>205</v>
      </c>
      <c r="D2" s="7">
        <v>6167.0</v>
      </c>
      <c r="E2" s="5">
        <v>20.0</v>
      </c>
    </row>
    <row r="3">
      <c r="B3" s="2" t="s">
        <v>7</v>
      </c>
      <c r="C3" s="6" t="s">
        <v>126</v>
      </c>
      <c r="D3" s="7">
        <v>3221.0</v>
      </c>
      <c r="E3" s="5">
        <v>20.0</v>
      </c>
    </row>
    <row r="4">
      <c r="B4" s="2" t="s">
        <v>8</v>
      </c>
      <c r="C4" s="6" t="s">
        <v>128</v>
      </c>
      <c r="D4" s="7">
        <v>6277.0</v>
      </c>
      <c r="E4" s="5">
        <v>5.0</v>
      </c>
    </row>
    <row r="5">
      <c r="B5" s="2" t="s">
        <v>9</v>
      </c>
      <c r="C5" s="6" t="s">
        <v>130</v>
      </c>
      <c r="D5" s="7">
        <v>3399.0</v>
      </c>
      <c r="E5" s="5">
        <v>5.0</v>
      </c>
    </row>
    <row r="6">
      <c r="B6" s="2" t="s">
        <v>10</v>
      </c>
      <c r="C6" s="6" t="s">
        <v>205</v>
      </c>
      <c r="D6" s="7">
        <v>6167.0</v>
      </c>
      <c r="E6" s="5">
        <v>5.0</v>
      </c>
    </row>
    <row r="7">
      <c r="B7" s="2" t="s">
        <v>11</v>
      </c>
      <c r="C7" s="6" t="s">
        <v>132</v>
      </c>
      <c r="D7" s="7">
        <v>2746.0</v>
      </c>
      <c r="E7" s="5">
        <v>5.0</v>
      </c>
    </row>
    <row r="8">
      <c r="B8" s="2" t="s">
        <v>12</v>
      </c>
      <c r="C8" s="6" t="s">
        <v>134</v>
      </c>
      <c r="D8" s="7">
        <v>3223.0</v>
      </c>
      <c r="E8" s="5">
        <v>10.0</v>
      </c>
    </row>
    <row r="9">
      <c r="B9" s="2" t="s">
        <v>13</v>
      </c>
      <c r="C9" s="6" t="s">
        <v>136</v>
      </c>
      <c r="D9" s="7">
        <v>5656.0</v>
      </c>
      <c r="E9" s="5">
        <v>10.0</v>
      </c>
    </row>
    <row r="10">
      <c r="B10" s="2" t="s">
        <v>14</v>
      </c>
      <c r="C10" s="6" t="s">
        <v>138</v>
      </c>
      <c r="D10" s="7">
        <v>3889.0</v>
      </c>
      <c r="E10" s="5">
        <v>20.0</v>
      </c>
    </row>
    <row r="11">
      <c r="B11" s="2" t="s">
        <v>15</v>
      </c>
      <c r="C11" s="6" t="s">
        <v>126</v>
      </c>
      <c r="D11" s="7">
        <v>3221.0</v>
      </c>
      <c r="E11" s="5">
        <v>20.0</v>
      </c>
    </row>
    <row r="12">
      <c r="B12" s="2" t="s">
        <v>16</v>
      </c>
      <c r="C12" s="6" t="s">
        <v>140</v>
      </c>
      <c r="D12" s="7">
        <v>545.0</v>
      </c>
      <c r="E12" s="5">
        <v>20.0</v>
      </c>
    </row>
    <row r="13">
      <c r="B13" s="2" t="s">
        <v>17</v>
      </c>
      <c r="C13" s="6" t="s">
        <v>142</v>
      </c>
      <c r="D13" s="7">
        <v>5667.0</v>
      </c>
      <c r="E13" s="5">
        <v>20.0</v>
      </c>
    </row>
    <row r="14">
      <c r="B14" s="2" t="s">
        <v>18</v>
      </c>
      <c r="C14" s="6" t="s">
        <v>144</v>
      </c>
      <c r="D14" s="7">
        <v>3027.0</v>
      </c>
      <c r="E14" s="5">
        <v>20.0</v>
      </c>
    </row>
    <row r="15">
      <c r="B15" s="2" t="s">
        <v>19</v>
      </c>
      <c r="C15" s="6" t="s">
        <v>146</v>
      </c>
      <c r="D15" s="7">
        <v>149.0</v>
      </c>
      <c r="E15" s="5">
        <v>20.0</v>
      </c>
    </row>
    <row r="16">
      <c r="B16" s="2" t="s">
        <v>20</v>
      </c>
      <c r="C16" s="6" t="s">
        <v>148</v>
      </c>
      <c r="D16" s="7">
        <v>155.0</v>
      </c>
      <c r="E16" s="5">
        <v>13.0</v>
      </c>
    </row>
    <row r="17">
      <c r="B17" s="2" t="s">
        <v>21</v>
      </c>
      <c r="C17" s="6" t="s">
        <v>146</v>
      </c>
      <c r="D17" s="7">
        <v>149.0</v>
      </c>
      <c r="E17" s="5">
        <v>13.0</v>
      </c>
    </row>
    <row r="18">
      <c r="B18" s="2" t="s">
        <v>22</v>
      </c>
      <c r="C18" s="6" t="s">
        <v>142</v>
      </c>
      <c r="D18" s="7">
        <v>5667.0</v>
      </c>
      <c r="E18" s="5" t="s">
        <v>206</v>
      </c>
    </row>
    <row r="19">
      <c r="B19" s="2" t="s">
        <v>23</v>
      </c>
      <c r="C19" s="6" t="s">
        <v>150</v>
      </c>
      <c r="D19" s="7">
        <v>2347.0</v>
      </c>
      <c r="E19" s="5">
        <v>15.0</v>
      </c>
    </row>
    <row r="20">
      <c r="B20" s="2" t="s">
        <v>24</v>
      </c>
      <c r="C20" s="6" t="s">
        <v>152</v>
      </c>
      <c r="D20" s="7">
        <v>2308.0</v>
      </c>
      <c r="E20" s="5">
        <v>12.0</v>
      </c>
    </row>
    <row r="21">
      <c r="B21" s="2" t="s">
        <v>25</v>
      </c>
      <c r="C21" s="6" t="s">
        <v>154</v>
      </c>
      <c r="D21" s="7">
        <v>2327.0</v>
      </c>
      <c r="E21" s="5">
        <v>12.0</v>
      </c>
    </row>
    <row r="22">
      <c r="B22" s="2" t="s">
        <v>26</v>
      </c>
      <c r="C22" s="6" t="s">
        <v>156</v>
      </c>
      <c r="D22" s="7">
        <v>2314.0</v>
      </c>
      <c r="E22" s="5">
        <v>12.0</v>
      </c>
    </row>
    <row r="23">
      <c r="B23" s="2" t="s">
        <v>29</v>
      </c>
      <c r="C23" s="6" t="s">
        <v>158</v>
      </c>
      <c r="D23" s="2">
        <v>2307.0</v>
      </c>
      <c r="E23" s="5" t="s">
        <v>206</v>
      </c>
    </row>
    <row r="24">
      <c r="B24" s="2" t="s">
        <v>30</v>
      </c>
      <c r="C24" s="6" t="s">
        <v>158</v>
      </c>
      <c r="D24" s="2">
        <v>2307.0</v>
      </c>
      <c r="E24" s="5">
        <v>18.0</v>
      </c>
    </row>
    <row r="25">
      <c r="B25" s="2" t="s">
        <v>31</v>
      </c>
      <c r="C25" s="6" t="s">
        <v>160</v>
      </c>
      <c r="D25" s="8">
        <v>2313.0</v>
      </c>
      <c r="E25" s="5">
        <v>18.0</v>
      </c>
    </row>
    <row r="26">
      <c r="B26" s="2" t="s">
        <v>32</v>
      </c>
      <c r="C26" s="6" t="s">
        <v>162</v>
      </c>
      <c r="D26" s="8">
        <v>2305.0</v>
      </c>
      <c r="E26" s="5">
        <v>50.0</v>
      </c>
    </row>
    <row r="27">
      <c r="B27" s="2" t="s">
        <v>33</v>
      </c>
      <c r="C27" s="6" t="s">
        <v>164</v>
      </c>
      <c r="D27" s="8">
        <v>2324.0</v>
      </c>
      <c r="E27" s="5">
        <v>50.0</v>
      </c>
    </row>
    <row r="28">
      <c r="B28" s="2" t="s">
        <v>34</v>
      </c>
      <c r="C28" s="6" t="s">
        <v>166</v>
      </c>
      <c r="D28" s="8">
        <v>2328.0</v>
      </c>
      <c r="E28" s="5">
        <v>50.0</v>
      </c>
    </row>
    <row r="29">
      <c r="B29" s="2" t="s">
        <v>35</v>
      </c>
      <c r="C29" s="6" t="s">
        <v>164</v>
      </c>
      <c r="D29" s="8">
        <v>2324.0</v>
      </c>
      <c r="E29" s="5">
        <v>50.0</v>
      </c>
    </row>
    <row r="30">
      <c r="B30" s="2" t="s">
        <v>36</v>
      </c>
      <c r="C30" s="6" t="s">
        <v>162</v>
      </c>
      <c r="D30" s="8">
        <v>2305.0</v>
      </c>
      <c r="E30" s="5">
        <v>50.0</v>
      </c>
    </row>
    <row r="31">
      <c r="B31" s="2" t="s">
        <v>37</v>
      </c>
      <c r="C31" s="6" t="s">
        <v>162</v>
      </c>
      <c r="D31" s="8">
        <v>2305.0</v>
      </c>
      <c r="E31" s="5">
        <v>50.0</v>
      </c>
    </row>
    <row r="32">
      <c r="B32" s="2" t="s">
        <v>38</v>
      </c>
      <c r="C32" s="6" t="s">
        <v>164</v>
      </c>
      <c r="D32" s="8">
        <v>2324.0</v>
      </c>
      <c r="E32" s="5">
        <v>50.0</v>
      </c>
    </row>
    <row r="33">
      <c r="B33" s="2" t="s">
        <v>39</v>
      </c>
      <c r="C33" s="6" t="s">
        <v>156</v>
      </c>
      <c r="D33" s="8">
        <v>2314.0</v>
      </c>
      <c r="E33" s="5">
        <v>50.0</v>
      </c>
    </row>
    <row r="34">
      <c r="B34" s="2" t="s">
        <v>40</v>
      </c>
      <c r="C34" s="6" t="s">
        <v>160</v>
      </c>
      <c r="D34" s="8">
        <v>2313.0</v>
      </c>
      <c r="E34" s="5">
        <v>50.0</v>
      </c>
    </row>
    <row r="35">
      <c r="B35" s="2" t="s">
        <v>41</v>
      </c>
      <c r="C35" s="6" t="s">
        <v>160</v>
      </c>
      <c r="D35" s="8">
        <v>2313.0</v>
      </c>
      <c r="E35" s="5">
        <v>50.0</v>
      </c>
    </row>
    <row r="36">
      <c r="B36" s="2" t="s">
        <v>42</v>
      </c>
      <c r="C36" s="6" t="s">
        <v>160</v>
      </c>
      <c r="D36" s="8">
        <v>2313.0</v>
      </c>
      <c r="E36" s="5">
        <v>50.0</v>
      </c>
    </row>
    <row r="37">
      <c r="B37" s="2" t="s">
        <v>43</v>
      </c>
      <c r="C37" s="6" t="s">
        <v>166</v>
      </c>
      <c r="D37" s="8">
        <v>2328.0</v>
      </c>
      <c r="E37" s="5">
        <v>50.0</v>
      </c>
    </row>
    <row r="38">
      <c r="B38" s="2" t="s">
        <v>44</v>
      </c>
      <c r="C38" s="6" t="s">
        <v>152</v>
      </c>
      <c r="D38" s="8">
        <v>2308.0</v>
      </c>
      <c r="E38" s="5">
        <v>50.0</v>
      </c>
    </row>
    <row r="39">
      <c r="B39" s="2" t="s">
        <v>45</v>
      </c>
      <c r="C39" s="6" t="s">
        <v>158</v>
      </c>
      <c r="D39" s="8">
        <v>2307.0</v>
      </c>
      <c r="E39" s="5">
        <v>50.0</v>
      </c>
    </row>
    <row r="40">
      <c r="B40" s="2" t="s">
        <v>46</v>
      </c>
      <c r="C40" s="6" t="s">
        <v>168</v>
      </c>
      <c r="D40" s="8">
        <v>2322.0</v>
      </c>
      <c r="E40" s="5">
        <v>50.0</v>
      </c>
    </row>
    <row r="41">
      <c r="B41" s="2" t="s">
        <v>47</v>
      </c>
      <c r="C41" s="6" t="s">
        <v>162</v>
      </c>
      <c r="D41" s="8">
        <v>2305.0</v>
      </c>
      <c r="E41" s="5">
        <v>50.0</v>
      </c>
    </row>
    <row r="42">
      <c r="B42" s="2" t="s">
        <v>48</v>
      </c>
      <c r="C42" s="6" t="s">
        <v>162</v>
      </c>
      <c r="D42" s="8">
        <v>2305.0</v>
      </c>
      <c r="E42" s="5">
        <v>50.0</v>
      </c>
    </row>
    <row r="43">
      <c r="B43" s="2" t="s">
        <v>49</v>
      </c>
      <c r="C43" s="6" t="s">
        <v>170</v>
      </c>
      <c r="D43" s="8" t="s">
        <v>207</v>
      </c>
      <c r="E43" s="5">
        <v>50.0</v>
      </c>
    </row>
    <row r="44">
      <c r="B44" s="2" t="s">
        <v>50</v>
      </c>
      <c r="C44" s="6" t="s">
        <v>172</v>
      </c>
      <c r="D44" s="8" t="s">
        <v>208</v>
      </c>
      <c r="E44" s="5">
        <v>50.0</v>
      </c>
    </row>
    <row r="45">
      <c r="B45" s="2" t="s">
        <v>51</v>
      </c>
      <c r="C45" s="6" t="s">
        <v>174</v>
      </c>
      <c r="D45" s="8">
        <v>2325.0</v>
      </c>
      <c r="E45" s="5">
        <v>50.0</v>
      </c>
    </row>
    <row r="46">
      <c r="B46" s="2" t="s">
        <v>52</v>
      </c>
      <c r="C46" s="6" t="s">
        <v>176</v>
      </c>
      <c r="D46" s="8">
        <v>2304.0</v>
      </c>
      <c r="E46" s="5">
        <v>50.0</v>
      </c>
    </row>
    <row r="47">
      <c r="B47" s="2" t="s">
        <v>53</v>
      </c>
      <c r="C47" s="6" t="s">
        <v>154</v>
      </c>
      <c r="D47" s="8">
        <v>2327.0</v>
      </c>
      <c r="E47" s="5">
        <v>50.0</v>
      </c>
    </row>
    <row r="48">
      <c r="B48" s="2" t="s">
        <v>54</v>
      </c>
      <c r="C48" s="6" t="s">
        <v>174</v>
      </c>
      <c r="D48" s="8">
        <v>2325.0</v>
      </c>
      <c r="E48" s="5">
        <v>50.0</v>
      </c>
    </row>
    <row r="49">
      <c r="B49" s="2" t="s">
        <v>55</v>
      </c>
      <c r="C49" s="6" t="s">
        <v>158</v>
      </c>
      <c r="D49" s="8">
        <v>2307.0</v>
      </c>
      <c r="E49" s="5">
        <v>50.0</v>
      </c>
    </row>
    <row r="50">
      <c r="B50" s="2" t="s">
        <v>56</v>
      </c>
      <c r="C50" s="6" t="s">
        <v>164</v>
      </c>
      <c r="D50" s="8">
        <v>2324.0</v>
      </c>
      <c r="E50" s="5">
        <v>50.0</v>
      </c>
    </row>
    <row r="51">
      <c r="B51" s="2" t="s">
        <v>57</v>
      </c>
      <c r="C51" s="6" t="s">
        <v>176</v>
      </c>
      <c r="D51" s="8">
        <v>2304.0</v>
      </c>
      <c r="E51" s="5">
        <v>50.0</v>
      </c>
    </row>
    <row r="52">
      <c r="B52" s="2" t="s">
        <v>58</v>
      </c>
      <c r="C52" s="6" t="s">
        <v>156</v>
      </c>
      <c r="D52" s="8">
        <v>2314.0</v>
      </c>
      <c r="E52" s="5">
        <v>50.0</v>
      </c>
    </row>
    <row r="53">
      <c r="B53" s="2" t="s">
        <v>59</v>
      </c>
      <c r="C53" s="6" t="s">
        <v>160</v>
      </c>
      <c r="D53" s="8">
        <v>2313.0</v>
      </c>
      <c r="E53" s="5">
        <v>50.0</v>
      </c>
    </row>
    <row r="54">
      <c r="B54" s="2" t="s">
        <v>60</v>
      </c>
      <c r="C54" s="6" t="s">
        <v>160</v>
      </c>
      <c r="D54" s="8">
        <v>2313.0</v>
      </c>
      <c r="E54" s="5">
        <v>50.0</v>
      </c>
    </row>
    <row r="55">
      <c r="B55" s="2" t="s">
        <v>30</v>
      </c>
      <c r="C55" s="6" t="s">
        <v>156</v>
      </c>
      <c r="D55" s="8">
        <v>2314.0</v>
      </c>
      <c r="E55" s="5">
        <v>50.0</v>
      </c>
    </row>
    <row r="56">
      <c r="B56" s="2" t="s">
        <v>33</v>
      </c>
      <c r="C56" s="6" t="s">
        <v>174</v>
      </c>
      <c r="D56" s="8">
        <v>2325.0</v>
      </c>
      <c r="E56" s="5">
        <v>50.0</v>
      </c>
    </row>
    <row r="57">
      <c r="B57" s="2" t="s">
        <v>34</v>
      </c>
      <c r="C57" s="6" t="s">
        <v>162</v>
      </c>
      <c r="D57" s="8">
        <v>2305.0</v>
      </c>
      <c r="E57" s="5">
        <v>50.0</v>
      </c>
    </row>
    <row r="58">
      <c r="B58" s="2" t="s">
        <v>35</v>
      </c>
      <c r="C58" s="6" t="s">
        <v>156</v>
      </c>
      <c r="D58" s="8">
        <v>2314.0</v>
      </c>
      <c r="E58" s="5">
        <v>50.0</v>
      </c>
    </row>
    <row r="59">
      <c r="B59" s="2" t="s">
        <v>36</v>
      </c>
      <c r="C59" s="6" t="s">
        <v>178</v>
      </c>
      <c r="D59" s="8">
        <v>2323.0</v>
      </c>
      <c r="E59" s="5">
        <v>50.0</v>
      </c>
    </row>
    <row r="60">
      <c r="B60" s="2" t="s">
        <v>37</v>
      </c>
      <c r="C60" s="6" t="s">
        <v>176</v>
      </c>
      <c r="D60" s="8">
        <v>2304.0</v>
      </c>
      <c r="E60" s="5">
        <v>50.0</v>
      </c>
    </row>
    <row r="61">
      <c r="B61" s="2" t="s">
        <v>38</v>
      </c>
      <c r="C61" s="6" t="s">
        <v>174</v>
      </c>
      <c r="D61" s="2">
        <v>2325.0</v>
      </c>
      <c r="E61" s="5">
        <v>50.0</v>
      </c>
    </row>
    <row r="62">
      <c r="B62" s="2" t="s">
        <v>40</v>
      </c>
      <c r="C62" s="6" t="s">
        <v>164</v>
      </c>
      <c r="D62" s="2">
        <v>2324.0</v>
      </c>
      <c r="E62" s="5">
        <v>50.0</v>
      </c>
    </row>
    <row r="63">
      <c r="B63" s="2" t="s">
        <v>41</v>
      </c>
      <c r="C63" s="6" t="s">
        <v>176</v>
      </c>
      <c r="D63" s="2">
        <v>2304.0</v>
      </c>
      <c r="E63" s="5">
        <v>50.0</v>
      </c>
    </row>
    <row r="64">
      <c r="B64" s="2" t="s">
        <v>42</v>
      </c>
      <c r="C64" s="6" t="s">
        <v>156</v>
      </c>
      <c r="D64" s="2">
        <v>2314.0</v>
      </c>
      <c r="E64" s="5">
        <v>50.0</v>
      </c>
    </row>
    <row r="65">
      <c r="B65" s="2" t="s">
        <v>43</v>
      </c>
      <c r="C65" s="6" t="s">
        <v>180</v>
      </c>
      <c r="D65" s="2">
        <v>2312.0</v>
      </c>
      <c r="E65" s="5">
        <v>50.0</v>
      </c>
    </row>
    <row r="66">
      <c r="B66" s="2" t="s">
        <v>44</v>
      </c>
      <c r="C66" s="6" t="s">
        <v>182</v>
      </c>
      <c r="D66" s="2">
        <v>2309.0</v>
      </c>
      <c r="E66" s="5">
        <v>50.0</v>
      </c>
    </row>
    <row r="67">
      <c r="B67" s="2" t="s">
        <v>45</v>
      </c>
      <c r="C67" s="6" t="s">
        <v>156</v>
      </c>
      <c r="D67" s="2">
        <v>2314.0</v>
      </c>
      <c r="E67" s="5">
        <v>50.0</v>
      </c>
    </row>
    <row r="68">
      <c r="B68" s="2" t="s">
        <v>46</v>
      </c>
      <c r="C68" s="6" t="s">
        <v>160</v>
      </c>
      <c r="D68" s="2">
        <v>2313.0</v>
      </c>
      <c r="E68" s="5">
        <v>50.0</v>
      </c>
    </row>
    <row r="69">
      <c r="B69" s="2" t="s">
        <v>47</v>
      </c>
      <c r="C69" s="6" t="s">
        <v>160</v>
      </c>
      <c r="D69" s="2">
        <v>2313.0</v>
      </c>
      <c r="E69" s="5">
        <v>50.0</v>
      </c>
    </row>
    <row r="70">
      <c r="B70" s="2" t="s">
        <v>48</v>
      </c>
      <c r="C70" s="6" t="s">
        <v>176</v>
      </c>
      <c r="D70" s="2">
        <v>2304.0</v>
      </c>
      <c r="E70" s="5">
        <v>50.0</v>
      </c>
    </row>
    <row r="71">
      <c r="B71" s="2" t="s">
        <v>49</v>
      </c>
      <c r="C71" s="6" t="s">
        <v>156</v>
      </c>
      <c r="D71" s="2">
        <v>2314.0</v>
      </c>
      <c r="E71" s="5">
        <v>50.0</v>
      </c>
    </row>
    <row r="72">
      <c r="B72" s="2" t="s">
        <v>50</v>
      </c>
      <c r="C72" s="6" t="s">
        <v>164</v>
      </c>
      <c r="D72" s="2">
        <v>2324.0</v>
      </c>
      <c r="E72" s="5">
        <v>50.0</v>
      </c>
    </row>
    <row r="73">
      <c r="B73" s="2" t="s">
        <v>51</v>
      </c>
      <c r="C73" s="6" t="s">
        <v>184</v>
      </c>
      <c r="D73" s="2">
        <v>3851.0</v>
      </c>
      <c r="E73" s="5">
        <v>50.0</v>
      </c>
    </row>
    <row r="74">
      <c r="B74" s="2" t="s">
        <v>52</v>
      </c>
      <c r="C74" s="6" t="s">
        <v>186</v>
      </c>
      <c r="D74" s="2">
        <v>147.0</v>
      </c>
      <c r="E74" s="5">
        <v>50.0</v>
      </c>
    </row>
    <row r="75">
      <c r="B75" s="2" t="s">
        <v>53</v>
      </c>
      <c r="C75" s="6" t="s">
        <v>188</v>
      </c>
      <c r="D75" s="2">
        <v>5755.0</v>
      </c>
      <c r="E75" s="5">
        <v>50.0</v>
      </c>
    </row>
    <row r="76">
      <c r="B76" s="2" t="s">
        <v>54</v>
      </c>
      <c r="C76" s="6" t="s">
        <v>190</v>
      </c>
      <c r="D76" s="2">
        <v>2343.0</v>
      </c>
      <c r="E76" s="5">
        <v>50.0</v>
      </c>
    </row>
    <row r="77">
      <c r="B77" s="2" t="s">
        <v>55</v>
      </c>
      <c r="C77" s="6" t="s">
        <v>150</v>
      </c>
      <c r="D77" s="2">
        <v>2347.0</v>
      </c>
      <c r="E77" s="5">
        <v>50.0</v>
      </c>
    </row>
    <row r="78">
      <c r="B78" s="2" t="s">
        <v>56</v>
      </c>
      <c r="C78" s="6" t="s">
        <v>150</v>
      </c>
      <c r="D78" s="2">
        <v>2347.0</v>
      </c>
      <c r="E78" s="5">
        <v>50.0</v>
      </c>
    </row>
    <row r="79">
      <c r="B79" s="2" t="s">
        <v>57</v>
      </c>
      <c r="C79" s="6" t="s">
        <v>192</v>
      </c>
      <c r="D79" s="2" t="s">
        <v>209</v>
      </c>
      <c r="E79" s="5">
        <v>50.0</v>
      </c>
    </row>
    <row r="80">
      <c r="B80" s="2" t="s">
        <v>58</v>
      </c>
      <c r="C80" s="6" t="s">
        <v>194</v>
      </c>
      <c r="D80" s="2" t="s">
        <v>210</v>
      </c>
      <c r="E80" s="5">
        <v>50.0</v>
      </c>
    </row>
    <row r="81">
      <c r="B81" s="2" t="s">
        <v>59</v>
      </c>
      <c r="C81" s="6" t="s">
        <v>196</v>
      </c>
      <c r="D81" s="2" t="s">
        <v>211</v>
      </c>
      <c r="E81" s="5">
        <v>50.0</v>
      </c>
    </row>
    <row r="82">
      <c r="B82" s="2" t="s">
        <v>60</v>
      </c>
      <c r="C82" s="6" t="s">
        <v>196</v>
      </c>
      <c r="D82" s="2" t="s">
        <v>211</v>
      </c>
      <c r="E82" s="5">
        <v>50.0</v>
      </c>
    </row>
    <row r="83">
      <c r="B83" s="2" t="s">
        <v>59</v>
      </c>
      <c r="C83" s="6" t="s">
        <v>176</v>
      </c>
      <c r="D83" s="2">
        <v>2304.0</v>
      </c>
      <c r="E83" s="5">
        <v>50.0</v>
      </c>
    </row>
    <row r="84">
      <c r="B84" s="2" t="s">
        <v>60</v>
      </c>
      <c r="C84" s="6" t="s">
        <v>154</v>
      </c>
      <c r="D84" s="2">
        <v>2327.0</v>
      </c>
      <c r="E84" s="5">
        <v>50.0</v>
      </c>
    </row>
    <row r="85">
      <c r="B85" s="2" t="s">
        <v>92</v>
      </c>
      <c r="C85" s="6" t="s">
        <v>174</v>
      </c>
      <c r="D85" s="2">
        <v>2325.0</v>
      </c>
      <c r="E85" s="5">
        <v>50.0</v>
      </c>
    </row>
    <row r="86">
      <c r="B86" s="2" t="s">
        <v>93</v>
      </c>
      <c r="C86" s="6" t="s">
        <v>176</v>
      </c>
      <c r="D86" s="2">
        <v>2304.0</v>
      </c>
      <c r="E86" s="5">
        <v>50.0</v>
      </c>
    </row>
    <row r="87">
      <c r="B87" s="2" t="s">
        <v>113</v>
      </c>
      <c r="C87" s="6" t="s">
        <v>198</v>
      </c>
      <c r="D87" s="2" t="s">
        <v>212</v>
      </c>
      <c r="E87" s="5">
        <v>50.0</v>
      </c>
    </row>
    <row r="88">
      <c r="B88" s="2" t="s">
        <v>114</v>
      </c>
      <c r="C88" s="6" t="s">
        <v>200</v>
      </c>
      <c r="D88" s="2" t="s">
        <v>213</v>
      </c>
      <c r="E88" s="5">
        <v>50.0</v>
      </c>
    </row>
    <row r="89">
      <c r="B89" s="2" t="s">
        <v>116</v>
      </c>
      <c r="C89" s="6" t="s">
        <v>194</v>
      </c>
      <c r="D89" s="2" t="s">
        <v>214</v>
      </c>
      <c r="E89" s="5">
        <v>50.0</v>
      </c>
    </row>
    <row r="90">
      <c r="B90" s="2" t="s">
        <v>5</v>
      </c>
      <c r="C90" s="6" t="s">
        <v>202</v>
      </c>
      <c r="E90" s="5">
        <v>10.0</v>
      </c>
    </row>
    <row r="91">
      <c r="B91" s="2" t="s">
        <v>7</v>
      </c>
      <c r="C91" s="6" t="s">
        <v>202</v>
      </c>
      <c r="E91" s="5">
        <v>10.0</v>
      </c>
    </row>
    <row r="92">
      <c r="B92" s="2" t="s">
        <v>8</v>
      </c>
      <c r="C92" s="6" t="s">
        <v>202</v>
      </c>
      <c r="E92" s="5">
        <v>10.0</v>
      </c>
    </row>
    <row r="93">
      <c r="B93" s="2" t="s">
        <v>9</v>
      </c>
      <c r="C93" s="6" t="s">
        <v>202</v>
      </c>
      <c r="E93" s="5">
        <v>10.0</v>
      </c>
    </row>
    <row r="94">
      <c r="B94" s="2" t="s">
        <v>10</v>
      </c>
      <c r="C94" s="6" t="s">
        <v>202</v>
      </c>
      <c r="E94" s="5">
        <v>10.0</v>
      </c>
    </row>
    <row r="95">
      <c r="B95" s="2" t="s">
        <v>11</v>
      </c>
      <c r="C95" s="6" t="s">
        <v>202</v>
      </c>
      <c r="E95" s="5">
        <v>10.0</v>
      </c>
    </row>
    <row r="96">
      <c r="B96" s="2" t="s">
        <v>12</v>
      </c>
      <c r="C96" s="6" t="s">
        <v>202</v>
      </c>
      <c r="E96" s="5">
        <v>10.0</v>
      </c>
    </row>
    <row r="97">
      <c r="B97" s="2" t="s">
        <v>13</v>
      </c>
      <c r="C97" s="6" t="s">
        <v>202</v>
      </c>
      <c r="E97" s="5">
        <v>10.0</v>
      </c>
    </row>
    <row r="98">
      <c r="B98" s="2" t="s">
        <v>14</v>
      </c>
      <c r="C98" s="6" t="s">
        <v>202</v>
      </c>
      <c r="E98" s="5">
        <v>10.0</v>
      </c>
    </row>
    <row r="99">
      <c r="B99" s="2" t="s">
        <v>15</v>
      </c>
      <c r="C99" s="6" t="s">
        <v>202</v>
      </c>
      <c r="E99" s="5">
        <v>10.0</v>
      </c>
    </row>
    <row r="100">
      <c r="B100" s="2" t="s">
        <v>16</v>
      </c>
      <c r="C100" s="6" t="s">
        <v>202</v>
      </c>
      <c r="E100" s="5">
        <v>10.0</v>
      </c>
    </row>
    <row r="101">
      <c r="B101" s="2" t="s">
        <v>17</v>
      </c>
      <c r="C101" s="6" t="s">
        <v>202</v>
      </c>
      <c r="E101" s="5">
        <v>10.0</v>
      </c>
    </row>
    <row r="102">
      <c r="B102" s="2" t="s">
        <v>18</v>
      </c>
      <c r="C102" s="6" t="s">
        <v>202</v>
      </c>
      <c r="E102" s="5">
        <v>10.0</v>
      </c>
    </row>
    <row r="103">
      <c r="B103" s="2" t="s">
        <v>19</v>
      </c>
      <c r="C103" s="6" t="s">
        <v>202</v>
      </c>
      <c r="E103" s="5">
        <v>10.0</v>
      </c>
    </row>
    <row r="104">
      <c r="B104" s="2" t="s">
        <v>20</v>
      </c>
      <c r="C104" s="6" t="s">
        <v>202</v>
      </c>
      <c r="E104" s="5">
        <v>10.0</v>
      </c>
    </row>
    <row r="105">
      <c r="B105" s="2" t="s">
        <v>21</v>
      </c>
      <c r="C105" s="6" t="s">
        <v>202</v>
      </c>
      <c r="E105" s="5">
        <v>10.0</v>
      </c>
    </row>
    <row r="106">
      <c r="B106" s="2" t="s">
        <v>22</v>
      </c>
      <c r="C106" s="6" t="s">
        <v>202</v>
      </c>
      <c r="E106" s="5">
        <v>10.0</v>
      </c>
    </row>
    <row r="107">
      <c r="B107" s="2" t="s">
        <v>23</v>
      </c>
      <c r="C107" s="6" t="s">
        <v>202</v>
      </c>
      <c r="E107" s="5">
        <v>10.0</v>
      </c>
    </row>
    <row r="108">
      <c r="B108" s="2" t="s">
        <v>24</v>
      </c>
      <c r="C108" s="6" t="s">
        <v>202</v>
      </c>
      <c r="E108" s="5">
        <v>10.0</v>
      </c>
    </row>
    <row r="109">
      <c r="B109" s="2" t="s">
        <v>25</v>
      </c>
      <c r="C109" s="6" t="s">
        <v>202</v>
      </c>
      <c r="E109" s="5">
        <v>10.0</v>
      </c>
    </row>
    <row r="110">
      <c r="B110" s="2" t="s">
        <v>26</v>
      </c>
      <c r="C110" s="6" t="s">
        <v>202</v>
      </c>
      <c r="E110" s="5">
        <v>10.0</v>
      </c>
    </row>
    <row r="111">
      <c r="B111" s="2" t="s">
        <v>27</v>
      </c>
      <c r="C111" s="6" t="s">
        <v>202</v>
      </c>
      <c r="E111" s="5">
        <v>10.0</v>
      </c>
    </row>
    <row r="112">
      <c r="B112" s="2" t="s">
        <v>28</v>
      </c>
      <c r="C112" s="6" t="s">
        <v>202</v>
      </c>
      <c r="E112" s="5">
        <v>10.0</v>
      </c>
    </row>
    <row r="113">
      <c r="B113" s="2" t="s">
        <v>29</v>
      </c>
      <c r="C113" s="6" t="s">
        <v>202</v>
      </c>
      <c r="E113" s="5">
        <v>10.0</v>
      </c>
    </row>
    <row r="114">
      <c r="B114" s="2" t="s">
        <v>30</v>
      </c>
      <c r="C114" s="6" t="s">
        <v>202</v>
      </c>
      <c r="E114" s="5">
        <v>10.0</v>
      </c>
    </row>
    <row r="115">
      <c r="B115" s="2" t="s">
        <v>31</v>
      </c>
      <c r="C115" s="6" t="s">
        <v>202</v>
      </c>
      <c r="E115" s="5">
        <v>10.0</v>
      </c>
    </row>
    <row r="116">
      <c r="B116" s="2" t="s">
        <v>32</v>
      </c>
      <c r="C116" s="6" t="s">
        <v>202</v>
      </c>
      <c r="E116" s="5">
        <v>10.0</v>
      </c>
    </row>
    <row r="117">
      <c r="B117" s="2" t="s">
        <v>33</v>
      </c>
      <c r="C117" s="6" t="s">
        <v>202</v>
      </c>
      <c r="E117" s="5">
        <v>10.0</v>
      </c>
    </row>
    <row r="118">
      <c r="B118" s="2" t="s">
        <v>34</v>
      </c>
      <c r="C118" s="6" t="s">
        <v>202</v>
      </c>
      <c r="E118" s="5">
        <v>10.0</v>
      </c>
    </row>
    <row r="119">
      <c r="B119" s="2" t="s">
        <v>35</v>
      </c>
      <c r="C119" s="6" t="s">
        <v>202</v>
      </c>
      <c r="E119" s="5">
        <v>10.0</v>
      </c>
    </row>
    <row r="120">
      <c r="B120" s="2" t="s">
        <v>36</v>
      </c>
      <c r="C120" s="6" t="s">
        <v>202</v>
      </c>
      <c r="E120" s="5">
        <v>10.0</v>
      </c>
    </row>
    <row r="121">
      <c r="B121" s="2" t="s">
        <v>37</v>
      </c>
      <c r="C121" s="6" t="s">
        <v>202</v>
      </c>
      <c r="E121" s="5">
        <v>10.0</v>
      </c>
    </row>
    <row r="122">
      <c r="B122" s="2" t="s">
        <v>38</v>
      </c>
      <c r="C122" s="6" t="s">
        <v>202</v>
      </c>
      <c r="E122" s="5">
        <v>10.0</v>
      </c>
    </row>
    <row r="123">
      <c r="B123" s="2" t="s">
        <v>39</v>
      </c>
      <c r="C123" s="6" t="s">
        <v>202</v>
      </c>
      <c r="E123" s="5">
        <v>10.0</v>
      </c>
    </row>
    <row r="124">
      <c r="B124" s="2" t="s">
        <v>40</v>
      </c>
      <c r="C124" s="6" t="s">
        <v>202</v>
      </c>
      <c r="E124" s="5">
        <v>10.0</v>
      </c>
    </row>
    <row r="125">
      <c r="B125" s="2" t="s">
        <v>41</v>
      </c>
      <c r="C125" s="6" t="s">
        <v>202</v>
      </c>
      <c r="E125" s="5">
        <v>10.0</v>
      </c>
    </row>
    <row r="126">
      <c r="B126" s="2" t="s">
        <v>42</v>
      </c>
      <c r="C126" s="6" t="s">
        <v>202</v>
      </c>
      <c r="E126" s="5">
        <v>10.0</v>
      </c>
    </row>
    <row r="127">
      <c r="B127" s="2" t="s">
        <v>43</v>
      </c>
      <c r="C127" s="6" t="s">
        <v>202</v>
      </c>
      <c r="E127" s="5">
        <v>10.0</v>
      </c>
    </row>
    <row r="128">
      <c r="B128" s="2" t="s">
        <v>44</v>
      </c>
      <c r="C128" s="6" t="s">
        <v>202</v>
      </c>
      <c r="E128" s="5">
        <v>10.0</v>
      </c>
    </row>
    <row r="129">
      <c r="B129" s="2" t="s">
        <v>45</v>
      </c>
      <c r="C129" s="6" t="s">
        <v>202</v>
      </c>
      <c r="E129" s="5">
        <v>10.0</v>
      </c>
    </row>
    <row r="130">
      <c r="B130" s="2" t="s">
        <v>46</v>
      </c>
      <c r="C130" s="6" t="s">
        <v>202</v>
      </c>
      <c r="E130" s="5">
        <v>10.0</v>
      </c>
    </row>
    <row r="131">
      <c r="B131" s="2" t="s">
        <v>47</v>
      </c>
      <c r="C131" s="6" t="s">
        <v>202</v>
      </c>
      <c r="E131" s="5">
        <v>10.0</v>
      </c>
    </row>
    <row r="132">
      <c r="B132" s="2" t="s">
        <v>48</v>
      </c>
      <c r="C132" s="6" t="s">
        <v>202</v>
      </c>
      <c r="E132" s="5">
        <v>10.0</v>
      </c>
    </row>
    <row r="133">
      <c r="B133" s="2" t="s">
        <v>49</v>
      </c>
      <c r="C133" s="6" t="s">
        <v>202</v>
      </c>
      <c r="E133" s="5">
        <v>10.0</v>
      </c>
    </row>
    <row r="134">
      <c r="B134" s="2" t="s">
        <v>50</v>
      </c>
      <c r="C134" s="6" t="s">
        <v>202</v>
      </c>
      <c r="E134" s="5">
        <v>10.0</v>
      </c>
    </row>
    <row r="135">
      <c r="B135" s="2" t="s">
        <v>51</v>
      </c>
      <c r="C135" s="6" t="s">
        <v>202</v>
      </c>
      <c r="E135" s="5">
        <v>10.0</v>
      </c>
    </row>
    <row r="136">
      <c r="B136" s="2" t="s">
        <v>52</v>
      </c>
      <c r="C136" s="6" t="s">
        <v>202</v>
      </c>
      <c r="E136" s="5">
        <v>10.0</v>
      </c>
    </row>
    <row r="137">
      <c r="B137" s="2" t="s">
        <v>53</v>
      </c>
      <c r="C137" s="6" t="s">
        <v>202</v>
      </c>
      <c r="E137" s="5">
        <v>10.0</v>
      </c>
    </row>
    <row r="138">
      <c r="B138" s="2" t="s">
        <v>54</v>
      </c>
      <c r="C138" s="6" t="s">
        <v>202</v>
      </c>
      <c r="E138" s="5">
        <v>10.0</v>
      </c>
    </row>
    <row r="139">
      <c r="B139" s="2" t="s">
        <v>55</v>
      </c>
      <c r="C139" s="6" t="s">
        <v>202</v>
      </c>
      <c r="E139" s="5">
        <v>10.0</v>
      </c>
    </row>
    <row r="140">
      <c r="B140" s="2" t="s">
        <v>56</v>
      </c>
      <c r="C140" s="6" t="s">
        <v>202</v>
      </c>
      <c r="E140" s="5">
        <v>10.0</v>
      </c>
    </row>
    <row r="141">
      <c r="B141" s="2" t="s">
        <v>57</v>
      </c>
      <c r="C141" s="6" t="s">
        <v>202</v>
      </c>
      <c r="E141" s="5">
        <v>10.0</v>
      </c>
    </row>
    <row r="142">
      <c r="B142" s="2" t="s">
        <v>58</v>
      </c>
      <c r="C142" s="6" t="s">
        <v>202</v>
      </c>
      <c r="E142" s="5">
        <v>10.0</v>
      </c>
    </row>
    <row r="143">
      <c r="B143" s="2" t="s">
        <v>59</v>
      </c>
      <c r="C143" s="6" t="s">
        <v>202</v>
      </c>
      <c r="E143" s="5">
        <v>10.0</v>
      </c>
    </row>
    <row r="144">
      <c r="B144" s="2" t="s">
        <v>60</v>
      </c>
      <c r="C144" s="6" t="s">
        <v>202</v>
      </c>
      <c r="E144" s="5">
        <v>10.0</v>
      </c>
    </row>
    <row r="145">
      <c r="B145" s="2" t="s">
        <v>61</v>
      </c>
      <c r="C145" s="6" t="s">
        <v>202</v>
      </c>
      <c r="E145" s="5">
        <v>10.0</v>
      </c>
    </row>
    <row r="146">
      <c r="B146" s="2" t="s">
        <v>62</v>
      </c>
      <c r="C146" s="6" t="s">
        <v>202</v>
      </c>
      <c r="E146" s="5">
        <v>10.0</v>
      </c>
    </row>
    <row r="147">
      <c r="B147" s="2" t="s">
        <v>63</v>
      </c>
      <c r="C147" s="6" t="s">
        <v>202</v>
      </c>
      <c r="E147" s="5">
        <v>10.0</v>
      </c>
    </row>
    <row r="148">
      <c r="B148" s="2" t="s">
        <v>64</v>
      </c>
      <c r="C148" s="6" t="s">
        <v>202</v>
      </c>
      <c r="E148" s="5">
        <v>10.0</v>
      </c>
    </row>
    <row r="149">
      <c r="B149" s="2" t="s">
        <v>65</v>
      </c>
      <c r="C149" s="6" t="s">
        <v>202</v>
      </c>
      <c r="E149" s="5">
        <v>10.0</v>
      </c>
    </row>
    <row r="150">
      <c r="B150" s="2" t="s">
        <v>66</v>
      </c>
      <c r="C150" s="6" t="s">
        <v>202</v>
      </c>
      <c r="E150" s="5">
        <v>10.0</v>
      </c>
    </row>
    <row r="151">
      <c r="B151" s="2" t="s">
        <v>67</v>
      </c>
      <c r="C151" s="6" t="s">
        <v>202</v>
      </c>
      <c r="E151" s="5">
        <v>10.0</v>
      </c>
    </row>
    <row r="152">
      <c r="B152" s="2" t="s">
        <v>68</v>
      </c>
      <c r="C152" s="6" t="s">
        <v>202</v>
      </c>
      <c r="E152" s="5">
        <v>10.0</v>
      </c>
    </row>
    <row r="153">
      <c r="B153" s="2" t="s">
        <v>69</v>
      </c>
      <c r="C153" s="6" t="s">
        <v>202</v>
      </c>
      <c r="E153" s="5">
        <v>10.0</v>
      </c>
    </row>
    <row r="154">
      <c r="B154" s="2" t="s">
        <v>70</v>
      </c>
      <c r="C154" s="6" t="s">
        <v>202</v>
      </c>
      <c r="E154" s="5">
        <v>10.0</v>
      </c>
    </row>
    <row r="155">
      <c r="B155" s="2" t="s">
        <v>71</v>
      </c>
      <c r="C155" s="6" t="s">
        <v>202</v>
      </c>
      <c r="E155" s="5">
        <v>10.0</v>
      </c>
    </row>
    <row r="156">
      <c r="B156" s="2" t="s">
        <v>72</v>
      </c>
      <c r="C156" s="6" t="s">
        <v>202</v>
      </c>
      <c r="E156" s="5">
        <v>10.0</v>
      </c>
    </row>
    <row r="157">
      <c r="B157" s="2" t="s">
        <v>73</v>
      </c>
      <c r="C157" s="6" t="s">
        <v>202</v>
      </c>
      <c r="E157" s="5">
        <v>10.0</v>
      </c>
    </row>
    <row r="158">
      <c r="B158" s="2" t="s">
        <v>74</v>
      </c>
      <c r="C158" s="6" t="s">
        <v>202</v>
      </c>
      <c r="E158" s="5">
        <v>10.0</v>
      </c>
    </row>
    <row r="159">
      <c r="B159" s="2" t="s">
        <v>75</v>
      </c>
      <c r="C159" s="6" t="s">
        <v>202</v>
      </c>
      <c r="E159" s="5">
        <v>10.0</v>
      </c>
    </row>
    <row r="160">
      <c r="B160" s="2" t="s">
        <v>76</v>
      </c>
      <c r="C160" s="6" t="s">
        <v>202</v>
      </c>
      <c r="E160" s="5">
        <v>10.0</v>
      </c>
    </row>
    <row r="161">
      <c r="B161" s="2" t="s">
        <v>77</v>
      </c>
      <c r="C161" s="6" t="s">
        <v>202</v>
      </c>
      <c r="E161" s="5">
        <v>10.0</v>
      </c>
    </row>
    <row r="162">
      <c r="B162" s="2" t="s">
        <v>78</v>
      </c>
      <c r="C162" s="6" t="s">
        <v>202</v>
      </c>
      <c r="E162" s="5">
        <v>10.0</v>
      </c>
    </row>
    <row r="163">
      <c r="B163" s="2" t="s">
        <v>79</v>
      </c>
      <c r="C163" s="6" t="s">
        <v>202</v>
      </c>
      <c r="E163" s="5">
        <v>10.0</v>
      </c>
    </row>
    <row r="164">
      <c r="B164" s="2" t="s">
        <v>80</v>
      </c>
      <c r="C164" s="6" t="s">
        <v>202</v>
      </c>
      <c r="E164" s="5">
        <v>10.0</v>
      </c>
    </row>
    <row r="165">
      <c r="B165" s="2" t="s">
        <v>81</v>
      </c>
      <c r="C165" s="6" t="s">
        <v>202</v>
      </c>
      <c r="E165" s="5">
        <v>10.0</v>
      </c>
    </row>
    <row r="166">
      <c r="B166" s="2" t="s">
        <v>82</v>
      </c>
      <c r="C166" s="6" t="s">
        <v>202</v>
      </c>
      <c r="E166" s="5">
        <v>10.0</v>
      </c>
    </row>
    <row r="167">
      <c r="B167" s="2" t="s">
        <v>83</v>
      </c>
      <c r="C167" s="6" t="s">
        <v>202</v>
      </c>
      <c r="E167" s="5">
        <v>10.0</v>
      </c>
    </row>
    <row r="168">
      <c r="B168" s="2" t="s">
        <v>84</v>
      </c>
      <c r="C168" s="6" t="s">
        <v>202</v>
      </c>
      <c r="E168" s="5">
        <v>10.0</v>
      </c>
    </row>
    <row r="169">
      <c r="B169" s="2" t="s">
        <v>85</v>
      </c>
      <c r="C169" s="6" t="s">
        <v>202</v>
      </c>
      <c r="E169" s="5">
        <v>10.0</v>
      </c>
    </row>
    <row r="170">
      <c r="B170" s="2" t="s">
        <v>86</v>
      </c>
      <c r="C170" s="6" t="s">
        <v>202</v>
      </c>
      <c r="E170" s="5">
        <v>10.0</v>
      </c>
    </row>
    <row r="171">
      <c r="B171" s="2" t="s">
        <v>87</v>
      </c>
      <c r="C171" s="6" t="s">
        <v>202</v>
      </c>
      <c r="E171" s="5">
        <v>10.0</v>
      </c>
    </row>
    <row r="172">
      <c r="B172" s="2" t="s">
        <v>88</v>
      </c>
      <c r="C172" s="6" t="s">
        <v>202</v>
      </c>
      <c r="E172" s="5">
        <v>10.0</v>
      </c>
    </row>
    <row r="173">
      <c r="B173" s="2" t="s">
        <v>89</v>
      </c>
      <c r="C173" s="6" t="s">
        <v>202</v>
      </c>
      <c r="E173" s="5">
        <v>10.0</v>
      </c>
    </row>
    <row r="174">
      <c r="B174" s="2" t="s">
        <v>90</v>
      </c>
      <c r="C174" s="6" t="s">
        <v>202</v>
      </c>
      <c r="E174" s="5">
        <v>10.0</v>
      </c>
    </row>
    <row r="175">
      <c r="B175" s="2" t="s">
        <v>91</v>
      </c>
      <c r="C175" s="6" t="s">
        <v>202</v>
      </c>
      <c r="E175" s="5">
        <v>10.0</v>
      </c>
    </row>
    <row r="176">
      <c r="B176" s="2" t="s">
        <v>92</v>
      </c>
      <c r="C176" s="6" t="s">
        <v>202</v>
      </c>
      <c r="E176" s="5">
        <v>10.0</v>
      </c>
    </row>
    <row r="177">
      <c r="B177" s="2" t="s">
        <v>93</v>
      </c>
      <c r="C177" s="6" t="s">
        <v>202</v>
      </c>
      <c r="E177" s="5">
        <v>10.0</v>
      </c>
    </row>
    <row r="178">
      <c r="B178" s="2" t="s">
        <v>94</v>
      </c>
      <c r="C178" s="6" t="s">
        <v>202</v>
      </c>
      <c r="E178" s="5">
        <v>10.0</v>
      </c>
    </row>
    <row r="179">
      <c r="B179" s="2" t="s">
        <v>95</v>
      </c>
      <c r="C179" s="6" t="s">
        <v>202</v>
      </c>
      <c r="E179" s="5">
        <v>10.0</v>
      </c>
    </row>
    <row r="180">
      <c r="B180" s="2" t="s">
        <v>96</v>
      </c>
      <c r="C180" s="6" t="s">
        <v>202</v>
      </c>
      <c r="E180" s="5">
        <v>10.0</v>
      </c>
    </row>
    <row r="181">
      <c r="B181" s="2" t="s">
        <v>97</v>
      </c>
      <c r="C181" s="6" t="s">
        <v>202</v>
      </c>
      <c r="E181" s="5">
        <v>10.0</v>
      </c>
    </row>
    <row r="182">
      <c r="B182" s="2" t="s">
        <v>98</v>
      </c>
      <c r="C182" s="6" t="s">
        <v>202</v>
      </c>
      <c r="E182" s="5">
        <v>10.0</v>
      </c>
    </row>
    <row r="183">
      <c r="B183" s="2" t="s">
        <v>99</v>
      </c>
      <c r="C183" s="6" t="s">
        <v>202</v>
      </c>
      <c r="E183" s="5">
        <v>10.0</v>
      </c>
    </row>
    <row r="184">
      <c r="B184" s="2" t="s">
        <v>100</v>
      </c>
      <c r="C184" s="6" t="s">
        <v>202</v>
      </c>
      <c r="E184" s="5">
        <v>10.0</v>
      </c>
    </row>
    <row r="185">
      <c r="B185" s="2" t="s">
        <v>101</v>
      </c>
      <c r="C185" s="6" t="s">
        <v>202</v>
      </c>
      <c r="E185" s="5">
        <v>10.0</v>
      </c>
    </row>
    <row r="186">
      <c r="B186" s="2" t="s">
        <v>102</v>
      </c>
      <c r="C186" s="6" t="s">
        <v>202</v>
      </c>
      <c r="E186" s="5">
        <v>10.0</v>
      </c>
    </row>
    <row r="187">
      <c r="B187" s="2" t="s">
        <v>103</v>
      </c>
      <c r="C187" s="6" t="s">
        <v>202</v>
      </c>
      <c r="E187" s="5">
        <v>10.0</v>
      </c>
    </row>
    <row r="188">
      <c r="B188" s="2" t="s">
        <v>104</v>
      </c>
      <c r="C188" s="6" t="s">
        <v>202</v>
      </c>
      <c r="E188" s="5">
        <v>10.0</v>
      </c>
    </row>
    <row r="189">
      <c r="B189" s="2" t="s">
        <v>105</v>
      </c>
      <c r="C189" s="6" t="s">
        <v>202</v>
      </c>
      <c r="E189" s="5">
        <v>10.0</v>
      </c>
    </row>
    <row r="190">
      <c r="B190" s="2" t="s">
        <v>106</v>
      </c>
      <c r="C190" s="6" t="s">
        <v>202</v>
      </c>
      <c r="E190" s="5">
        <v>10.0</v>
      </c>
    </row>
    <row r="191">
      <c r="B191" s="2" t="s">
        <v>107</v>
      </c>
      <c r="C191" s="6" t="s">
        <v>202</v>
      </c>
      <c r="E191" s="5">
        <v>10.0</v>
      </c>
    </row>
    <row r="192">
      <c r="B192" s="2" t="s">
        <v>108</v>
      </c>
      <c r="C192" s="6" t="s">
        <v>202</v>
      </c>
      <c r="E192" s="5">
        <v>10.0</v>
      </c>
    </row>
    <row r="193">
      <c r="B193" s="2" t="s">
        <v>109</v>
      </c>
      <c r="C193" s="6" t="s">
        <v>202</v>
      </c>
      <c r="E193" s="5">
        <v>10.0</v>
      </c>
    </row>
    <row r="194">
      <c r="B194" s="2" t="s">
        <v>110</v>
      </c>
      <c r="C194" s="6" t="s">
        <v>202</v>
      </c>
      <c r="E194" s="5">
        <v>10.0</v>
      </c>
    </row>
    <row r="195">
      <c r="B195" s="2" t="s">
        <v>111</v>
      </c>
      <c r="C195" s="6" t="s">
        <v>202</v>
      </c>
      <c r="E195" s="5">
        <v>10.0</v>
      </c>
    </row>
    <row r="196">
      <c r="B196" s="2" t="s">
        <v>112</v>
      </c>
      <c r="C196" s="6" t="s">
        <v>202</v>
      </c>
      <c r="E196" s="5">
        <v>10.0</v>
      </c>
    </row>
    <row r="197">
      <c r="B197" s="2" t="s">
        <v>113</v>
      </c>
      <c r="C197" s="6" t="s">
        <v>202</v>
      </c>
      <c r="E197" s="5">
        <v>10.0</v>
      </c>
    </row>
    <row r="198">
      <c r="B198" s="2" t="s">
        <v>114</v>
      </c>
      <c r="C198" s="6" t="s">
        <v>202</v>
      </c>
      <c r="E198" s="5">
        <v>10.0</v>
      </c>
    </row>
    <row r="199">
      <c r="B199" s="2" t="s">
        <v>115</v>
      </c>
      <c r="C199" s="6" t="s">
        <v>202</v>
      </c>
      <c r="E199" s="5">
        <v>10.0</v>
      </c>
    </row>
    <row r="200">
      <c r="B200" s="2" t="s">
        <v>116</v>
      </c>
      <c r="C200" s="6" t="s">
        <v>202</v>
      </c>
      <c r="E200" s="5">
        <v>10.0</v>
      </c>
    </row>
    <row r="201">
      <c r="E201" s="9"/>
    </row>
    <row r="202">
      <c r="E202" s="9"/>
    </row>
    <row r="203">
      <c r="E203" s="9"/>
    </row>
    <row r="204">
      <c r="E204" s="9"/>
    </row>
    <row r="205">
      <c r="E205" s="9"/>
    </row>
    <row r="206">
      <c r="E206" s="9"/>
    </row>
    <row r="207">
      <c r="E207" s="9"/>
    </row>
    <row r="208">
      <c r="E208" s="9"/>
    </row>
    <row r="209">
      <c r="E209" s="9"/>
    </row>
    <row r="210">
      <c r="E210" s="9"/>
    </row>
    <row r="211">
      <c r="E211" s="9"/>
    </row>
    <row r="212">
      <c r="E212" s="9"/>
    </row>
    <row r="213">
      <c r="E213" s="9"/>
    </row>
    <row r="214">
      <c r="E214" s="9"/>
    </row>
    <row r="215">
      <c r="E215" s="9"/>
    </row>
    <row r="216">
      <c r="E216" s="9"/>
    </row>
    <row r="217">
      <c r="E217" s="9"/>
    </row>
    <row r="218">
      <c r="E218" s="9"/>
    </row>
    <row r="219">
      <c r="E219" s="9"/>
    </row>
    <row r="220">
      <c r="E220" s="9"/>
    </row>
    <row r="221">
      <c r="E221" s="9"/>
    </row>
    <row r="222">
      <c r="E222" s="9"/>
    </row>
    <row r="223">
      <c r="E223" s="9"/>
    </row>
    <row r="224">
      <c r="E224" s="9"/>
    </row>
    <row r="225">
      <c r="E225" s="9"/>
    </row>
    <row r="226">
      <c r="E226" s="9"/>
    </row>
    <row r="227">
      <c r="E227" s="9"/>
    </row>
    <row r="228">
      <c r="E228" s="9"/>
    </row>
    <row r="229">
      <c r="E229" s="9"/>
    </row>
    <row r="230">
      <c r="E230" s="9"/>
    </row>
    <row r="231">
      <c r="E231" s="9"/>
    </row>
    <row r="232">
      <c r="E232" s="9"/>
    </row>
    <row r="233">
      <c r="E233" s="9"/>
    </row>
    <row r="234">
      <c r="E234" s="9"/>
    </row>
    <row r="235">
      <c r="E235" s="9"/>
    </row>
    <row r="236">
      <c r="E236" s="9"/>
    </row>
    <row r="237">
      <c r="E237" s="9"/>
    </row>
    <row r="238">
      <c r="E238" s="9"/>
    </row>
    <row r="239">
      <c r="E239" s="9"/>
    </row>
    <row r="240">
      <c r="E240" s="9"/>
    </row>
    <row r="241">
      <c r="E241" s="9"/>
    </row>
    <row r="242">
      <c r="E242" s="9"/>
    </row>
    <row r="243">
      <c r="E243" s="9"/>
    </row>
    <row r="244">
      <c r="E244" s="9"/>
    </row>
    <row r="245">
      <c r="E245" s="9"/>
    </row>
    <row r="246">
      <c r="E246" s="9"/>
    </row>
    <row r="247">
      <c r="E247" s="9"/>
    </row>
    <row r="248">
      <c r="E248" s="9"/>
    </row>
    <row r="249">
      <c r="E249" s="9"/>
    </row>
    <row r="250">
      <c r="E250" s="9"/>
    </row>
    <row r="251">
      <c r="E251" s="9"/>
    </row>
    <row r="252">
      <c r="E252" s="9"/>
    </row>
    <row r="253">
      <c r="E253" s="9"/>
    </row>
    <row r="254">
      <c r="E254" s="9"/>
    </row>
    <row r="255">
      <c r="E255" s="9"/>
    </row>
    <row r="256">
      <c r="E256" s="9"/>
    </row>
    <row r="257">
      <c r="E257" s="9"/>
    </row>
    <row r="258">
      <c r="E258" s="9"/>
    </row>
    <row r="259">
      <c r="E259" s="9"/>
    </row>
    <row r="260">
      <c r="E260" s="9"/>
    </row>
    <row r="261">
      <c r="E261" s="9"/>
    </row>
    <row r="262">
      <c r="E262" s="9"/>
    </row>
    <row r="263">
      <c r="E263" s="9"/>
    </row>
    <row r="264">
      <c r="E264" s="9"/>
    </row>
    <row r="265">
      <c r="E265" s="9"/>
    </row>
    <row r="266">
      <c r="E266" s="9"/>
    </row>
    <row r="267">
      <c r="E267" s="9"/>
    </row>
    <row r="268">
      <c r="E268" s="9"/>
    </row>
    <row r="269">
      <c r="E269" s="9"/>
    </row>
    <row r="270">
      <c r="E270" s="9"/>
    </row>
    <row r="271">
      <c r="E271" s="9"/>
    </row>
    <row r="272">
      <c r="E272" s="9"/>
    </row>
    <row r="273">
      <c r="E273" s="9"/>
    </row>
    <row r="274">
      <c r="E274" s="9"/>
    </row>
    <row r="275">
      <c r="E275" s="9"/>
    </row>
    <row r="276">
      <c r="E276" s="9"/>
    </row>
    <row r="277">
      <c r="E277" s="9"/>
    </row>
    <row r="278">
      <c r="E278" s="9"/>
    </row>
    <row r="279">
      <c r="E279" s="9"/>
    </row>
    <row r="280">
      <c r="E280" s="9"/>
    </row>
    <row r="281">
      <c r="E281" s="9"/>
    </row>
    <row r="282">
      <c r="E282" s="9"/>
    </row>
    <row r="283">
      <c r="E283" s="9"/>
    </row>
    <row r="284">
      <c r="E284" s="9"/>
    </row>
    <row r="285">
      <c r="E285" s="9"/>
    </row>
    <row r="286">
      <c r="E286" s="9"/>
    </row>
    <row r="287">
      <c r="E287" s="9"/>
    </row>
    <row r="288">
      <c r="E288" s="9"/>
    </row>
    <row r="289">
      <c r="E289" s="9"/>
    </row>
    <row r="290">
      <c r="E290" s="9"/>
    </row>
    <row r="291">
      <c r="E291" s="9"/>
    </row>
    <row r="292">
      <c r="E292" s="9"/>
    </row>
    <row r="293">
      <c r="E293" s="9"/>
    </row>
    <row r="294">
      <c r="E294" s="9"/>
    </row>
    <row r="295">
      <c r="E295" s="9"/>
    </row>
    <row r="296">
      <c r="E296" s="9"/>
    </row>
    <row r="297">
      <c r="E297" s="9"/>
    </row>
    <row r="298">
      <c r="E298" s="9"/>
    </row>
    <row r="299">
      <c r="E299" s="9"/>
    </row>
    <row r="300">
      <c r="E300" s="9"/>
    </row>
    <row r="301">
      <c r="E301" s="9"/>
    </row>
    <row r="302">
      <c r="E302" s="9"/>
    </row>
    <row r="303">
      <c r="E303" s="9"/>
    </row>
    <row r="304">
      <c r="E304" s="9"/>
    </row>
    <row r="305">
      <c r="E305" s="9"/>
    </row>
    <row r="306">
      <c r="E306" s="9"/>
    </row>
    <row r="307">
      <c r="E307" s="9"/>
    </row>
    <row r="308">
      <c r="E308" s="9"/>
    </row>
    <row r="309">
      <c r="E309" s="9"/>
    </row>
    <row r="310">
      <c r="E310" s="9"/>
    </row>
    <row r="311">
      <c r="E311" s="9"/>
    </row>
    <row r="312">
      <c r="E312" s="9"/>
    </row>
    <row r="313">
      <c r="E313" s="9"/>
    </row>
    <row r="314">
      <c r="E314" s="9"/>
    </row>
    <row r="315">
      <c r="E315" s="9"/>
    </row>
    <row r="316">
      <c r="E316" s="9"/>
    </row>
    <row r="317">
      <c r="E317" s="9"/>
    </row>
    <row r="318">
      <c r="E318" s="9"/>
    </row>
    <row r="319">
      <c r="E319" s="9"/>
    </row>
    <row r="320">
      <c r="E320" s="9"/>
    </row>
    <row r="321">
      <c r="E321" s="9"/>
    </row>
    <row r="322">
      <c r="E322" s="9"/>
    </row>
    <row r="323">
      <c r="E323" s="9"/>
    </row>
    <row r="324">
      <c r="E324" s="9"/>
    </row>
    <row r="325">
      <c r="E325" s="9"/>
    </row>
    <row r="326">
      <c r="E326" s="9"/>
    </row>
    <row r="327">
      <c r="E327" s="9"/>
    </row>
    <row r="328">
      <c r="E328" s="9"/>
    </row>
    <row r="329">
      <c r="E329" s="9"/>
    </row>
    <row r="330">
      <c r="E330" s="9"/>
    </row>
    <row r="331">
      <c r="E331" s="9"/>
    </row>
    <row r="332">
      <c r="E332" s="9"/>
    </row>
    <row r="333">
      <c r="E333" s="9"/>
    </row>
    <row r="334">
      <c r="E334" s="9"/>
    </row>
    <row r="335">
      <c r="E335" s="9"/>
    </row>
    <row r="336">
      <c r="E336" s="9"/>
    </row>
    <row r="337">
      <c r="E337" s="9"/>
    </row>
    <row r="338">
      <c r="E338" s="9"/>
    </row>
    <row r="339">
      <c r="E339" s="9"/>
    </row>
    <row r="340">
      <c r="E340" s="9"/>
    </row>
    <row r="341">
      <c r="E341" s="9"/>
    </row>
    <row r="342">
      <c r="E342" s="9"/>
    </row>
    <row r="343">
      <c r="E343" s="9"/>
    </row>
    <row r="344">
      <c r="E344" s="9"/>
    </row>
    <row r="345">
      <c r="E345" s="9"/>
    </row>
    <row r="346">
      <c r="E346" s="9"/>
    </row>
    <row r="347">
      <c r="E347" s="9"/>
    </row>
    <row r="348">
      <c r="E348" s="9"/>
    </row>
    <row r="349">
      <c r="E349" s="9"/>
    </row>
    <row r="350">
      <c r="E350" s="9"/>
    </row>
    <row r="351">
      <c r="E351" s="9"/>
    </row>
    <row r="352">
      <c r="E352" s="9"/>
    </row>
    <row r="353">
      <c r="E353" s="9"/>
    </row>
    <row r="354">
      <c r="E354" s="9"/>
    </row>
    <row r="355">
      <c r="E355" s="9"/>
    </row>
    <row r="356">
      <c r="E356" s="9"/>
    </row>
    <row r="357">
      <c r="E357" s="9"/>
    </row>
    <row r="358">
      <c r="E358" s="9"/>
    </row>
    <row r="359">
      <c r="E359" s="9"/>
    </row>
    <row r="360">
      <c r="E360" s="9"/>
    </row>
    <row r="361">
      <c r="E361" s="9"/>
    </row>
    <row r="362">
      <c r="E362" s="9"/>
    </row>
    <row r="363">
      <c r="E363" s="9"/>
    </row>
    <row r="364">
      <c r="E364" s="9"/>
    </row>
    <row r="365">
      <c r="E365" s="9"/>
    </row>
    <row r="366">
      <c r="E366" s="9"/>
    </row>
    <row r="367">
      <c r="E367" s="9"/>
    </row>
    <row r="368">
      <c r="E368" s="9"/>
    </row>
    <row r="369">
      <c r="E369" s="9"/>
    </row>
    <row r="370">
      <c r="E370" s="9"/>
    </row>
    <row r="371">
      <c r="E371" s="9"/>
    </row>
    <row r="372">
      <c r="E372" s="9"/>
    </row>
    <row r="373">
      <c r="E373" s="9"/>
    </row>
    <row r="374">
      <c r="E374" s="9"/>
    </row>
    <row r="375">
      <c r="E375" s="9"/>
    </row>
    <row r="376">
      <c r="E376" s="9"/>
    </row>
    <row r="377">
      <c r="E377" s="9"/>
    </row>
    <row r="378">
      <c r="E378" s="9"/>
    </row>
    <row r="379">
      <c r="E379" s="9"/>
    </row>
    <row r="380">
      <c r="E380" s="9"/>
    </row>
    <row r="381">
      <c r="E381" s="9"/>
    </row>
    <row r="382">
      <c r="E382" s="9"/>
    </row>
    <row r="383">
      <c r="E383" s="9"/>
    </row>
    <row r="384">
      <c r="E384" s="9"/>
    </row>
    <row r="385">
      <c r="E385" s="9"/>
    </row>
    <row r="386">
      <c r="E386" s="9"/>
    </row>
    <row r="387">
      <c r="E387" s="9"/>
    </row>
    <row r="388">
      <c r="E388" s="9"/>
    </row>
    <row r="389">
      <c r="E389" s="9"/>
    </row>
    <row r="390">
      <c r="E390" s="9"/>
    </row>
    <row r="391">
      <c r="E391" s="9"/>
    </row>
    <row r="392">
      <c r="E392" s="9"/>
    </row>
    <row r="393">
      <c r="E393" s="9"/>
    </row>
    <row r="394">
      <c r="E394" s="9"/>
    </row>
    <row r="395">
      <c r="E395" s="9"/>
    </row>
    <row r="396">
      <c r="E396" s="9"/>
    </row>
    <row r="397">
      <c r="E397" s="9"/>
    </row>
    <row r="398">
      <c r="E398" s="9"/>
    </row>
    <row r="399">
      <c r="E399" s="9"/>
    </row>
    <row r="400">
      <c r="E400" s="9"/>
    </row>
    <row r="401">
      <c r="E401" s="9"/>
    </row>
    <row r="402">
      <c r="E402" s="9"/>
    </row>
    <row r="403">
      <c r="E403" s="9"/>
    </row>
    <row r="404">
      <c r="E404" s="9"/>
    </row>
    <row r="405">
      <c r="E405" s="9"/>
    </row>
    <row r="406">
      <c r="E406" s="9"/>
    </row>
    <row r="407">
      <c r="E407" s="9"/>
    </row>
    <row r="408">
      <c r="E408" s="9"/>
    </row>
    <row r="409">
      <c r="E409" s="9"/>
    </row>
    <row r="410">
      <c r="E410" s="9"/>
    </row>
    <row r="411">
      <c r="E411" s="9"/>
    </row>
    <row r="412">
      <c r="E412" s="9"/>
    </row>
    <row r="413">
      <c r="E413" s="9"/>
    </row>
    <row r="414">
      <c r="E414" s="9"/>
    </row>
    <row r="415">
      <c r="E415" s="9"/>
    </row>
    <row r="416">
      <c r="E416" s="9"/>
    </row>
    <row r="417">
      <c r="E417" s="9"/>
    </row>
    <row r="418">
      <c r="E418" s="9"/>
    </row>
    <row r="419">
      <c r="E419" s="9"/>
    </row>
    <row r="420">
      <c r="E420" s="9"/>
    </row>
    <row r="421">
      <c r="E421" s="9"/>
    </row>
    <row r="422">
      <c r="E422" s="9"/>
    </row>
    <row r="423">
      <c r="E423" s="9"/>
    </row>
    <row r="424">
      <c r="E424" s="9"/>
    </row>
    <row r="425">
      <c r="E425" s="9"/>
    </row>
    <row r="426">
      <c r="E426" s="9"/>
    </row>
    <row r="427">
      <c r="E427" s="9"/>
    </row>
    <row r="428">
      <c r="E428" s="9"/>
    </row>
    <row r="429">
      <c r="E429" s="9"/>
    </row>
    <row r="430">
      <c r="E430" s="9"/>
    </row>
    <row r="431">
      <c r="E431" s="9"/>
    </row>
    <row r="432">
      <c r="E432" s="9"/>
    </row>
    <row r="433">
      <c r="E433" s="9"/>
    </row>
    <row r="434">
      <c r="E434" s="9"/>
    </row>
    <row r="435">
      <c r="E435" s="9"/>
    </row>
    <row r="436">
      <c r="E436" s="9"/>
    </row>
    <row r="437">
      <c r="E437" s="9"/>
    </row>
    <row r="438">
      <c r="E438" s="9"/>
    </row>
    <row r="439">
      <c r="E439" s="9"/>
    </row>
    <row r="440">
      <c r="E440" s="9"/>
    </row>
    <row r="441">
      <c r="E441" s="9"/>
    </row>
    <row r="442">
      <c r="E442" s="9"/>
    </row>
    <row r="443">
      <c r="E443" s="9"/>
    </row>
    <row r="444">
      <c r="E444" s="9"/>
    </row>
    <row r="445">
      <c r="E445" s="9"/>
    </row>
    <row r="446">
      <c r="E446" s="9"/>
    </row>
    <row r="447">
      <c r="E447" s="9"/>
    </row>
    <row r="448">
      <c r="E448" s="9"/>
    </row>
    <row r="449">
      <c r="E449" s="9"/>
    </row>
    <row r="450">
      <c r="E450" s="9"/>
    </row>
    <row r="451">
      <c r="E451" s="9"/>
    </row>
    <row r="452">
      <c r="E452" s="9"/>
    </row>
    <row r="453">
      <c r="E453" s="9"/>
    </row>
    <row r="454">
      <c r="E454" s="9"/>
    </row>
    <row r="455">
      <c r="E455" s="9"/>
    </row>
    <row r="456">
      <c r="E456" s="9"/>
    </row>
    <row r="457">
      <c r="E457" s="9"/>
    </row>
    <row r="458">
      <c r="E458" s="9"/>
    </row>
    <row r="459">
      <c r="E459" s="9"/>
    </row>
    <row r="460">
      <c r="E460" s="9"/>
    </row>
    <row r="461">
      <c r="E461" s="9"/>
    </row>
    <row r="462">
      <c r="E462" s="9"/>
    </row>
    <row r="463">
      <c r="E463" s="9"/>
    </row>
    <row r="464">
      <c r="E464" s="9"/>
    </row>
    <row r="465">
      <c r="E465" s="9"/>
    </row>
    <row r="466">
      <c r="E466" s="9"/>
    </row>
    <row r="467">
      <c r="E467" s="9"/>
    </row>
    <row r="468">
      <c r="E468" s="9"/>
    </row>
    <row r="469">
      <c r="E469" s="9"/>
    </row>
    <row r="470">
      <c r="E470" s="9"/>
    </row>
    <row r="471">
      <c r="E471" s="9"/>
    </row>
    <row r="472">
      <c r="E472" s="9"/>
    </row>
    <row r="473">
      <c r="E473" s="9"/>
    </row>
    <row r="474">
      <c r="E474" s="9"/>
    </row>
    <row r="475">
      <c r="E475" s="9"/>
    </row>
    <row r="476">
      <c r="E476" s="9"/>
    </row>
    <row r="477">
      <c r="E477" s="9"/>
    </row>
    <row r="478">
      <c r="E478" s="9"/>
    </row>
    <row r="479">
      <c r="E479" s="9"/>
    </row>
    <row r="480">
      <c r="E480" s="9"/>
    </row>
    <row r="481">
      <c r="E481" s="9"/>
    </row>
    <row r="482">
      <c r="E482" s="9"/>
    </row>
    <row r="483">
      <c r="E483" s="9"/>
    </row>
    <row r="484">
      <c r="E484" s="9"/>
    </row>
    <row r="485">
      <c r="E485" s="9"/>
    </row>
    <row r="486">
      <c r="E486" s="9"/>
    </row>
    <row r="487">
      <c r="E487" s="9"/>
    </row>
    <row r="488">
      <c r="E488" s="9"/>
    </row>
    <row r="489">
      <c r="E489" s="9"/>
    </row>
    <row r="490">
      <c r="E490" s="9"/>
    </row>
    <row r="491">
      <c r="E491" s="9"/>
    </row>
    <row r="492">
      <c r="E492" s="9"/>
    </row>
    <row r="493">
      <c r="E493" s="9"/>
    </row>
    <row r="494">
      <c r="E494" s="9"/>
    </row>
    <row r="495">
      <c r="E495" s="9"/>
    </row>
    <row r="496">
      <c r="E496" s="9"/>
    </row>
    <row r="497">
      <c r="E497" s="9"/>
    </row>
    <row r="498">
      <c r="E498" s="9"/>
    </row>
    <row r="499">
      <c r="E499" s="9"/>
    </row>
    <row r="500">
      <c r="E500" s="9"/>
    </row>
    <row r="501">
      <c r="E501" s="9"/>
    </row>
    <row r="502">
      <c r="E502" s="9"/>
    </row>
    <row r="503">
      <c r="E503" s="9"/>
    </row>
    <row r="504">
      <c r="E504" s="9"/>
    </row>
    <row r="505">
      <c r="E505" s="9"/>
    </row>
    <row r="506">
      <c r="E506" s="9"/>
    </row>
    <row r="507">
      <c r="E507" s="9"/>
    </row>
    <row r="508">
      <c r="E508" s="9"/>
    </row>
    <row r="509">
      <c r="E509" s="9"/>
    </row>
    <row r="510">
      <c r="E510" s="9"/>
    </row>
    <row r="511">
      <c r="E511" s="9"/>
    </row>
    <row r="512">
      <c r="E512" s="9"/>
    </row>
    <row r="513">
      <c r="E513" s="9"/>
    </row>
    <row r="514">
      <c r="E514" s="9"/>
    </row>
    <row r="515">
      <c r="E515" s="9"/>
    </row>
    <row r="516">
      <c r="E516" s="9"/>
    </row>
    <row r="517">
      <c r="E517" s="9"/>
    </row>
    <row r="518">
      <c r="E518" s="9"/>
    </row>
    <row r="519">
      <c r="E519" s="9"/>
    </row>
    <row r="520">
      <c r="E520" s="9"/>
    </row>
    <row r="521">
      <c r="E521" s="9"/>
    </row>
    <row r="522">
      <c r="E522" s="9"/>
    </row>
    <row r="523">
      <c r="E523" s="9"/>
    </row>
    <row r="524">
      <c r="E524" s="9"/>
    </row>
    <row r="525">
      <c r="E525" s="9"/>
    </row>
    <row r="526">
      <c r="E526" s="9"/>
    </row>
    <row r="527">
      <c r="E527" s="9"/>
    </row>
    <row r="528">
      <c r="E528" s="9"/>
    </row>
    <row r="529">
      <c r="E529" s="9"/>
    </row>
    <row r="530">
      <c r="E530" s="9"/>
    </row>
    <row r="531">
      <c r="E531" s="9"/>
    </row>
    <row r="532">
      <c r="E532" s="9"/>
    </row>
    <row r="533">
      <c r="E533" s="9"/>
    </row>
    <row r="534">
      <c r="E534" s="9"/>
    </row>
    <row r="535">
      <c r="E535" s="9"/>
    </row>
    <row r="536">
      <c r="E536" s="9"/>
    </row>
    <row r="537">
      <c r="E537" s="9"/>
    </row>
    <row r="538">
      <c r="E538" s="9"/>
    </row>
    <row r="539">
      <c r="E539" s="9"/>
    </row>
    <row r="540">
      <c r="E540" s="9"/>
    </row>
    <row r="541">
      <c r="E541" s="9"/>
    </row>
    <row r="542">
      <c r="E542" s="9"/>
    </row>
    <row r="543">
      <c r="E543" s="9"/>
    </row>
    <row r="544">
      <c r="E544" s="9"/>
    </row>
    <row r="545">
      <c r="E545" s="9"/>
    </row>
    <row r="546">
      <c r="E546" s="9"/>
    </row>
    <row r="547">
      <c r="E547" s="9"/>
    </row>
    <row r="548">
      <c r="E548" s="9"/>
    </row>
    <row r="549">
      <c r="E549" s="9"/>
    </row>
    <row r="550">
      <c r="E550" s="9"/>
    </row>
    <row r="551">
      <c r="E551" s="9"/>
    </row>
    <row r="552">
      <c r="E552" s="9"/>
    </row>
    <row r="553">
      <c r="E553" s="9"/>
    </row>
    <row r="554">
      <c r="E554" s="9"/>
    </row>
    <row r="555">
      <c r="E555" s="9"/>
    </row>
    <row r="556">
      <c r="E556" s="9"/>
    </row>
    <row r="557">
      <c r="E557" s="9"/>
    </row>
    <row r="558">
      <c r="E558" s="9"/>
    </row>
    <row r="559">
      <c r="E559" s="9"/>
    </row>
    <row r="560">
      <c r="E560" s="9"/>
    </row>
    <row r="561">
      <c r="E561" s="9"/>
    </row>
    <row r="562">
      <c r="E562" s="9"/>
    </row>
    <row r="563">
      <c r="E563" s="9"/>
    </row>
    <row r="564">
      <c r="E564" s="9"/>
    </row>
    <row r="565">
      <c r="E565" s="9"/>
    </row>
    <row r="566">
      <c r="E566" s="9"/>
    </row>
    <row r="567">
      <c r="E567" s="9"/>
    </row>
    <row r="568">
      <c r="E568" s="9"/>
    </row>
    <row r="569">
      <c r="E569" s="9"/>
    </row>
    <row r="570">
      <c r="E570" s="9"/>
    </row>
    <row r="571">
      <c r="E571" s="9"/>
    </row>
    <row r="572">
      <c r="E572" s="9"/>
    </row>
    <row r="573">
      <c r="E573" s="9"/>
    </row>
    <row r="574">
      <c r="E574" s="9"/>
    </row>
    <row r="575">
      <c r="E575" s="9"/>
    </row>
    <row r="576">
      <c r="E576" s="9"/>
    </row>
    <row r="577">
      <c r="E577" s="9"/>
    </row>
    <row r="578">
      <c r="E578" s="9"/>
    </row>
    <row r="579">
      <c r="E579" s="9"/>
    </row>
    <row r="580">
      <c r="E580" s="9"/>
    </row>
    <row r="581">
      <c r="E581" s="9"/>
    </row>
    <row r="582">
      <c r="E582" s="9"/>
    </row>
    <row r="583">
      <c r="E583" s="9"/>
    </row>
    <row r="584">
      <c r="E584" s="9"/>
    </row>
    <row r="585">
      <c r="E585" s="9"/>
    </row>
    <row r="586">
      <c r="E586" s="9"/>
    </row>
    <row r="587">
      <c r="E587" s="9"/>
    </row>
    <row r="588">
      <c r="E588" s="9"/>
    </row>
    <row r="589">
      <c r="E589" s="9"/>
    </row>
    <row r="590">
      <c r="E590" s="9"/>
    </row>
    <row r="591">
      <c r="E591" s="9"/>
    </row>
    <row r="592">
      <c r="E592" s="9"/>
    </row>
    <row r="593">
      <c r="E593" s="9"/>
    </row>
    <row r="594">
      <c r="E594" s="9"/>
    </row>
    <row r="595">
      <c r="E595" s="9"/>
    </row>
    <row r="596">
      <c r="E596" s="9"/>
    </row>
    <row r="597">
      <c r="E597" s="9"/>
    </row>
    <row r="598">
      <c r="E598" s="9"/>
    </row>
    <row r="599">
      <c r="E599" s="9"/>
    </row>
    <row r="600">
      <c r="E600" s="9"/>
    </row>
    <row r="601">
      <c r="E601" s="9"/>
    </row>
    <row r="602">
      <c r="E602" s="9"/>
    </row>
    <row r="603">
      <c r="E603" s="9"/>
    </row>
    <row r="604">
      <c r="E604" s="9"/>
    </row>
    <row r="605">
      <c r="E605" s="9"/>
    </row>
    <row r="606">
      <c r="E606" s="9"/>
    </row>
    <row r="607">
      <c r="E607" s="9"/>
    </row>
    <row r="608">
      <c r="E608" s="9"/>
    </row>
    <row r="609">
      <c r="E609" s="9"/>
    </row>
    <row r="610">
      <c r="E610" s="9"/>
    </row>
    <row r="611">
      <c r="E611" s="9"/>
    </row>
    <row r="612">
      <c r="E612" s="9"/>
    </row>
    <row r="613">
      <c r="E613" s="9"/>
    </row>
    <row r="614">
      <c r="E614" s="9"/>
    </row>
    <row r="615">
      <c r="E615" s="9"/>
    </row>
    <row r="616">
      <c r="E616" s="9"/>
    </row>
    <row r="617">
      <c r="E617" s="9"/>
    </row>
    <row r="618">
      <c r="E618" s="9"/>
    </row>
    <row r="619">
      <c r="E619" s="9"/>
    </row>
    <row r="620">
      <c r="E620" s="9"/>
    </row>
    <row r="621">
      <c r="E621" s="9"/>
    </row>
    <row r="622">
      <c r="E622" s="9"/>
    </row>
    <row r="623">
      <c r="E623" s="9"/>
    </row>
    <row r="624">
      <c r="E624" s="9"/>
    </row>
    <row r="625">
      <c r="E625" s="9"/>
    </row>
    <row r="626">
      <c r="E626" s="9"/>
    </row>
    <row r="627">
      <c r="E627" s="9"/>
    </row>
    <row r="628">
      <c r="E628" s="9"/>
    </row>
    <row r="629">
      <c r="E629" s="9"/>
    </row>
    <row r="630">
      <c r="E630" s="9"/>
    </row>
    <row r="631">
      <c r="E631" s="9"/>
    </row>
    <row r="632">
      <c r="E632" s="9"/>
    </row>
    <row r="633">
      <c r="E633" s="9"/>
    </row>
    <row r="634">
      <c r="E634" s="9"/>
    </row>
    <row r="635">
      <c r="E635" s="9"/>
    </row>
    <row r="636">
      <c r="E636" s="9"/>
    </row>
    <row r="637">
      <c r="E637" s="9"/>
    </row>
    <row r="638">
      <c r="E638" s="9"/>
    </row>
    <row r="639">
      <c r="E639" s="9"/>
    </row>
    <row r="640">
      <c r="E640" s="9"/>
    </row>
    <row r="641">
      <c r="E641" s="9"/>
    </row>
    <row r="642">
      <c r="E642" s="9"/>
    </row>
    <row r="643">
      <c r="E643" s="9"/>
    </row>
    <row r="644">
      <c r="E644" s="9"/>
    </row>
    <row r="645">
      <c r="E645" s="9"/>
    </row>
    <row r="646">
      <c r="E646" s="9"/>
    </row>
    <row r="647">
      <c r="E647" s="9"/>
    </row>
    <row r="648">
      <c r="E648" s="9"/>
    </row>
    <row r="649">
      <c r="E649" s="9"/>
    </row>
    <row r="650">
      <c r="E650" s="9"/>
    </row>
    <row r="651">
      <c r="E651" s="9"/>
    </row>
    <row r="652">
      <c r="E652" s="9"/>
    </row>
    <row r="653">
      <c r="E653" s="9"/>
    </row>
    <row r="654">
      <c r="E654" s="9"/>
    </row>
    <row r="655">
      <c r="E655" s="9"/>
    </row>
    <row r="656">
      <c r="E656" s="9"/>
    </row>
    <row r="657">
      <c r="E657" s="9"/>
    </row>
    <row r="658">
      <c r="E658" s="9"/>
    </row>
    <row r="659">
      <c r="E659" s="9"/>
    </row>
    <row r="660">
      <c r="E660" s="9"/>
    </row>
    <row r="661">
      <c r="E661" s="9"/>
    </row>
    <row r="662">
      <c r="E662" s="9"/>
    </row>
    <row r="663">
      <c r="E663" s="9"/>
    </row>
    <row r="664">
      <c r="E664" s="9"/>
    </row>
    <row r="665">
      <c r="E665" s="9"/>
    </row>
    <row r="666">
      <c r="E666" s="9"/>
    </row>
    <row r="667">
      <c r="E667" s="9"/>
    </row>
    <row r="668">
      <c r="E668" s="9"/>
    </row>
    <row r="669">
      <c r="E669" s="9"/>
    </row>
    <row r="670">
      <c r="E670" s="9"/>
    </row>
    <row r="671">
      <c r="E671" s="9"/>
    </row>
    <row r="672">
      <c r="E672" s="9"/>
    </row>
    <row r="673">
      <c r="E673" s="9"/>
    </row>
    <row r="674">
      <c r="E674" s="9"/>
    </row>
    <row r="675">
      <c r="E675" s="9"/>
    </row>
    <row r="676">
      <c r="E676" s="9"/>
    </row>
    <row r="677">
      <c r="E677" s="9"/>
    </row>
    <row r="678">
      <c r="E678" s="9"/>
    </row>
    <row r="679">
      <c r="E679" s="9"/>
    </row>
    <row r="680">
      <c r="E680" s="9"/>
    </row>
    <row r="681">
      <c r="E681" s="9"/>
    </row>
    <row r="682">
      <c r="E682" s="9"/>
    </row>
    <row r="683">
      <c r="E683" s="9"/>
    </row>
    <row r="684">
      <c r="E684" s="9"/>
    </row>
    <row r="685">
      <c r="E685" s="9"/>
    </row>
    <row r="686">
      <c r="E686" s="9"/>
    </row>
    <row r="687">
      <c r="E687" s="9"/>
    </row>
    <row r="688">
      <c r="E688" s="9"/>
    </row>
    <row r="689">
      <c r="E689" s="9"/>
    </row>
    <row r="690">
      <c r="E690" s="9"/>
    </row>
    <row r="691">
      <c r="E691" s="9"/>
    </row>
    <row r="692">
      <c r="E692" s="9"/>
    </row>
    <row r="693">
      <c r="E693" s="9"/>
    </row>
    <row r="694">
      <c r="E694" s="9"/>
    </row>
    <row r="695">
      <c r="E695" s="9"/>
    </row>
    <row r="696">
      <c r="E696" s="9"/>
    </row>
    <row r="697">
      <c r="E697" s="9"/>
    </row>
    <row r="698">
      <c r="E698" s="9"/>
    </row>
    <row r="699">
      <c r="E699" s="9"/>
    </row>
    <row r="700">
      <c r="E700" s="9"/>
    </row>
    <row r="701">
      <c r="E701" s="9"/>
    </row>
    <row r="702">
      <c r="E702" s="9"/>
    </row>
    <row r="703">
      <c r="E703" s="9"/>
    </row>
    <row r="704">
      <c r="E704" s="9"/>
    </row>
    <row r="705">
      <c r="E705" s="9"/>
    </row>
    <row r="706">
      <c r="E706" s="9"/>
    </row>
    <row r="707">
      <c r="E707" s="9"/>
    </row>
    <row r="708">
      <c r="E708" s="9"/>
    </row>
    <row r="709">
      <c r="E709" s="9"/>
    </row>
    <row r="710">
      <c r="E710" s="9"/>
    </row>
    <row r="711">
      <c r="E711" s="9"/>
    </row>
    <row r="712">
      <c r="E712" s="9"/>
    </row>
    <row r="713">
      <c r="E713" s="9"/>
    </row>
    <row r="714">
      <c r="E714" s="9"/>
    </row>
    <row r="715">
      <c r="E715" s="9"/>
    </row>
    <row r="716">
      <c r="E716" s="9"/>
    </row>
    <row r="717">
      <c r="E717" s="9"/>
    </row>
    <row r="718">
      <c r="E718" s="9"/>
    </row>
    <row r="719">
      <c r="E719" s="9"/>
    </row>
    <row r="720">
      <c r="E720" s="9"/>
    </row>
    <row r="721">
      <c r="E721" s="9"/>
    </row>
    <row r="722">
      <c r="E722" s="9"/>
    </row>
    <row r="723">
      <c r="E723" s="9"/>
    </row>
    <row r="724">
      <c r="E724" s="9"/>
    </row>
    <row r="725">
      <c r="E725" s="9"/>
    </row>
    <row r="726">
      <c r="E726" s="9"/>
    </row>
    <row r="727">
      <c r="E727" s="9"/>
    </row>
    <row r="728">
      <c r="E728" s="9"/>
    </row>
    <row r="729">
      <c r="E729" s="9"/>
    </row>
    <row r="730">
      <c r="E730" s="9"/>
    </row>
    <row r="731">
      <c r="E731" s="9"/>
    </row>
    <row r="732">
      <c r="E732" s="9"/>
    </row>
    <row r="733">
      <c r="E733" s="9"/>
    </row>
    <row r="734">
      <c r="E734" s="9"/>
    </row>
    <row r="735">
      <c r="E735" s="9"/>
    </row>
    <row r="736">
      <c r="E736" s="9"/>
    </row>
    <row r="737">
      <c r="E737" s="9"/>
    </row>
    <row r="738">
      <c r="E738" s="9"/>
    </row>
    <row r="739">
      <c r="E739" s="9"/>
    </row>
    <row r="740">
      <c r="E740" s="9"/>
    </row>
    <row r="741">
      <c r="E741" s="9"/>
    </row>
    <row r="742">
      <c r="E742" s="9"/>
    </row>
    <row r="743">
      <c r="E743" s="9"/>
    </row>
    <row r="744">
      <c r="E744" s="9"/>
    </row>
    <row r="745">
      <c r="E745" s="9"/>
    </row>
    <row r="746">
      <c r="E746" s="9"/>
    </row>
    <row r="747">
      <c r="E747" s="9"/>
    </row>
    <row r="748">
      <c r="E748" s="9"/>
    </row>
    <row r="749">
      <c r="E749" s="9"/>
    </row>
    <row r="750">
      <c r="E750" s="9"/>
    </row>
    <row r="751">
      <c r="E751" s="9"/>
    </row>
    <row r="752">
      <c r="E752" s="9"/>
    </row>
    <row r="753">
      <c r="E753" s="9"/>
    </row>
    <row r="754">
      <c r="E754" s="9"/>
    </row>
    <row r="755">
      <c r="E755" s="9"/>
    </row>
    <row r="756">
      <c r="E756" s="9"/>
    </row>
    <row r="757">
      <c r="E757" s="9"/>
    </row>
    <row r="758">
      <c r="E758" s="9"/>
    </row>
    <row r="759">
      <c r="E759" s="9"/>
    </row>
    <row r="760">
      <c r="E760" s="9"/>
    </row>
    <row r="761">
      <c r="E761" s="9"/>
    </row>
    <row r="762">
      <c r="E762" s="9"/>
    </row>
    <row r="763">
      <c r="E763" s="9"/>
    </row>
    <row r="764">
      <c r="E764" s="9"/>
    </row>
    <row r="765">
      <c r="E765" s="9"/>
    </row>
    <row r="766">
      <c r="E766" s="9"/>
    </row>
    <row r="767">
      <c r="E767" s="9"/>
    </row>
    <row r="768">
      <c r="E768" s="9"/>
    </row>
    <row r="769">
      <c r="E769" s="9"/>
    </row>
    <row r="770">
      <c r="E770" s="9"/>
    </row>
    <row r="771">
      <c r="E771" s="9"/>
    </row>
    <row r="772">
      <c r="E772" s="9"/>
    </row>
    <row r="773">
      <c r="E773" s="9"/>
    </row>
    <row r="774">
      <c r="E774" s="9"/>
    </row>
    <row r="775">
      <c r="E775" s="9"/>
    </row>
    <row r="776">
      <c r="E776" s="9"/>
    </row>
    <row r="777">
      <c r="E777" s="9"/>
    </row>
    <row r="778">
      <c r="E778" s="9"/>
    </row>
    <row r="779">
      <c r="E779" s="9"/>
    </row>
    <row r="780">
      <c r="E780" s="9"/>
    </row>
    <row r="781">
      <c r="E781" s="9"/>
    </row>
    <row r="782">
      <c r="E782" s="9"/>
    </row>
    <row r="783">
      <c r="E783" s="9"/>
    </row>
    <row r="784">
      <c r="E784" s="9"/>
    </row>
    <row r="785">
      <c r="E785" s="9"/>
    </row>
    <row r="786">
      <c r="E786" s="9"/>
    </row>
    <row r="787">
      <c r="E787" s="9"/>
    </row>
    <row r="788">
      <c r="E788" s="9"/>
    </row>
    <row r="789">
      <c r="E789" s="9"/>
    </row>
    <row r="790">
      <c r="E790" s="9"/>
    </row>
    <row r="791">
      <c r="E791" s="9"/>
    </row>
    <row r="792">
      <c r="E792" s="9"/>
    </row>
    <row r="793">
      <c r="E793" s="9"/>
    </row>
    <row r="794">
      <c r="E794" s="9"/>
    </row>
    <row r="795">
      <c r="E795" s="9"/>
    </row>
    <row r="796">
      <c r="E796" s="9"/>
    </row>
    <row r="797">
      <c r="E797" s="9"/>
    </row>
    <row r="798">
      <c r="E798" s="9"/>
    </row>
    <row r="799">
      <c r="E799" s="9"/>
    </row>
    <row r="800">
      <c r="E800" s="9"/>
    </row>
    <row r="801">
      <c r="E801" s="9"/>
    </row>
    <row r="802">
      <c r="E802" s="9"/>
    </row>
    <row r="803">
      <c r="E803" s="9"/>
    </row>
    <row r="804">
      <c r="E804" s="9"/>
    </row>
    <row r="805">
      <c r="E805" s="9"/>
    </row>
    <row r="806">
      <c r="E806" s="9"/>
    </row>
    <row r="807">
      <c r="E807" s="9"/>
    </row>
    <row r="808">
      <c r="E808" s="9"/>
    </row>
    <row r="809">
      <c r="E809" s="9"/>
    </row>
    <row r="810">
      <c r="E810" s="9"/>
    </row>
    <row r="811">
      <c r="E811" s="9"/>
    </row>
    <row r="812">
      <c r="E812" s="9"/>
    </row>
    <row r="813">
      <c r="E813" s="9"/>
    </row>
    <row r="814">
      <c r="E814" s="9"/>
    </row>
    <row r="815">
      <c r="E815" s="9"/>
    </row>
    <row r="816">
      <c r="E816" s="9"/>
    </row>
    <row r="817">
      <c r="E817" s="9"/>
    </row>
    <row r="818">
      <c r="E818" s="9"/>
    </row>
    <row r="819">
      <c r="E819" s="9"/>
    </row>
    <row r="820">
      <c r="E820" s="9"/>
    </row>
    <row r="821">
      <c r="E821" s="9"/>
    </row>
    <row r="822">
      <c r="E822" s="9"/>
    </row>
    <row r="823">
      <c r="E823" s="9"/>
    </row>
    <row r="824">
      <c r="E824" s="9"/>
    </row>
    <row r="825">
      <c r="E825" s="9"/>
    </row>
    <row r="826">
      <c r="E826" s="9"/>
    </row>
    <row r="827">
      <c r="E827" s="9"/>
    </row>
    <row r="828">
      <c r="E828" s="9"/>
    </row>
    <row r="829">
      <c r="E829" s="9"/>
    </row>
    <row r="830">
      <c r="E830" s="9"/>
    </row>
    <row r="831">
      <c r="E831" s="9"/>
    </row>
    <row r="832">
      <c r="E832" s="9"/>
    </row>
    <row r="833">
      <c r="E833" s="9"/>
    </row>
    <row r="834">
      <c r="E834" s="9"/>
    </row>
    <row r="835">
      <c r="E835" s="9"/>
    </row>
    <row r="836">
      <c r="E836" s="9"/>
    </row>
    <row r="837">
      <c r="E837" s="9"/>
    </row>
    <row r="838">
      <c r="E838" s="9"/>
    </row>
    <row r="839">
      <c r="E839" s="9"/>
    </row>
    <row r="840">
      <c r="E840" s="9"/>
    </row>
    <row r="841">
      <c r="E841" s="9"/>
    </row>
    <row r="842">
      <c r="E842" s="9"/>
    </row>
    <row r="843">
      <c r="E843" s="9"/>
    </row>
    <row r="844">
      <c r="E844" s="9"/>
    </row>
    <row r="845">
      <c r="E845" s="9"/>
    </row>
    <row r="846">
      <c r="E846" s="9"/>
    </row>
    <row r="847">
      <c r="E847" s="9"/>
    </row>
    <row r="848">
      <c r="E848" s="9"/>
    </row>
    <row r="849">
      <c r="E849" s="9"/>
    </row>
    <row r="850">
      <c r="E850" s="9"/>
    </row>
    <row r="851">
      <c r="E851" s="9"/>
    </row>
    <row r="852">
      <c r="E852" s="9"/>
    </row>
    <row r="853">
      <c r="E853" s="9"/>
    </row>
    <row r="854">
      <c r="E854" s="9"/>
    </row>
    <row r="855">
      <c r="E855" s="9"/>
    </row>
    <row r="856">
      <c r="E856" s="9"/>
    </row>
    <row r="857">
      <c r="E857" s="9"/>
    </row>
    <row r="858">
      <c r="E858" s="9"/>
    </row>
    <row r="859">
      <c r="E859" s="9"/>
    </row>
    <row r="860">
      <c r="E860" s="9"/>
    </row>
    <row r="861">
      <c r="E861" s="9"/>
    </row>
    <row r="862">
      <c r="E862" s="9"/>
    </row>
    <row r="863">
      <c r="E863" s="9"/>
    </row>
    <row r="864">
      <c r="E864" s="9"/>
    </row>
    <row r="865">
      <c r="E865" s="9"/>
    </row>
    <row r="866">
      <c r="E866" s="9"/>
    </row>
    <row r="867">
      <c r="E867" s="9"/>
    </row>
    <row r="868">
      <c r="E868" s="9"/>
    </row>
    <row r="869">
      <c r="E869" s="9"/>
    </row>
    <row r="870">
      <c r="E870" s="9"/>
    </row>
    <row r="871">
      <c r="E871" s="9"/>
    </row>
    <row r="872">
      <c r="E872" s="9"/>
    </row>
    <row r="873">
      <c r="E873" s="9"/>
    </row>
    <row r="874">
      <c r="E874" s="9"/>
    </row>
    <row r="875">
      <c r="E875" s="9"/>
    </row>
    <row r="876">
      <c r="E876" s="9"/>
    </row>
    <row r="877">
      <c r="E877" s="9"/>
    </row>
    <row r="878">
      <c r="E878" s="9"/>
    </row>
    <row r="879">
      <c r="E879" s="9"/>
    </row>
    <row r="880">
      <c r="E880" s="9"/>
    </row>
    <row r="881">
      <c r="E881" s="9"/>
    </row>
    <row r="882">
      <c r="E882" s="9"/>
    </row>
    <row r="883">
      <c r="E883" s="9"/>
    </row>
    <row r="884">
      <c r="E884" s="9"/>
    </row>
    <row r="885">
      <c r="E885" s="9"/>
    </row>
    <row r="886">
      <c r="E886" s="9"/>
    </row>
    <row r="887">
      <c r="E887" s="9"/>
    </row>
    <row r="888">
      <c r="E888" s="9"/>
    </row>
    <row r="889">
      <c r="E889" s="9"/>
    </row>
    <row r="890">
      <c r="E890" s="9"/>
    </row>
    <row r="891">
      <c r="E891" s="9"/>
    </row>
    <row r="892">
      <c r="E892" s="9"/>
    </row>
    <row r="893">
      <c r="E893" s="9"/>
    </row>
    <row r="894">
      <c r="E894" s="9"/>
    </row>
    <row r="895">
      <c r="E895" s="9"/>
    </row>
    <row r="896">
      <c r="E896" s="9"/>
    </row>
    <row r="897">
      <c r="E897" s="9"/>
    </row>
    <row r="898">
      <c r="E898" s="9"/>
    </row>
    <row r="899">
      <c r="E899" s="9"/>
    </row>
    <row r="900">
      <c r="E900" s="9"/>
    </row>
    <row r="901">
      <c r="E901" s="9"/>
    </row>
    <row r="902">
      <c r="E902" s="9"/>
    </row>
    <row r="903">
      <c r="E903" s="9"/>
    </row>
    <row r="904">
      <c r="E904" s="9"/>
    </row>
    <row r="905">
      <c r="E905" s="9"/>
    </row>
    <row r="906">
      <c r="E906" s="9"/>
    </row>
    <row r="907">
      <c r="E907" s="9"/>
    </row>
    <row r="908">
      <c r="E908" s="9"/>
    </row>
    <row r="909">
      <c r="E909" s="9"/>
    </row>
    <row r="910">
      <c r="E910" s="9"/>
    </row>
    <row r="911">
      <c r="E911" s="9"/>
    </row>
    <row r="912">
      <c r="E912" s="9"/>
    </row>
    <row r="913">
      <c r="E913" s="9"/>
    </row>
    <row r="914">
      <c r="E914" s="9"/>
    </row>
    <row r="915">
      <c r="E915" s="9"/>
    </row>
    <row r="916">
      <c r="E916" s="9"/>
    </row>
    <row r="917">
      <c r="E917" s="9"/>
    </row>
    <row r="918">
      <c r="E918" s="9"/>
    </row>
    <row r="919">
      <c r="E919" s="9"/>
    </row>
    <row r="920">
      <c r="E920" s="9"/>
    </row>
    <row r="921">
      <c r="E921" s="9"/>
    </row>
    <row r="922">
      <c r="E922" s="9"/>
    </row>
    <row r="923">
      <c r="E923" s="9"/>
    </row>
    <row r="924">
      <c r="E924" s="9"/>
    </row>
    <row r="925">
      <c r="E925" s="9"/>
    </row>
    <row r="926">
      <c r="E926" s="9"/>
    </row>
    <row r="927">
      <c r="E927" s="9"/>
    </row>
    <row r="928">
      <c r="E928" s="9"/>
    </row>
    <row r="929">
      <c r="E929" s="9"/>
    </row>
    <row r="930">
      <c r="E930" s="9"/>
    </row>
    <row r="931">
      <c r="E931" s="9"/>
    </row>
    <row r="932">
      <c r="E932" s="9"/>
    </row>
    <row r="933">
      <c r="E933" s="9"/>
    </row>
    <row r="934">
      <c r="E934" s="9"/>
    </row>
    <row r="935">
      <c r="E935" s="9"/>
    </row>
    <row r="936">
      <c r="E936" s="9"/>
    </row>
    <row r="937">
      <c r="E937" s="9"/>
    </row>
    <row r="938">
      <c r="E938" s="9"/>
    </row>
    <row r="939">
      <c r="E939" s="9"/>
    </row>
    <row r="940">
      <c r="E940" s="9"/>
    </row>
    <row r="941">
      <c r="E941" s="9"/>
    </row>
    <row r="942">
      <c r="E942" s="9"/>
    </row>
    <row r="943">
      <c r="E943" s="9"/>
    </row>
    <row r="944">
      <c r="E944" s="9"/>
    </row>
    <row r="945">
      <c r="E945" s="9"/>
    </row>
    <row r="946">
      <c r="E946" s="9"/>
    </row>
    <row r="947">
      <c r="E947" s="9"/>
    </row>
    <row r="948">
      <c r="E948" s="9"/>
    </row>
    <row r="949">
      <c r="E949" s="9"/>
    </row>
    <row r="950">
      <c r="E950" s="9"/>
    </row>
    <row r="951">
      <c r="E951" s="9"/>
    </row>
    <row r="952">
      <c r="E952" s="9"/>
    </row>
    <row r="953">
      <c r="E953" s="9"/>
    </row>
    <row r="954">
      <c r="E954" s="9"/>
    </row>
    <row r="955">
      <c r="E955" s="9"/>
    </row>
    <row r="956">
      <c r="E956" s="9"/>
    </row>
    <row r="957">
      <c r="E957" s="9"/>
    </row>
    <row r="958">
      <c r="E958" s="9"/>
    </row>
    <row r="959">
      <c r="E959" s="9"/>
    </row>
    <row r="960">
      <c r="E960" s="9"/>
    </row>
    <row r="961">
      <c r="E961" s="9"/>
    </row>
    <row r="962">
      <c r="E962" s="9"/>
    </row>
    <row r="963">
      <c r="E963" s="9"/>
    </row>
    <row r="964">
      <c r="E964" s="9"/>
    </row>
    <row r="965">
      <c r="E965" s="9"/>
    </row>
    <row r="966">
      <c r="E966" s="9"/>
    </row>
    <row r="967">
      <c r="E967" s="9"/>
    </row>
    <row r="968">
      <c r="E968" s="9"/>
    </row>
    <row r="969">
      <c r="E969" s="9"/>
    </row>
    <row r="970">
      <c r="E970" s="9"/>
    </row>
    <row r="971">
      <c r="E971" s="9"/>
    </row>
    <row r="972">
      <c r="E972" s="9"/>
    </row>
    <row r="973">
      <c r="E973" s="9"/>
    </row>
    <row r="974">
      <c r="E974" s="9"/>
    </row>
    <row r="975">
      <c r="E975" s="9"/>
    </row>
    <row r="976">
      <c r="E976" s="9"/>
    </row>
    <row r="977">
      <c r="E977" s="9"/>
    </row>
    <row r="978">
      <c r="E978" s="9"/>
    </row>
    <row r="979">
      <c r="E979" s="9"/>
    </row>
    <row r="980">
      <c r="E980" s="9"/>
    </row>
    <row r="981">
      <c r="E981" s="9"/>
    </row>
    <row r="982">
      <c r="E982" s="9"/>
    </row>
    <row r="983">
      <c r="E983" s="9"/>
    </row>
    <row r="984">
      <c r="E984" s="9"/>
    </row>
    <row r="985">
      <c r="E985" s="9"/>
    </row>
    <row r="986">
      <c r="E986" s="9"/>
    </row>
    <row r="987">
      <c r="E987" s="9"/>
    </row>
    <row r="988">
      <c r="E988" s="9"/>
    </row>
    <row r="989">
      <c r="E989" s="9"/>
    </row>
    <row r="990">
      <c r="E990" s="9"/>
    </row>
    <row r="991">
      <c r="E991" s="9"/>
    </row>
    <row r="992">
      <c r="E992" s="9"/>
    </row>
    <row r="993">
      <c r="E993" s="9"/>
    </row>
    <row r="994">
      <c r="E994" s="9"/>
    </row>
    <row r="995">
      <c r="E995" s="9"/>
    </row>
    <row r="996">
      <c r="E996" s="9"/>
    </row>
    <row r="997">
      <c r="E997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215</v>
      </c>
      <c r="B1" s="7" t="s">
        <v>216</v>
      </c>
      <c r="C1" s="7" t="s">
        <v>217</v>
      </c>
      <c r="D1" s="7" t="s">
        <v>218</v>
      </c>
      <c r="E1" s="7" t="s">
        <v>219</v>
      </c>
      <c r="F1" s="7" t="s">
        <v>220</v>
      </c>
      <c r="G1" s="7" t="s">
        <v>221</v>
      </c>
      <c r="H1" s="7" t="s">
        <v>222</v>
      </c>
      <c r="I1" s="7" t="s">
        <v>223</v>
      </c>
      <c r="J1" s="7" t="s">
        <v>224</v>
      </c>
      <c r="K1" s="7"/>
    </row>
    <row r="2">
      <c r="A2" s="7" t="s">
        <v>225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>
      <c r="A3" s="7">
        <v>1.0</v>
      </c>
      <c r="B3" s="7">
        <v>1.0</v>
      </c>
      <c r="C3" s="7">
        <v>6167.0</v>
      </c>
      <c r="D3" s="10">
        <v>1.0</v>
      </c>
      <c r="E3" s="7"/>
      <c r="F3" s="7"/>
      <c r="G3" s="7"/>
      <c r="H3" s="7"/>
      <c r="I3" s="7"/>
      <c r="J3" s="7"/>
      <c r="K3" s="7" t="str">
        <f t="shared" ref="K3:K57" si="1">TEXTJOIN("-",True,"BR",A3,B3)</f>
        <v>BR-1-1</v>
      </c>
      <c r="L3" s="2">
        <f t="shared" ref="L3:L121" si="2">C3</f>
        <v>6167</v>
      </c>
      <c r="N3" s="2" t="str">
        <f t="shared" ref="N3:N121" si="3">K3</f>
        <v>BR-1-1</v>
      </c>
      <c r="O3" s="2" t="str">
        <f t="shared" ref="O3:O121" si="4">E3</f>
        <v/>
      </c>
      <c r="Q3" s="2" t="str">
        <f t="shared" ref="Q3:Q121" si="5">N3</f>
        <v>BR-1-1</v>
      </c>
      <c r="R3" s="2" t="str">
        <f t="shared" ref="R3:R121" si="6">G3</f>
        <v/>
      </c>
    </row>
    <row r="4">
      <c r="A4" s="11">
        <v>1.0</v>
      </c>
      <c r="B4" s="7">
        <v>2.0</v>
      </c>
      <c r="C4" s="7">
        <v>3221.0</v>
      </c>
      <c r="D4" s="10">
        <v>1.0</v>
      </c>
      <c r="E4" s="7"/>
      <c r="F4" s="7"/>
      <c r="G4" s="7"/>
      <c r="H4" s="7"/>
      <c r="I4" s="7"/>
      <c r="J4" s="7"/>
      <c r="K4" s="7" t="str">
        <f t="shared" si="1"/>
        <v>BR-1-2</v>
      </c>
      <c r="L4" s="2">
        <f t="shared" si="2"/>
        <v>3221</v>
      </c>
      <c r="N4" s="2" t="str">
        <f t="shared" si="3"/>
        <v>BR-1-2</v>
      </c>
      <c r="O4" s="2" t="str">
        <f t="shared" si="4"/>
        <v/>
      </c>
      <c r="Q4" s="2" t="str">
        <f t="shared" si="5"/>
        <v>BR-1-2</v>
      </c>
      <c r="R4" s="2" t="str">
        <f t="shared" si="6"/>
        <v/>
      </c>
    </row>
    <row r="5">
      <c r="A5" s="11">
        <v>2.0</v>
      </c>
      <c r="B5" s="7">
        <v>1.0</v>
      </c>
      <c r="C5" s="7">
        <v>6277.0</v>
      </c>
      <c r="D5" s="10">
        <v>1.0</v>
      </c>
      <c r="E5" s="7"/>
      <c r="F5" s="7"/>
      <c r="G5" s="7"/>
      <c r="H5" s="7"/>
      <c r="I5" s="7"/>
      <c r="J5" s="7"/>
      <c r="K5" s="7" t="str">
        <f t="shared" si="1"/>
        <v>BR-2-1</v>
      </c>
      <c r="L5" s="2">
        <f t="shared" si="2"/>
        <v>6277</v>
      </c>
      <c r="N5" s="2" t="str">
        <f t="shared" si="3"/>
        <v>BR-2-1</v>
      </c>
      <c r="O5" s="2" t="str">
        <f t="shared" si="4"/>
        <v/>
      </c>
      <c r="Q5" s="2" t="str">
        <f t="shared" si="5"/>
        <v>BR-2-1</v>
      </c>
      <c r="R5" s="2" t="str">
        <f t="shared" si="6"/>
        <v/>
      </c>
    </row>
    <row r="6">
      <c r="A6" s="11">
        <v>2.0</v>
      </c>
      <c r="B6" s="7">
        <v>2.0</v>
      </c>
      <c r="C6" s="7">
        <v>3399.0</v>
      </c>
      <c r="D6" s="10">
        <v>1.0</v>
      </c>
      <c r="E6" s="7"/>
      <c r="F6" s="7"/>
      <c r="G6" s="7"/>
      <c r="H6" s="7"/>
      <c r="I6" s="7"/>
      <c r="J6" s="7"/>
      <c r="K6" s="7" t="str">
        <f t="shared" si="1"/>
        <v>BR-2-2</v>
      </c>
      <c r="L6" s="2">
        <f t="shared" si="2"/>
        <v>3399</v>
      </c>
      <c r="N6" s="2" t="str">
        <f t="shared" si="3"/>
        <v>BR-2-2</v>
      </c>
      <c r="O6" s="2" t="str">
        <f t="shared" si="4"/>
        <v/>
      </c>
      <c r="Q6" s="2" t="str">
        <f t="shared" si="5"/>
        <v>BR-2-2</v>
      </c>
      <c r="R6" s="2" t="str">
        <f t="shared" si="6"/>
        <v/>
      </c>
    </row>
    <row r="7">
      <c r="A7" s="7">
        <v>3.0</v>
      </c>
      <c r="B7" s="7">
        <v>1.0</v>
      </c>
      <c r="C7" s="7">
        <v>6167.0</v>
      </c>
      <c r="D7" s="10">
        <v>1.0</v>
      </c>
      <c r="E7" s="7"/>
      <c r="F7" s="7"/>
      <c r="G7" s="7"/>
      <c r="H7" s="7"/>
      <c r="I7" s="7"/>
      <c r="J7" s="7"/>
      <c r="K7" s="7" t="str">
        <f t="shared" si="1"/>
        <v>BR-3-1</v>
      </c>
      <c r="L7" s="2">
        <f t="shared" si="2"/>
        <v>6167</v>
      </c>
      <c r="N7" s="2" t="str">
        <f t="shared" si="3"/>
        <v>BR-3-1</v>
      </c>
      <c r="O7" s="2" t="str">
        <f t="shared" si="4"/>
        <v/>
      </c>
      <c r="Q7" s="2" t="str">
        <f t="shared" si="5"/>
        <v>BR-3-1</v>
      </c>
      <c r="R7" s="2" t="str">
        <f t="shared" si="6"/>
        <v/>
      </c>
    </row>
    <row r="8">
      <c r="A8" s="11">
        <v>3.0</v>
      </c>
      <c r="B8" s="7">
        <v>2.0</v>
      </c>
      <c r="C8" s="7">
        <v>2746.0</v>
      </c>
      <c r="D8" s="10">
        <v>2.0</v>
      </c>
      <c r="E8" s="7"/>
      <c r="F8" s="7"/>
      <c r="G8" s="7"/>
      <c r="H8" s="7"/>
      <c r="I8" s="7"/>
      <c r="J8" s="7"/>
      <c r="K8" s="7" t="str">
        <f t="shared" si="1"/>
        <v>BR-3-2</v>
      </c>
      <c r="L8" s="2">
        <f t="shared" si="2"/>
        <v>2746</v>
      </c>
      <c r="N8" s="2" t="str">
        <f t="shared" si="3"/>
        <v>BR-3-2</v>
      </c>
      <c r="O8" s="2" t="str">
        <f t="shared" si="4"/>
        <v/>
      </c>
      <c r="Q8" s="2" t="str">
        <f t="shared" si="5"/>
        <v>BR-3-2</v>
      </c>
      <c r="R8" s="2" t="str">
        <f t="shared" si="6"/>
        <v/>
      </c>
    </row>
    <row r="9">
      <c r="A9" s="7">
        <v>4.0</v>
      </c>
      <c r="B9" s="7">
        <v>1.0</v>
      </c>
      <c r="C9" s="7">
        <v>3223.0</v>
      </c>
      <c r="D9" s="10">
        <v>1.0</v>
      </c>
      <c r="E9" s="7"/>
      <c r="F9" s="7"/>
      <c r="G9" s="7"/>
      <c r="H9" s="7"/>
      <c r="I9" s="7"/>
      <c r="J9" s="7"/>
      <c r="K9" s="7" t="str">
        <f t="shared" si="1"/>
        <v>BR-4-1</v>
      </c>
      <c r="L9" s="2">
        <f t="shared" si="2"/>
        <v>3223</v>
      </c>
      <c r="N9" s="2" t="str">
        <f t="shared" si="3"/>
        <v>BR-4-1</v>
      </c>
      <c r="O9" s="2" t="str">
        <f t="shared" si="4"/>
        <v/>
      </c>
      <c r="Q9" s="2" t="str">
        <f t="shared" si="5"/>
        <v>BR-4-1</v>
      </c>
      <c r="R9" s="2" t="str">
        <f t="shared" si="6"/>
        <v/>
      </c>
    </row>
    <row r="10">
      <c r="A10" s="11">
        <v>4.0</v>
      </c>
      <c r="B10" s="7">
        <v>2.0</v>
      </c>
      <c r="C10" s="7">
        <v>5656.0</v>
      </c>
      <c r="D10" s="10">
        <v>2.0</v>
      </c>
      <c r="E10" s="7"/>
      <c r="F10" s="7"/>
      <c r="G10" s="7"/>
      <c r="H10" s="7"/>
      <c r="I10" s="7"/>
      <c r="J10" s="7"/>
      <c r="K10" s="7" t="str">
        <f t="shared" si="1"/>
        <v>BR-4-2</v>
      </c>
      <c r="L10" s="2">
        <f t="shared" si="2"/>
        <v>5656</v>
      </c>
      <c r="N10" s="2" t="str">
        <f t="shared" si="3"/>
        <v>BR-4-2</v>
      </c>
      <c r="O10" s="2" t="str">
        <f t="shared" si="4"/>
        <v/>
      </c>
      <c r="Q10" s="2" t="str">
        <f t="shared" si="5"/>
        <v>BR-4-2</v>
      </c>
      <c r="R10" s="2" t="str">
        <f t="shared" si="6"/>
        <v/>
      </c>
    </row>
    <row r="11">
      <c r="A11" s="7">
        <v>5.0</v>
      </c>
      <c r="B11" s="7">
        <v>1.0</v>
      </c>
      <c r="C11" s="7">
        <v>3889.0</v>
      </c>
      <c r="D11" s="10">
        <v>1.0</v>
      </c>
      <c r="E11" s="7"/>
      <c r="F11" s="7"/>
      <c r="G11" s="7"/>
      <c r="H11" s="7"/>
      <c r="I11" s="7"/>
      <c r="J11" s="7"/>
      <c r="K11" s="7" t="str">
        <f t="shared" si="1"/>
        <v>BR-5-1</v>
      </c>
      <c r="L11" s="2">
        <f t="shared" si="2"/>
        <v>3889</v>
      </c>
      <c r="N11" s="2" t="str">
        <f t="shared" si="3"/>
        <v>BR-5-1</v>
      </c>
      <c r="O11" s="2" t="str">
        <f t="shared" si="4"/>
        <v/>
      </c>
      <c r="Q11" s="2" t="str">
        <f t="shared" si="5"/>
        <v>BR-5-1</v>
      </c>
      <c r="R11" s="2" t="str">
        <f t="shared" si="6"/>
        <v/>
      </c>
    </row>
    <row r="12">
      <c r="A12" s="11">
        <v>5.0</v>
      </c>
      <c r="B12" s="7">
        <v>2.0</v>
      </c>
      <c r="C12" s="7">
        <v>3221.0</v>
      </c>
      <c r="D12" s="10">
        <v>2.0</v>
      </c>
      <c r="E12" s="7"/>
      <c r="F12" s="7"/>
      <c r="G12" s="7"/>
      <c r="H12" s="7"/>
      <c r="I12" s="7"/>
      <c r="J12" s="7"/>
      <c r="K12" s="7" t="str">
        <f t="shared" si="1"/>
        <v>BR-5-2</v>
      </c>
      <c r="L12" s="2">
        <f t="shared" si="2"/>
        <v>3221</v>
      </c>
      <c r="N12" s="2" t="str">
        <f t="shared" si="3"/>
        <v>BR-5-2</v>
      </c>
      <c r="O12" s="2" t="str">
        <f t="shared" si="4"/>
        <v/>
      </c>
      <c r="Q12" s="2" t="str">
        <f t="shared" si="5"/>
        <v>BR-5-2</v>
      </c>
      <c r="R12" s="2" t="str">
        <f t="shared" si="6"/>
        <v/>
      </c>
    </row>
    <row r="13">
      <c r="A13" s="7">
        <v>6.0</v>
      </c>
      <c r="B13" s="7">
        <v>1.0</v>
      </c>
      <c r="C13" s="7">
        <v>545.0</v>
      </c>
      <c r="D13" s="10">
        <v>1.0</v>
      </c>
      <c r="E13" s="7"/>
      <c r="F13" s="7"/>
      <c r="G13" s="7"/>
      <c r="H13" s="7"/>
      <c r="I13" s="7"/>
      <c r="J13" s="7"/>
      <c r="K13" s="7" t="str">
        <f t="shared" si="1"/>
        <v>BR-6-1</v>
      </c>
      <c r="L13" s="2">
        <f t="shared" si="2"/>
        <v>545</v>
      </c>
      <c r="N13" s="2" t="str">
        <f t="shared" si="3"/>
        <v>BR-6-1</v>
      </c>
      <c r="O13" s="2" t="str">
        <f t="shared" si="4"/>
        <v/>
      </c>
      <c r="Q13" s="2" t="str">
        <f t="shared" si="5"/>
        <v>BR-6-1</v>
      </c>
      <c r="R13" s="2" t="str">
        <f t="shared" si="6"/>
        <v/>
      </c>
    </row>
    <row r="14">
      <c r="A14" s="11">
        <v>6.0</v>
      </c>
      <c r="B14" s="7">
        <v>2.0</v>
      </c>
      <c r="C14" s="7">
        <v>5667.0</v>
      </c>
      <c r="D14" s="10">
        <v>2.0</v>
      </c>
      <c r="E14" s="7"/>
      <c r="F14" s="7"/>
      <c r="G14" s="7"/>
      <c r="H14" s="7"/>
      <c r="I14" s="7"/>
      <c r="J14" s="7"/>
      <c r="K14" s="7" t="str">
        <f t="shared" si="1"/>
        <v>BR-6-2</v>
      </c>
      <c r="L14" s="2">
        <f t="shared" si="2"/>
        <v>5667</v>
      </c>
      <c r="N14" s="2" t="str">
        <f t="shared" si="3"/>
        <v>BR-6-2</v>
      </c>
      <c r="O14" s="2" t="str">
        <f t="shared" si="4"/>
        <v/>
      </c>
      <c r="Q14" s="2" t="str">
        <f t="shared" si="5"/>
        <v>BR-6-2</v>
      </c>
      <c r="R14" s="2" t="str">
        <f t="shared" si="6"/>
        <v/>
      </c>
    </row>
    <row r="15">
      <c r="A15" s="7">
        <v>7.0</v>
      </c>
      <c r="B15" s="7">
        <v>1.0</v>
      </c>
      <c r="C15" s="7">
        <v>3027.0</v>
      </c>
      <c r="D15" s="10">
        <v>1.0</v>
      </c>
      <c r="E15" s="7"/>
      <c r="F15" s="7"/>
      <c r="G15" s="7"/>
      <c r="H15" s="7"/>
      <c r="I15" s="7"/>
      <c r="J15" s="7"/>
      <c r="K15" s="7" t="str">
        <f t="shared" si="1"/>
        <v>BR-7-1</v>
      </c>
      <c r="L15" s="2">
        <f t="shared" si="2"/>
        <v>3027</v>
      </c>
      <c r="N15" s="2" t="str">
        <f t="shared" si="3"/>
        <v>BR-7-1</v>
      </c>
      <c r="O15" s="2" t="str">
        <f t="shared" si="4"/>
        <v/>
      </c>
      <c r="Q15" s="2" t="str">
        <f t="shared" si="5"/>
        <v>BR-7-1</v>
      </c>
      <c r="R15" s="2" t="str">
        <f t="shared" si="6"/>
        <v/>
      </c>
    </row>
    <row r="16">
      <c r="A16" s="11">
        <v>7.0</v>
      </c>
      <c r="B16" s="7">
        <v>2.0</v>
      </c>
      <c r="C16" s="7">
        <v>149.0</v>
      </c>
      <c r="D16" s="10">
        <v>2.0</v>
      </c>
      <c r="E16" s="7"/>
      <c r="F16" s="7"/>
      <c r="G16" s="7"/>
      <c r="H16" s="7"/>
      <c r="I16" s="7"/>
      <c r="J16" s="7"/>
      <c r="K16" s="7" t="str">
        <f t="shared" si="1"/>
        <v>BR-7-2</v>
      </c>
      <c r="L16" s="2">
        <f t="shared" si="2"/>
        <v>149</v>
      </c>
      <c r="N16" s="2" t="str">
        <f t="shared" si="3"/>
        <v>BR-7-2</v>
      </c>
      <c r="O16" s="2" t="str">
        <f t="shared" si="4"/>
        <v/>
      </c>
      <c r="Q16" s="2" t="str">
        <f t="shared" si="5"/>
        <v>BR-7-2</v>
      </c>
      <c r="R16" s="2" t="str">
        <f t="shared" si="6"/>
        <v/>
      </c>
    </row>
    <row r="17">
      <c r="A17" s="7">
        <v>8.0</v>
      </c>
      <c r="B17" s="7">
        <v>1.0</v>
      </c>
      <c r="C17" s="7">
        <v>155.0</v>
      </c>
      <c r="D17" s="10">
        <v>1.0</v>
      </c>
      <c r="E17" s="7"/>
      <c r="F17" s="7"/>
      <c r="G17" s="7"/>
      <c r="H17" s="7"/>
      <c r="I17" s="7"/>
      <c r="J17" s="7"/>
      <c r="K17" s="7" t="str">
        <f t="shared" si="1"/>
        <v>BR-8-1</v>
      </c>
      <c r="L17" s="2">
        <f t="shared" si="2"/>
        <v>155</v>
      </c>
      <c r="N17" s="2" t="str">
        <f t="shared" si="3"/>
        <v>BR-8-1</v>
      </c>
      <c r="O17" s="2" t="str">
        <f t="shared" si="4"/>
        <v/>
      </c>
      <c r="Q17" s="2" t="str">
        <f t="shared" si="5"/>
        <v>BR-8-1</v>
      </c>
      <c r="R17" s="2" t="str">
        <f t="shared" si="6"/>
        <v/>
      </c>
    </row>
    <row r="18">
      <c r="A18" s="11">
        <v>8.0</v>
      </c>
      <c r="B18" s="7">
        <v>2.0</v>
      </c>
      <c r="C18" s="7">
        <v>149.0</v>
      </c>
      <c r="D18" s="10">
        <v>2.0</v>
      </c>
      <c r="E18" s="7"/>
      <c r="F18" s="7"/>
      <c r="G18" s="7"/>
      <c r="H18" s="7"/>
      <c r="I18" s="7"/>
      <c r="J18" s="7"/>
      <c r="K18" s="7" t="str">
        <f t="shared" si="1"/>
        <v>BR-8-2</v>
      </c>
      <c r="L18" s="2">
        <f t="shared" si="2"/>
        <v>149</v>
      </c>
      <c r="N18" s="2" t="str">
        <f t="shared" si="3"/>
        <v>BR-8-2</v>
      </c>
      <c r="O18" s="2" t="str">
        <f t="shared" si="4"/>
        <v/>
      </c>
      <c r="Q18" s="2" t="str">
        <f t="shared" si="5"/>
        <v>BR-8-2</v>
      </c>
      <c r="R18" s="2" t="str">
        <f t="shared" si="6"/>
        <v/>
      </c>
    </row>
    <row r="19">
      <c r="A19" s="7">
        <v>12.0</v>
      </c>
      <c r="B19" s="7">
        <v>1.0</v>
      </c>
      <c r="C19" s="7">
        <v>5667.0</v>
      </c>
      <c r="D19" s="10">
        <v>1.0</v>
      </c>
      <c r="E19" s="7"/>
      <c r="F19" s="7"/>
      <c r="G19" s="7"/>
      <c r="H19" s="7"/>
      <c r="I19" s="7"/>
      <c r="J19" s="7"/>
      <c r="K19" s="7" t="str">
        <f t="shared" si="1"/>
        <v>BR-12-1</v>
      </c>
      <c r="L19" s="2">
        <f t="shared" si="2"/>
        <v>5667</v>
      </c>
      <c r="N19" s="2" t="str">
        <f t="shared" si="3"/>
        <v>BR-12-1</v>
      </c>
      <c r="O19" s="2" t="str">
        <f t="shared" si="4"/>
        <v/>
      </c>
      <c r="Q19" s="2" t="str">
        <f t="shared" si="5"/>
        <v>BR-12-1</v>
      </c>
      <c r="R19" s="2" t="str">
        <f t="shared" si="6"/>
        <v/>
      </c>
    </row>
    <row r="20">
      <c r="A20" s="7">
        <v>13.0</v>
      </c>
      <c r="B20" s="7">
        <v>1.0</v>
      </c>
      <c r="C20" s="7">
        <v>2347.0</v>
      </c>
      <c r="D20" s="10">
        <v>1.0</v>
      </c>
      <c r="E20" s="7"/>
      <c r="F20" s="7"/>
      <c r="G20" s="7"/>
      <c r="H20" s="7"/>
      <c r="I20" s="7"/>
      <c r="J20" s="7"/>
      <c r="K20" s="7" t="str">
        <f t="shared" si="1"/>
        <v>BR-13-1</v>
      </c>
      <c r="L20" s="2">
        <f t="shared" si="2"/>
        <v>2347</v>
      </c>
      <c r="N20" s="2" t="str">
        <f t="shared" si="3"/>
        <v>BR-13-1</v>
      </c>
      <c r="O20" s="2" t="str">
        <f t="shared" si="4"/>
        <v/>
      </c>
      <c r="Q20" s="2" t="str">
        <f t="shared" si="5"/>
        <v>BR-13-1</v>
      </c>
      <c r="R20" s="2" t="str">
        <f t="shared" si="6"/>
        <v/>
      </c>
    </row>
    <row r="21">
      <c r="A21" s="7">
        <v>15.0</v>
      </c>
      <c r="B21" s="7">
        <v>1.0</v>
      </c>
      <c r="C21" s="7">
        <v>2308.0</v>
      </c>
      <c r="D21" s="10">
        <v>1.0</v>
      </c>
      <c r="E21" s="7"/>
      <c r="F21" s="7"/>
      <c r="G21" s="7"/>
      <c r="H21" s="7"/>
      <c r="I21" s="7"/>
      <c r="J21" s="7"/>
      <c r="K21" s="7" t="str">
        <f t="shared" si="1"/>
        <v>BR-15-1</v>
      </c>
      <c r="L21" s="2">
        <f t="shared" si="2"/>
        <v>2308</v>
      </c>
      <c r="N21" s="2" t="str">
        <f t="shared" si="3"/>
        <v>BR-15-1</v>
      </c>
      <c r="O21" s="2" t="str">
        <f t="shared" si="4"/>
        <v/>
      </c>
      <c r="Q21" s="2" t="str">
        <f t="shared" si="5"/>
        <v>BR-15-1</v>
      </c>
      <c r="R21" s="2" t="str">
        <f t="shared" si="6"/>
        <v/>
      </c>
    </row>
    <row r="22">
      <c r="A22" s="11">
        <v>15.0</v>
      </c>
      <c r="B22" s="7">
        <v>2.0</v>
      </c>
      <c r="C22" s="7">
        <v>2327.0</v>
      </c>
      <c r="D22" s="10">
        <v>2.0</v>
      </c>
      <c r="E22" s="7"/>
      <c r="F22" s="7"/>
      <c r="G22" s="7"/>
      <c r="H22" s="7"/>
      <c r="I22" s="7"/>
      <c r="J22" s="7"/>
      <c r="K22" s="7" t="str">
        <f t="shared" si="1"/>
        <v>BR-15-2</v>
      </c>
      <c r="L22" s="2">
        <f t="shared" si="2"/>
        <v>2327</v>
      </c>
      <c r="N22" s="2" t="str">
        <f t="shared" si="3"/>
        <v>BR-15-2</v>
      </c>
      <c r="O22" s="2" t="str">
        <f t="shared" si="4"/>
        <v/>
      </c>
      <c r="Q22" s="2" t="str">
        <f t="shared" si="5"/>
        <v>BR-15-2</v>
      </c>
      <c r="R22" s="2" t="str">
        <f t="shared" si="6"/>
        <v/>
      </c>
    </row>
    <row r="23">
      <c r="A23" s="7">
        <v>9.0</v>
      </c>
      <c r="B23" s="7">
        <v>1.0</v>
      </c>
      <c r="C23" s="7">
        <v>2314.0</v>
      </c>
      <c r="D23" s="10">
        <v>1.0</v>
      </c>
      <c r="E23" s="7"/>
      <c r="F23" s="7"/>
      <c r="G23" s="7"/>
      <c r="H23" s="7"/>
      <c r="I23" s="7"/>
      <c r="J23" s="7"/>
      <c r="K23" s="7" t="str">
        <f t="shared" si="1"/>
        <v>BR-9-1</v>
      </c>
      <c r="L23" s="2">
        <f t="shared" si="2"/>
        <v>2314</v>
      </c>
      <c r="N23" s="2" t="str">
        <f t="shared" si="3"/>
        <v>BR-9-1</v>
      </c>
      <c r="O23" s="2" t="str">
        <f t="shared" si="4"/>
        <v/>
      </c>
      <c r="Q23" s="2" t="str">
        <f t="shared" si="5"/>
        <v>BR-9-1</v>
      </c>
      <c r="R23" s="2" t="str">
        <f t="shared" si="6"/>
        <v/>
      </c>
    </row>
    <row r="24">
      <c r="A24" s="12">
        <v>19.0</v>
      </c>
      <c r="B24" s="7">
        <v>1.0</v>
      </c>
      <c r="C24" s="7"/>
      <c r="D24" s="7"/>
      <c r="E24" s="7"/>
      <c r="F24" s="7"/>
      <c r="G24" s="7"/>
      <c r="H24" s="7"/>
      <c r="I24" s="7"/>
      <c r="J24" s="7"/>
      <c r="K24" s="7" t="str">
        <f t="shared" si="1"/>
        <v>BR-19-1</v>
      </c>
      <c r="L24" s="2" t="str">
        <f t="shared" si="2"/>
        <v/>
      </c>
      <c r="N24" s="2" t="str">
        <f t="shared" si="3"/>
        <v>BR-19-1</v>
      </c>
      <c r="O24" s="2" t="str">
        <f t="shared" si="4"/>
        <v/>
      </c>
      <c r="Q24" s="2" t="str">
        <f t="shared" si="5"/>
        <v>BR-19-1</v>
      </c>
      <c r="R24" s="2" t="str">
        <f t="shared" si="6"/>
        <v/>
      </c>
    </row>
    <row r="25">
      <c r="A25" s="7">
        <v>10.0</v>
      </c>
      <c r="B25" s="7">
        <v>1.0</v>
      </c>
      <c r="C25" s="7"/>
      <c r="D25" s="7"/>
      <c r="E25" s="7"/>
      <c r="F25" s="7"/>
      <c r="G25" s="7"/>
      <c r="H25" s="7"/>
      <c r="I25" s="7"/>
      <c r="J25" s="7"/>
      <c r="K25" s="7" t="str">
        <f t="shared" si="1"/>
        <v>BR-10-1</v>
      </c>
      <c r="L25" s="2" t="str">
        <f t="shared" si="2"/>
        <v/>
      </c>
      <c r="N25" s="2" t="str">
        <f t="shared" si="3"/>
        <v>BR-10-1</v>
      </c>
      <c r="O25" s="2" t="str">
        <f t="shared" si="4"/>
        <v/>
      </c>
      <c r="Q25" s="2" t="str">
        <f t="shared" si="5"/>
        <v>BR-10-1</v>
      </c>
      <c r="R25" s="2" t="str">
        <f t="shared" si="6"/>
        <v/>
      </c>
    </row>
    <row r="26">
      <c r="A26" s="11">
        <v>10.0</v>
      </c>
      <c r="B26" s="7">
        <v>2.0</v>
      </c>
      <c r="C26" s="7">
        <v>2307.0</v>
      </c>
      <c r="D26" s="10">
        <v>2.0</v>
      </c>
      <c r="E26" s="7"/>
      <c r="F26" s="7"/>
      <c r="G26" s="7"/>
      <c r="H26" s="7"/>
      <c r="I26" s="7"/>
      <c r="J26" s="7"/>
      <c r="K26" s="7" t="str">
        <f t="shared" si="1"/>
        <v>BR-10-2</v>
      </c>
      <c r="L26" s="2">
        <f t="shared" si="2"/>
        <v>2307</v>
      </c>
      <c r="N26" s="2" t="str">
        <f t="shared" si="3"/>
        <v>BR-10-2</v>
      </c>
      <c r="O26" s="2" t="str">
        <f t="shared" si="4"/>
        <v/>
      </c>
      <c r="Q26" s="2" t="str">
        <f t="shared" si="5"/>
        <v>BR-10-2</v>
      </c>
      <c r="R26" s="2" t="str">
        <f t="shared" si="6"/>
        <v/>
      </c>
    </row>
    <row r="27">
      <c r="A27" s="7">
        <v>31.0</v>
      </c>
      <c r="B27" s="7">
        <v>1.0</v>
      </c>
      <c r="C27" s="7">
        <v>2307.0</v>
      </c>
      <c r="D27" s="10">
        <v>1.0</v>
      </c>
      <c r="E27" s="8">
        <v>2314.0</v>
      </c>
      <c r="F27" s="10">
        <v>2.0</v>
      </c>
      <c r="G27" s="7"/>
      <c r="H27" s="7"/>
      <c r="I27" s="7"/>
      <c r="J27" s="7"/>
      <c r="K27" s="7" t="str">
        <f t="shared" si="1"/>
        <v>BR-31-1</v>
      </c>
      <c r="L27" s="2">
        <f t="shared" si="2"/>
        <v>2307</v>
      </c>
      <c r="N27" s="2" t="str">
        <f t="shared" si="3"/>
        <v>BR-31-1</v>
      </c>
      <c r="O27" s="2">
        <f t="shared" si="4"/>
        <v>2314</v>
      </c>
      <c r="Q27" s="2" t="str">
        <f t="shared" si="5"/>
        <v>BR-31-1</v>
      </c>
      <c r="R27" s="2" t="str">
        <f t="shared" si="6"/>
        <v/>
      </c>
    </row>
    <row r="28">
      <c r="A28" s="11">
        <v>31.0</v>
      </c>
      <c r="B28" s="7">
        <v>2.0</v>
      </c>
      <c r="C28" s="7">
        <v>2313.0</v>
      </c>
      <c r="D28" s="10">
        <v>1.0</v>
      </c>
      <c r="E28" s="7"/>
      <c r="F28" s="7"/>
      <c r="G28" s="7"/>
      <c r="H28" s="7"/>
      <c r="I28" s="7"/>
      <c r="J28" s="7"/>
      <c r="K28" s="7" t="str">
        <f t="shared" si="1"/>
        <v>BR-31-2</v>
      </c>
      <c r="L28" s="2">
        <f t="shared" si="2"/>
        <v>2313</v>
      </c>
      <c r="N28" s="2" t="str">
        <f t="shared" si="3"/>
        <v>BR-31-2</v>
      </c>
      <c r="O28" s="2" t="str">
        <f t="shared" si="4"/>
        <v/>
      </c>
      <c r="Q28" s="2" t="str">
        <f t="shared" si="5"/>
        <v>BR-31-2</v>
      </c>
      <c r="R28" s="2" t="str">
        <f t="shared" si="6"/>
        <v/>
      </c>
    </row>
    <row r="29">
      <c r="A29" s="7">
        <v>20.0</v>
      </c>
      <c r="B29" s="7">
        <v>1.0</v>
      </c>
      <c r="C29" s="7">
        <v>2305.0</v>
      </c>
      <c r="D29" s="10">
        <v>1.0</v>
      </c>
      <c r="E29" s="7"/>
      <c r="F29" s="7"/>
      <c r="G29" s="7"/>
      <c r="H29" s="7"/>
      <c r="I29" s="7"/>
      <c r="J29" s="7"/>
      <c r="K29" s="7" t="str">
        <f t="shared" si="1"/>
        <v>BR-20-1</v>
      </c>
      <c r="L29" s="2">
        <f t="shared" si="2"/>
        <v>2305</v>
      </c>
      <c r="N29" s="2" t="str">
        <f t="shared" si="3"/>
        <v>BR-20-1</v>
      </c>
      <c r="O29" s="2" t="str">
        <f t="shared" si="4"/>
        <v/>
      </c>
      <c r="Q29" s="2" t="str">
        <f t="shared" si="5"/>
        <v>BR-20-1</v>
      </c>
      <c r="R29" s="2" t="str">
        <f t="shared" si="6"/>
        <v/>
      </c>
    </row>
    <row r="30">
      <c r="A30" s="11">
        <v>20.0</v>
      </c>
      <c r="B30" s="7">
        <v>2.0</v>
      </c>
      <c r="C30" s="7">
        <v>2324.0</v>
      </c>
      <c r="D30" s="10">
        <v>1.0</v>
      </c>
      <c r="E30" s="8">
        <v>2325.0</v>
      </c>
      <c r="F30" s="10">
        <v>2.0</v>
      </c>
      <c r="G30" s="7"/>
      <c r="H30" s="7"/>
      <c r="I30" s="7"/>
      <c r="J30" s="7"/>
      <c r="K30" s="7" t="str">
        <f t="shared" si="1"/>
        <v>BR-20-2</v>
      </c>
      <c r="L30" s="2">
        <f t="shared" si="2"/>
        <v>2324</v>
      </c>
      <c r="N30" s="2" t="str">
        <f t="shared" si="3"/>
        <v>BR-20-2</v>
      </c>
      <c r="O30" s="2">
        <f t="shared" si="4"/>
        <v>2325</v>
      </c>
      <c r="Q30" s="2" t="str">
        <f t="shared" si="5"/>
        <v>BR-20-2</v>
      </c>
      <c r="R30" s="2" t="str">
        <f t="shared" si="6"/>
        <v/>
      </c>
    </row>
    <row r="31">
      <c r="A31" s="7">
        <v>11.0</v>
      </c>
      <c r="B31" s="7">
        <v>1.0</v>
      </c>
      <c r="C31" s="7">
        <v>2328.0</v>
      </c>
      <c r="D31" s="10">
        <v>1.0</v>
      </c>
      <c r="E31" s="8">
        <v>2305.0</v>
      </c>
      <c r="F31" s="10">
        <v>2.0</v>
      </c>
      <c r="G31" s="7"/>
      <c r="H31" s="7"/>
      <c r="I31" s="7"/>
      <c r="J31" s="7"/>
      <c r="K31" s="7" t="str">
        <f t="shared" si="1"/>
        <v>BR-11-1</v>
      </c>
      <c r="L31" s="2">
        <f t="shared" si="2"/>
        <v>2328</v>
      </c>
      <c r="N31" s="2" t="str">
        <f t="shared" si="3"/>
        <v>BR-11-1</v>
      </c>
      <c r="O31" s="2">
        <f t="shared" si="4"/>
        <v>2305</v>
      </c>
      <c r="Q31" s="2" t="str">
        <f t="shared" si="5"/>
        <v>BR-11-1</v>
      </c>
      <c r="R31" s="2" t="str">
        <f t="shared" si="6"/>
        <v/>
      </c>
    </row>
    <row r="32">
      <c r="A32" s="11">
        <v>11.0</v>
      </c>
      <c r="B32" s="7">
        <v>2.0</v>
      </c>
      <c r="C32" s="7">
        <v>2324.0</v>
      </c>
      <c r="D32" s="10">
        <v>1.0</v>
      </c>
      <c r="E32" s="8">
        <v>2314.0</v>
      </c>
      <c r="F32" s="10">
        <v>2.0</v>
      </c>
      <c r="G32" s="7"/>
      <c r="H32" s="7"/>
      <c r="I32" s="7"/>
      <c r="J32" s="7"/>
      <c r="K32" s="7" t="str">
        <f t="shared" si="1"/>
        <v>BR-11-2</v>
      </c>
      <c r="L32" s="2">
        <f t="shared" si="2"/>
        <v>2324</v>
      </c>
      <c r="N32" s="2" t="str">
        <f t="shared" si="3"/>
        <v>BR-11-2</v>
      </c>
      <c r="O32" s="2">
        <f t="shared" si="4"/>
        <v>2314</v>
      </c>
      <c r="Q32" s="2" t="str">
        <f t="shared" si="5"/>
        <v>BR-11-2</v>
      </c>
      <c r="R32" s="2" t="str">
        <f t="shared" si="6"/>
        <v/>
      </c>
    </row>
    <row r="33">
      <c r="A33" s="7">
        <v>22.0</v>
      </c>
      <c r="B33" s="7">
        <v>1.0</v>
      </c>
      <c r="C33" s="7">
        <v>2305.0</v>
      </c>
      <c r="D33" s="10">
        <v>1.0</v>
      </c>
      <c r="E33" s="8">
        <v>2323.0</v>
      </c>
      <c r="F33" s="10">
        <v>2.0</v>
      </c>
      <c r="G33" s="7"/>
      <c r="H33" s="7"/>
      <c r="I33" s="7"/>
      <c r="J33" s="7"/>
      <c r="K33" s="7" t="str">
        <f t="shared" si="1"/>
        <v>BR-22-1</v>
      </c>
      <c r="L33" s="2">
        <f t="shared" si="2"/>
        <v>2305</v>
      </c>
      <c r="N33" s="2" t="str">
        <f t="shared" si="3"/>
        <v>BR-22-1</v>
      </c>
      <c r="O33" s="2">
        <f t="shared" si="4"/>
        <v>2323</v>
      </c>
      <c r="Q33" s="2" t="str">
        <f t="shared" si="5"/>
        <v>BR-22-1</v>
      </c>
      <c r="R33" s="2" t="str">
        <f t="shared" si="6"/>
        <v/>
      </c>
    </row>
    <row r="34">
      <c r="A34" s="7">
        <v>23.0</v>
      </c>
      <c r="B34" s="7">
        <v>1.0</v>
      </c>
      <c r="C34" s="7">
        <v>2305.0</v>
      </c>
      <c r="D34" s="10">
        <v>1.0</v>
      </c>
      <c r="E34" s="8">
        <v>2304.0</v>
      </c>
      <c r="F34" s="10">
        <v>2.0</v>
      </c>
      <c r="G34" s="7"/>
      <c r="H34" s="7"/>
      <c r="I34" s="7"/>
      <c r="J34" s="7"/>
      <c r="K34" s="7" t="str">
        <f t="shared" si="1"/>
        <v>BR-23-1</v>
      </c>
      <c r="L34" s="2">
        <f t="shared" si="2"/>
        <v>2305</v>
      </c>
      <c r="N34" s="2" t="str">
        <f t="shared" si="3"/>
        <v>BR-23-1</v>
      </c>
      <c r="O34" s="2">
        <f t="shared" si="4"/>
        <v>2304</v>
      </c>
      <c r="Q34" s="2" t="str">
        <f t="shared" si="5"/>
        <v>BR-23-1</v>
      </c>
      <c r="R34" s="2" t="str">
        <f t="shared" si="6"/>
        <v/>
      </c>
    </row>
    <row r="35">
      <c r="A35" s="11">
        <v>23.0</v>
      </c>
      <c r="B35" s="7">
        <v>2.0</v>
      </c>
      <c r="C35" s="7">
        <v>2324.0</v>
      </c>
      <c r="D35" s="10">
        <v>1.0</v>
      </c>
      <c r="E35" s="8">
        <v>2325.0</v>
      </c>
      <c r="F35" s="10">
        <v>2.0</v>
      </c>
      <c r="G35" s="7"/>
      <c r="H35" s="7"/>
      <c r="I35" s="7"/>
      <c r="J35" s="7"/>
      <c r="K35" s="7" t="str">
        <f t="shared" si="1"/>
        <v>BR-23-2</v>
      </c>
      <c r="L35" s="2">
        <f t="shared" si="2"/>
        <v>2324</v>
      </c>
      <c r="N35" s="2" t="str">
        <f t="shared" si="3"/>
        <v>BR-23-2</v>
      </c>
      <c r="O35" s="2">
        <f t="shared" si="4"/>
        <v>2325</v>
      </c>
      <c r="Q35" s="2" t="str">
        <f t="shared" si="5"/>
        <v>BR-23-2</v>
      </c>
      <c r="R35" s="2" t="str">
        <f t="shared" si="6"/>
        <v/>
      </c>
    </row>
    <row r="36">
      <c r="A36" s="7">
        <v>14.0</v>
      </c>
      <c r="B36" s="7">
        <v>1.0</v>
      </c>
      <c r="C36" s="7">
        <v>2314.0</v>
      </c>
      <c r="D36" s="10">
        <v>1.0</v>
      </c>
      <c r="E36" s="7"/>
      <c r="F36" s="7"/>
      <c r="G36" s="7"/>
      <c r="H36" s="7"/>
      <c r="I36" s="7"/>
      <c r="J36" s="7"/>
      <c r="K36" s="7" t="str">
        <f t="shared" si="1"/>
        <v>BR-14-1</v>
      </c>
      <c r="L36" s="2">
        <f t="shared" si="2"/>
        <v>2314</v>
      </c>
      <c r="N36" s="2" t="str">
        <f t="shared" si="3"/>
        <v>BR-14-1</v>
      </c>
      <c r="O36" s="2" t="str">
        <f t="shared" si="4"/>
        <v/>
      </c>
      <c r="Q36" s="2" t="str">
        <f t="shared" si="5"/>
        <v>BR-14-1</v>
      </c>
      <c r="R36" s="2" t="str">
        <f t="shared" si="6"/>
        <v/>
      </c>
    </row>
    <row r="37">
      <c r="A37" s="11">
        <v>14.0</v>
      </c>
      <c r="B37" s="7">
        <v>2.0</v>
      </c>
      <c r="C37" s="7">
        <v>2313.0</v>
      </c>
      <c r="D37" s="10">
        <v>1.0</v>
      </c>
      <c r="E37" s="8">
        <v>2324.0</v>
      </c>
      <c r="F37" s="10">
        <v>2.0</v>
      </c>
      <c r="G37" s="7"/>
      <c r="H37" s="7"/>
      <c r="I37" s="7"/>
      <c r="J37" s="7"/>
      <c r="K37" s="7" t="str">
        <f t="shared" si="1"/>
        <v>BR-14-2</v>
      </c>
      <c r="L37" s="2">
        <f t="shared" si="2"/>
        <v>2313</v>
      </c>
      <c r="N37" s="2" t="str">
        <f t="shared" si="3"/>
        <v>BR-14-2</v>
      </c>
      <c r="O37" s="2">
        <f t="shared" si="4"/>
        <v>2324</v>
      </c>
      <c r="Q37" s="2" t="str">
        <f t="shared" si="5"/>
        <v>BR-14-2</v>
      </c>
      <c r="R37" s="2" t="str">
        <f t="shared" si="6"/>
        <v/>
      </c>
    </row>
    <row r="38">
      <c r="A38" s="7">
        <v>28.0</v>
      </c>
      <c r="B38" s="7">
        <v>1.0</v>
      </c>
      <c r="C38" s="7">
        <v>2313.0</v>
      </c>
      <c r="D38" s="10">
        <v>1.0</v>
      </c>
      <c r="E38" s="8">
        <v>2304.0</v>
      </c>
      <c r="F38" s="10">
        <v>2.0</v>
      </c>
      <c r="G38" s="7"/>
      <c r="H38" s="7"/>
      <c r="I38" s="7"/>
      <c r="J38" s="7"/>
      <c r="K38" s="7" t="str">
        <f t="shared" si="1"/>
        <v>BR-28-1</v>
      </c>
      <c r="L38" s="2">
        <f t="shared" si="2"/>
        <v>2313</v>
      </c>
      <c r="N38" s="2" t="str">
        <f t="shared" si="3"/>
        <v>BR-28-1</v>
      </c>
      <c r="O38" s="2">
        <f t="shared" si="4"/>
        <v>2304</v>
      </c>
      <c r="Q38" s="2" t="str">
        <f t="shared" si="5"/>
        <v>BR-28-1</v>
      </c>
      <c r="R38" s="2" t="str">
        <f t="shared" si="6"/>
        <v/>
      </c>
    </row>
    <row r="39">
      <c r="A39" s="7">
        <v>16.0</v>
      </c>
      <c r="B39" s="7">
        <v>1.0</v>
      </c>
      <c r="C39" s="7">
        <v>2313.0</v>
      </c>
      <c r="D39" s="10">
        <v>1.0</v>
      </c>
      <c r="E39" s="8">
        <v>2314.0</v>
      </c>
      <c r="F39" s="10">
        <v>2.0</v>
      </c>
      <c r="G39" s="7"/>
      <c r="H39" s="7"/>
      <c r="I39" s="7"/>
      <c r="J39" s="7"/>
      <c r="K39" s="7" t="str">
        <f t="shared" si="1"/>
        <v>BR-16-1</v>
      </c>
      <c r="L39" s="2">
        <f t="shared" si="2"/>
        <v>2313</v>
      </c>
      <c r="N39" s="2" t="str">
        <f t="shared" si="3"/>
        <v>BR-16-1</v>
      </c>
      <c r="O39" s="2">
        <f t="shared" si="4"/>
        <v>2314</v>
      </c>
      <c r="Q39" s="2" t="str">
        <f t="shared" si="5"/>
        <v>BR-16-1</v>
      </c>
      <c r="R39" s="2" t="str">
        <f t="shared" si="6"/>
        <v/>
      </c>
    </row>
    <row r="40">
      <c r="A40" s="11">
        <v>16.0</v>
      </c>
      <c r="B40" s="7">
        <v>2.0</v>
      </c>
      <c r="C40" s="7">
        <v>2328.0</v>
      </c>
      <c r="D40" s="10">
        <v>1.0</v>
      </c>
      <c r="E40" s="8">
        <v>2312.0</v>
      </c>
      <c r="F40" s="10">
        <v>2.0</v>
      </c>
      <c r="G40" s="7"/>
      <c r="H40" s="7"/>
      <c r="I40" s="7"/>
      <c r="J40" s="7"/>
      <c r="K40" s="7" t="str">
        <f t="shared" si="1"/>
        <v>BR-16-2</v>
      </c>
      <c r="L40" s="2">
        <f t="shared" si="2"/>
        <v>2328</v>
      </c>
      <c r="N40" s="2" t="str">
        <f t="shared" si="3"/>
        <v>BR-16-2</v>
      </c>
      <c r="O40" s="2">
        <f t="shared" si="4"/>
        <v>2312</v>
      </c>
      <c r="Q40" s="2" t="str">
        <f t="shared" si="5"/>
        <v>BR-16-2</v>
      </c>
      <c r="R40" s="2" t="str">
        <f t="shared" si="6"/>
        <v/>
      </c>
    </row>
    <row r="41">
      <c r="A41" s="7">
        <v>17.0</v>
      </c>
      <c r="B41" s="7">
        <v>1.0</v>
      </c>
      <c r="C41" s="7">
        <v>2308.0</v>
      </c>
      <c r="D41" s="10">
        <v>1.0</v>
      </c>
      <c r="E41" s="8">
        <v>2309.0</v>
      </c>
      <c r="F41" s="10">
        <v>2.0</v>
      </c>
      <c r="G41" s="7"/>
      <c r="H41" s="7"/>
      <c r="I41" s="7"/>
      <c r="J41" s="7"/>
      <c r="K41" s="7" t="str">
        <f t="shared" si="1"/>
        <v>BR-17-1</v>
      </c>
      <c r="L41" s="2">
        <f t="shared" si="2"/>
        <v>2308</v>
      </c>
      <c r="N41" s="2" t="str">
        <f t="shared" si="3"/>
        <v>BR-17-1</v>
      </c>
      <c r="O41" s="2">
        <f t="shared" si="4"/>
        <v>2309</v>
      </c>
      <c r="Q41" s="2" t="str">
        <f t="shared" si="5"/>
        <v>BR-17-1</v>
      </c>
      <c r="R41" s="2" t="str">
        <f t="shared" si="6"/>
        <v/>
      </c>
    </row>
    <row r="42">
      <c r="A42" s="11">
        <v>17.0</v>
      </c>
      <c r="B42" s="7">
        <v>2.0</v>
      </c>
      <c r="C42" s="7">
        <v>2307.0</v>
      </c>
      <c r="D42" s="10">
        <v>1.0</v>
      </c>
      <c r="E42" s="8">
        <v>2314.0</v>
      </c>
      <c r="F42" s="10">
        <v>2.0</v>
      </c>
      <c r="G42" s="7"/>
      <c r="H42" s="7"/>
      <c r="I42" s="7"/>
      <c r="J42" s="7"/>
      <c r="K42" s="7" t="str">
        <f t="shared" si="1"/>
        <v>BR-17-2</v>
      </c>
      <c r="L42" s="2">
        <f t="shared" si="2"/>
        <v>2307</v>
      </c>
      <c r="N42" s="2" t="str">
        <f t="shared" si="3"/>
        <v>BR-17-2</v>
      </c>
      <c r="O42" s="2">
        <f t="shared" si="4"/>
        <v>2314</v>
      </c>
      <c r="Q42" s="2" t="str">
        <f t="shared" si="5"/>
        <v>BR-17-2</v>
      </c>
      <c r="R42" s="2" t="str">
        <f t="shared" si="6"/>
        <v/>
      </c>
    </row>
    <row r="43">
      <c r="A43" s="7">
        <v>18.0</v>
      </c>
      <c r="B43" s="7">
        <v>1.0</v>
      </c>
      <c r="C43" s="7">
        <v>2322.0</v>
      </c>
      <c r="D43" s="10">
        <v>1.0</v>
      </c>
      <c r="E43" s="8">
        <v>2313.0</v>
      </c>
      <c r="F43" s="10">
        <v>2.0</v>
      </c>
      <c r="G43" s="7"/>
      <c r="H43" s="7"/>
      <c r="I43" s="7"/>
      <c r="J43" s="7"/>
      <c r="K43" s="7" t="str">
        <f t="shared" si="1"/>
        <v>BR-18-1</v>
      </c>
      <c r="L43" s="2">
        <f t="shared" si="2"/>
        <v>2322</v>
      </c>
      <c r="N43" s="2" t="str">
        <f t="shared" si="3"/>
        <v>BR-18-1</v>
      </c>
      <c r="O43" s="2">
        <f t="shared" si="4"/>
        <v>2313</v>
      </c>
      <c r="Q43" s="2" t="str">
        <f t="shared" si="5"/>
        <v>BR-18-1</v>
      </c>
      <c r="R43" s="2" t="str">
        <f t="shared" si="6"/>
        <v/>
      </c>
    </row>
    <row r="44">
      <c r="A44" s="7">
        <v>29.0</v>
      </c>
      <c r="B44" s="7">
        <v>1.0</v>
      </c>
      <c r="C44" s="7">
        <v>2305.0</v>
      </c>
      <c r="D44" s="10">
        <v>1.0</v>
      </c>
      <c r="E44" s="8">
        <v>2313.0</v>
      </c>
      <c r="F44" s="10">
        <v>2.0</v>
      </c>
      <c r="G44" s="7"/>
      <c r="H44" s="7"/>
      <c r="I44" s="7"/>
      <c r="J44" s="7"/>
      <c r="K44" s="7" t="str">
        <f t="shared" si="1"/>
        <v>BR-29-1</v>
      </c>
      <c r="L44" s="2">
        <f t="shared" si="2"/>
        <v>2305</v>
      </c>
      <c r="N44" s="2" t="str">
        <f t="shared" si="3"/>
        <v>BR-29-1</v>
      </c>
      <c r="O44" s="2">
        <f t="shared" si="4"/>
        <v>2313</v>
      </c>
      <c r="Q44" s="2" t="str">
        <f t="shared" si="5"/>
        <v>BR-29-1</v>
      </c>
      <c r="R44" s="2" t="str">
        <f t="shared" si="6"/>
        <v/>
      </c>
    </row>
    <row r="45">
      <c r="A45" s="7">
        <v>30.0</v>
      </c>
      <c r="B45" s="7">
        <v>1.0</v>
      </c>
      <c r="C45" s="7">
        <v>2305.0</v>
      </c>
      <c r="D45" s="10">
        <v>1.0</v>
      </c>
      <c r="E45" s="8">
        <v>2304.0</v>
      </c>
      <c r="F45" s="10">
        <v>2.0</v>
      </c>
      <c r="G45" s="7"/>
      <c r="H45" s="7"/>
      <c r="I45" s="7"/>
      <c r="J45" s="7"/>
      <c r="K45" s="7" t="str">
        <f t="shared" si="1"/>
        <v>BR-30-1</v>
      </c>
      <c r="L45" s="2">
        <f t="shared" si="2"/>
        <v>2305</v>
      </c>
      <c r="N45" s="2" t="str">
        <f t="shared" si="3"/>
        <v>BR-30-1</v>
      </c>
      <c r="O45" s="2">
        <f t="shared" si="4"/>
        <v>2304</v>
      </c>
      <c r="Q45" s="2" t="str">
        <f t="shared" si="5"/>
        <v>BR-30-1</v>
      </c>
      <c r="R45" s="2" t="str">
        <f t="shared" si="6"/>
        <v/>
      </c>
    </row>
    <row r="46">
      <c r="A46" s="7">
        <v>21.0</v>
      </c>
      <c r="B46" s="7">
        <v>1.0</v>
      </c>
      <c r="C46" s="7" t="s">
        <v>207</v>
      </c>
      <c r="D46" s="10">
        <v>1.0</v>
      </c>
      <c r="E46" s="8">
        <v>2314.0</v>
      </c>
      <c r="F46" s="10">
        <v>2.0</v>
      </c>
      <c r="G46" s="7"/>
      <c r="H46" s="7"/>
      <c r="I46" s="7"/>
      <c r="J46" s="7"/>
      <c r="K46" s="7" t="str">
        <f t="shared" si="1"/>
        <v>BR-21-1</v>
      </c>
      <c r="L46" s="2" t="str">
        <f t="shared" si="2"/>
        <v>2307 B</v>
      </c>
      <c r="N46" s="2" t="str">
        <f t="shared" si="3"/>
        <v>BR-21-1</v>
      </c>
      <c r="O46" s="2">
        <f t="shared" si="4"/>
        <v>2314</v>
      </c>
      <c r="Q46" s="2" t="str">
        <f t="shared" si="5"/>
        <v>BR-21-1</v>
      </c>
      <c r="R46" s="2" t="str">
        <f t="shared" si="6"/>
        <v/>
      </c>
    </row>
    <row r="47">
      <c r="A47" s="11">
        <v>21.0</v>
      </c>
      <c r="B47" s="7">
        <v>2.0</v>
      </c>
      <c r="C47" s="7" t="s">
        <v>208</v>
      </c>
      <c r="D47" s="10">
        <v>1.0</v>
      </c>
      <c r="E47" s="8">
        <v>2324.0</v>
      </c>
      <c r="F47" s="10">
        <v>2.0</v>
      </c>
      <c r="G47" s="7"/>
      <c r="H47" s="7"/>
      <c r="I47" s="7"/>
      <c r="J47" s="7"/>
      <c r="K47" s="7" t="str">
        <f t="shared" si="1"/>
        <v>BR-21-2</v>
      </c>
      <c r="L47" s="2" t="str">
        <f t="shared" si="2"/>
        <v>2305 B</v>
      </c>
      <c r="N47" s="2" t="str">
        <f t="shared" si="3"/>
        <v>BR-21-2</v>
      </c>
      <c r="O47" s="2">
        <f t="shared" si="4"/>
        <v>2324</v>
      </c>
      <c r="Q47" s="2" t="str">
        <f t="shared" si="5"/>
        <v>BR-21-2</v>
      </c>
      <c r="R47" s="2" t="str">
        <f t="shared" si="6"/>
        <v/>
      </c>
    </row>
    <row r="48">
      <c r="A48" s="7">
        <v>25.0</v>
      </c>
      <c r="B48" s="7">
        <v>1.0</v>
      </c>
      <c r="C48" s="7">
        <v>2325.0</v>
      </c>
      <c r="D48" s="10">
        <v>1.0</v>
      </c>
      <c r="E48" s="8">
        <v>3851.0</v>
      </c>
      <c r="F48" s="10">
        <v>2.0</v>
      </c>
      <c r="G48" s="7"/>
      <c r="H48" s="7"/>
      <c r="I48" s="7"/>
      <c r="J48" s="7"/>
      <c r="K48" s="7" t="str">
        <f t="shared" si="1"/>
        <v>BR-25-1</v>
      </c>
      <c r="L48" s="2">
        <f t="shared" si="2"/>
        <v>2325</v>
      </c>
      <c r="N48" s="2" t="str">
        <f t="shared" si="3"/>
        <v>BR-25-1</v>
      </c>
      <c r="O48" s="2">
        <f t="shared" si="4"/>
        <v>3851</v>
      </c>
      <c r="Q48" s="2" t="str">
        <f t="shared" si="5"/>
        <v>BR-25-1</v>
      </c>
      <c r="R48" s="2" t="str">
        <f t="shared" si="6"/>
        <v/>
      </c>
    </row>
    <row r="49">
      <c r="A49" s="11">
        <v>25.0</v>
      </c>
      <c r="B49" s="7">
        <v>2.0</v>
      </c>
      <c r="C49" s="7">
        <v>2304.0</v>
      </c>
      <c r="D49" s="10">
        <v>1.0</v>
      </c>
      <c r="E49" s="8">
        <v>147.0</v>
      </c>
      <c r="F49" s="10">
        <v>2.0</v>
      </c>
      <c r="G49" s="7"/>
      <c r="H49" s="7"/>
      <c r="I49" s="7"/>
      <c r="J49" s="7"/>
      <c r="K49" s="7" t="str">
        <f t="shared" si="1"/>
        <v>BR-25-2</v>
      </c>
      <c r="L49" s="2">
        <f t="shared" si="2"/>
        <v>2304</v>
      </c>
      <c r="N49" s="2" t="str">
        <f t="shared" si="3"/>
        <v>BR-25-2</v>
      </c>
      <c r="O49" s="2">
        <f t="shared" si="4"/>
        <v>147</v>
      </c>
      <c r="Q49" s="2" t="str">
        <f t="shared" si="5"/>
        <v>BR-25-2</v>
      </c>
      <c r="R49" s="2" t="str">
        <f t="shared" si="6"/>
        <v/>
      </c>
    </row>
    <row r="50">
      <c r="A50" s="7">
        <v>26.0</v>
      </c>
      <c r="B50" s="7">
        <v>1.0</v>
      </c>
      <c r="C50" s="7">
        <v>2327.0</v>
      </c>
      <c r="D50" s="10">
        <v>1.0</v>
      </c>
      <c r="E50" s="8">
        <v>5755.0</v>
      </c>
      <c r="F50" s="10">
        <v>2.0</v>
      </c>
      <c r="G50" s="7"/>
      <c r="H50" s="7"/>
      <c r="I50" s="7"/>
      <c r="J50" s="7"/>
      <c r="K50" s="7" t="str">
        <f t="shared" si="1"/>
        <v>BR-26-1</v>
      </c>
      <c r="L50" s="2">
        <f t="shared" si="2"/>
        <v>2327</v>
      </c>
      <c r="N50" s="2" t="str">
        <f t="shared" si="3"/>
        <v>BR-26-1</v>
      </c>
      <c r="O50" s="2">
        <f t="shared" si="4"/>
        <v>5755</v>
      </c>
      <c r="Q50" s="2" t="str">
        <f t="shared" si="5"/>
        <v>BR-26-1</v>
      </c>
      <c r="R50" s="2" t="str">
        <f t="shared" si="6"/>
        <v/>
      </c>
    </row>
    <row r="51">
      <c r="A51" s="11">
        <v>26.0</v>
      </c>
      <c r="B51" s="7">
        <v>2.0</v>
      </c>
      <c r="C51" s="7">
        <v>2325.0</v>
      </c>
      <c r="D51" s="10">
        <v>1.0</v>
      </c>
      <c r="E51" s="8">
        <v>2343.0</v>
      </c>
      <c r="F51" s="10">
        <v>2.0</v>
      </c>
      <c r="G51" s="7"/>
      <c r="H51" s="7"/>
      <c r="I51" s="7"/>
      <c r="J51" s="7"/>
      <c r="K51" s="7" t="str">
        <f t="shared" si="1"/>
        <v>BR-26-2</v>
      </c>
      <c r="L51" s="2">
        <f t="shared" si="2"/>
        <v>2325</v>
      </c>
      <c r="N51" s="2" t="str">
        <f t="shared" si="3"/>
        <v>BR-26-2</v>
      </c>
      <c r="O51" s="2">
        <f t="shared" si="4"/>
        <v>2343</v>
      </c>
      <c r="Q51" s="2" t="str">
        <f t="shared" si="5"/>
        <v>BR-26-2</v>
      </c>
      <c r="R51" s="2" t="str">
        <f t="shared" si="6"/>
        <v/>
      </c>
    </row>
    <row r="52">
      <c r="A52" s="7">
        <v>27.0</v>
      </c>
      <c r="B52" s="7">
        <v>1.0</v>
      </c>
      <c r="C52" s="7">
        <v>2307.0</v>
      </c>
      <c r="D52" s="10">
        <v>1.0</v>
      </c>
      <c r="E52" s="8">
        <v>2347.0</v>
      </c>
      <c r="F52" s="10">
        <v>2.0</v>
      </c>
      <c r="G52" s="7"/>
      <c r="H52" s="7"/>
      <c r="I52" s="7"/>
      <c r="J52" s="7"/>
      <c r="K52" s="7" t="str">
        <f t="shared" si="1"/>
        <v>BR-27-1</v>
      </c>
      <c r="L52" s="2">
        <f t="shared" si="2"/>
        <v>2307</v>
      </c>
      <c r="N52" s="2" t="str">
        <f t="shared" si="3"/>
        <v>BR-27-1</v>
      </c>
      <c r="O52" s="2">
        <f t="shared" si="4"/>
        <v>2347</v>
      </c>
      <c r="Q52" s="2" t="str">
        <f t="shared" si="5"/>
        <v>BR-27-1</v>
      </c>
      <c r="R52" s="2" t="str">
        <f t="shared" si="6"/>
        <v/>
      </c>
    </row>
    <row r="53">
      <c r="A53" s="11">
        <v>27.0</v>
      </c>
      <c r="B53" s="7">
        <v>2.0</v>
      </c>
      <c r="C53" s="7">
        <v>2324.0</v>
      </c>
      <c r="D53" s="10">
        <v>1.0</v>
      </c>
      <c r="E53" s="8">
        <v>2347.0</v>
      </c>
      <c r="F53" s="10">
        <v>2.0</v>
      </c>
      <c r="G53" s="7"/>
      <c r="H53" s="7"/>
      <c r="I53" s="7"/>
      <c r="J53" s="7"/>
      <c r="K53" s="7" t="str">
        <f t="shared" si="1"/>
        <v>BR-27-2</v>
      </c>
      <c r="L53" s="2">
        <f t="shared" si="2"/>
        <v>2324</v>
      </c>
      <c r="N53" s="2" t="str">
        <f t="shared" si="3"/>
        <v>BR-27-2</v>
      </c>
      <c r="O53" s="2">
        <f t="shared" si="4"/>
        <v>2347</v>
      </c>
      <c r="Q53" s="2" t="str">
        <f t="shared" si="5"/>
        <v>BR-27-2</v>
      </c>
      <c r="R53" s="2" t="str">
        <f t="shared" si="6"/>
        <v/>
      </c>
    </row>
    <row r="54">
      <c r="A54" s="7">
        <v>24.0</v>
      </c>
      <c r="B54" s="7">
        <v>1.0</v>
      </c>
      <c r="C54" s="7">
        <v>2304.0</v>
      </c>
      <c r="D54" s="10">
        <v>1.0</v>
      </c>
      <c r="E54" s="8" t="s">
        <v>209</v>
      </c>
      <c r="F54" s="10">
        <v>2.0</v>
      </c>
      <c r="G54" s="7"/>
      <c r="H54" s="7"/>
      <c r="I54" s="7"/>
      <c r="J54" s="7"/>
      <c r="K54" s="7" t="str">
        <f t="shared" si="1"/>
        <v>BR-24-1</v>
      </c>
      <c r="L54" s="2">
        <f t="shared" si="2"/>
        <v>2304</v>
      </c>
      <c r="N54" s="2" t="str">
        <f t="shared" si="3"/>
        <v>BR-24-1</v>
      </c>
      <c r="O54" s="2" t="str">
        <f t="shared" si="4"/>
        <v>2315 B</v>
      </c>
      <c r="Q54" s="2" t="str">
        <f t="shared" si="5"/>
        <v>BR-24-1</v>
      </c>
      <c r="R54" s="2" t="str">
        <f t="shared" si="6"/>
        <v/>
      </c>
    </row>
    <row r="55">
      <c r="A55" s="11">
        <v>24.0</v>
      </c>
      <c r="B55" s="7">
        <v>2.0</v>
      </c>
      <c r="C55" s="7">
        <v>2314.0</v>
      </c>
      <c r="D55" s="10">
        <v>1.0</v>
      </c>
      <c r="E55" s="8" t="s">
        <v>210</v>
      </c>
      <c r="F55" s="10">
        <v>2.0</v>
      </c>
      <c r="G55" s="7"/>
      <c r="H55" s="7"/>
      <c r="I55" s="7"/>
      <c r="J55" s="7"/>
      <c r="K55" s="7" t="str">
        <f t="shared" si="1"/>
        <v>BR-24-2</v>
      </c>
      <c r="L55" s="2">
        <f t="shared" si="2"/>
        <v>2314</v>
      </c>
      <c r="N55" s="2" t="str">
        <f t="shared" si="3"/>
        <v>BR-24-2</v>
      </c>
      <c r="O55" s="2" t="str">
        <f t="shared" si="4"/>
        <v>2325 B</v>
      </c>
      <c r="Q55" s="2" t="str">
        <f t="shared" si="5"/>
        <v>BR-24-2</v>
      </c>
      <c r="R55" s="2" t="str">
        <f t="shared" si="6"/>
        <v/>
      </c>
    </row>
    <row r="56">
      <c r="A56" s="7">
        <v>32.0</v>
      </c>
      <c r="B56" s="7">
        <v>1.0</v>
      </c>
      <c r="C56" s="7">
        <v>2313.0</v>
      </c>
      <c r="D56" s="10">
        <v>1.0</v>
      </c>
      <c r="E56" s="8" t="s">
        <v>211</v>
      </c>
      <c r="F56" s="10">
        <v>2.0</v>
      </c>
      <c r="G56" s="8">
        <v>2304.0</v>
      </c>
      <c r="H56" s="10">
        <v>3.0</v>
      </c>
      <c r="I56" s="7"/>
      <c r="J56" s="7"/>
      <c r="K56" s="7" t="str">
        <f t="shared" si="1"/>
        <v>BR-32-1</v>
      </c>
      <c r="L56" s="2">
        <f t="shared" si="2"/>
        <v>2313</v>
      </c>
      <c r="N56" s="2" t="str">
        <f t="shared" si="3"/>
        <v>BR-32-1</v>
      </c>
      <c r="O56" s="2" t="str">
        <f t="shared" si="4"/>
        <v>2313B</v>
      </c>
      <c r="Q56" s="2" t="str">
        <f t="shared" si="5"/>
        <v>BR-32-1</v>
      </c>
      <c r="R56" s="2">
        <f t="shared" si="6"/>
        <v>2304</v>
      </c>
    </row>
    <row r="57">
      <c r="A57" s="7">
        <v>33.0</v>
      </c>
      <c r="B57" s="7">
        <v>1.0</v>
      </c>
      <c r="C57" s="7">
        <v>2313.0</v>
      </c>
      <c r="D57" s="10">
        <v>1.0</v>
      </c>
      <c r="E57" s="8" t="s">
        <v>211</v>
      </c>
      <c r="F57" s="10">
        <v>2.0</v>
      </c>
      <c r="G57" s="8">
        <v>2327.0</v>
      </c>
      <c r="H57" s="10">
        <v>3.0</v>
      </c>
      <c r="I57" s="7"/>
      <c r="J57" s="7"/>
      <c r="K57" s="7" t="str">
        <f t="shared" si="1"/>
        <v>BR-33-1</v>
      </c>
      <c r="L57" s="2">
        <f t="shared" si="2"/>
        <v>2313</v>
      </c>
      <c r="N57" s="2" t="str">
        <f t="shared" si="3"/>
        <v>BR-33-1</v>
      </c>
      <c r="O57" s="2" t="str">
        <f t="shared" si="4"/>
        <v>2313B</v>
      </c>
      <c r="Q57" s="2" t="str">
        <f t="shared" si="5"/>
        <v>BR-33-1</v>
      </c>
      <c r="R57" s="2">
        <f t="shared" si="6"/>
        <v>2327</v>
      </c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2" t="str">
        <f t="shared" si="2"/>
        <v/>
      </c>
      <c r="N58" s="2" t="str">
        <f t="shared" si="3"/>
        <v/>
      </c>
      <c r="O58" s="2" t="str">
        <f t="shared" si="4"/>
        <v/>
      </c>
      <c r="Q58" s="2" t="str">
        <f t="shared" si="5"/>
        <v/>
      </c>
      <c r="R58" s="2" t="str">
        <f t="shared" si="6"/>
        <v/>
      </c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2" t="str">
        <f t="shared" si="2"/>
        <v/>
      </c>
      <c r="N59" s="2" t="str">
        <f t="shared" si="3"/>
        <v/>
      </c>
      <c r="O59" s="2" t="str">
        <f t="shared" si="4"/>
        <v/>
      </c>
      <c r="Q59" s="2" t="str">
        <f t="shared" si="5"/>
        <v/>
      </c>
      <c r="R59" s="2" t="str">
        <f t="shared" si="6"/>
        <v/>
      </c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2" t="str">
        <f t="shared" si="2"/>
        <v/>
      </c>
      <c r="N60" s="2" t="str">
        <f t="shared" si="3"/>
        <v/>
      </c>
      <c r="O60" s="2" t="str">
        <f t="shared" si="4"/>
        <v/>
      </c>
      <c r="Q60" s="2" t="str">
        <f t="shared" si="5"/>
        <v/>
      </c>
      <c r="R60" s="2" t="str">
        <f t="shared" si="6"/>
        <v/>
      </c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2" t="str">
        <f t="shared" si="2"/>
        <v/>
      </c>
      <c r="N61" s="2" t="str">
        <f t="shared" si="3"/>
        <v/>
      </c>
      <c r="O61" s="2" t="str">
        <f t="shared" si="4"/>
        <v/>
      </c>
      <c r="Q61" s="2" t="str">
        <f t="shared" si="5"/>
        <v/>
      </c>
      <c r="R61" s="2" t="str">
        <f t="shared" si="6"/>
        <v/>
      </c>
    </row>
    <row r="62">
      <c r="A62" s="7" t="s">
        <v>226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2" t="str">
        <f t="shared" si="2"/>
        <v/>
      </c>
      <c r="N62" s="2" t="str">
        <f t="shared" si="3"/>
        <v/>
      </c>
      <c r="O62" s="2" t="str">
        <f t="shared" si="4"/>
        <v/>
      </c>
      <c r="Q62" s="2" t="str">
        <f t="shared" si="5"/>
        <v/>
      </c>
      <c r="R62" s="2" t="str">
        <f t="shared" si="6"/>
        <v/>
      </c>
    </row>
    <row r="63">
      <c r="A63" s="7" t="s">
        <v>227</v>
      </c>
      <c r="B63" s="7">
        <v>1.0</v>
      </c>
      <c r="C63" s="7">
        <v>155.0</v>
      </c>
      <c r="D63" s="10">
        <v>1.0</v>
      </c>
      <c r="E63" s="7"/>
      <c r="F63" s="7"/>
      <c r="G63" s="7"/>
      <c r="H63" s="7"/>
      <c r="I63" s="7"/>
      <c r="J63" s="7"/>
      <c r="K63" s="7" t="str">
        <f t="shared" ref="K63:K66" si="7">TEXTJOIN("-",True,"LR",A63,B63)</f>
        <v>LR-09L-1</v>
      </c>
      <c r="L63" s="2">
        <f t="shared" si="2"/>
        <v>155</v>
      </c>
      <c r="N63" s="2" t="str">
        <f t="shared" si="3"/>
        <v>LR-09L-1</v>
      </c>
      <c r="O63" s="2" t="str">
        <f t="shared" si="4"/>
        <v/>
      </c>
      <c r="Q63" s="2" t="str">
        <f t="shared" si="5"/>
        <v>LR-09L-1</v>
      </c>
      <c r="R63" s="2" t="str">
        <f t="shared" si="6"/>
        <v/>
      </c>
    </row>
    <row r="64">
      <c r="A64" s="7" t="s">
        <v>227</v>
      </c>
      <c r="B64" s="12">
        <v>2.0</v>
      </c>
      <c r="C64" s="12">
        <v>3214.0</v>
      </c>
      <c r="D64" s="13">
        <v>1.0</v>
      </c>
      <c r="E64" s="12"/>
      <c r="F64" s="12"/>
      <c r="G64" s="12"/>
      <c r="H64" s="12"/>
      <c r="I64" s="12"/>
      <c r="J64" s="12"/>
      <c r="K64" s="7" t="str">
        <f t="shared" si="7"/>
        <v>LR-09L-2</v>
      </c>
      <c r="L64" s="2">
        <f t="shared" si="2"/>
        <v>3214</v>
      </c>
      <c r="N64" s="2" t="str">
        <f t="shared" si="3"/>
        <v>LR-09L-2</v>
      </c>
      <c r="O64" s="2" t="str">
        <f t="shared" si="4"/>
        <v/>
      </c>
      <c r="Q64" s="2" t="str">
        <f t="shared" si="5"/>
        <v>LR-09L-2</v>
      </c>
      <c r="R64" s="2" t="str">
        <f t="shared" si="6"/>
        <v/>
      </c>
    </row>
    <row r="65">
      <c r="A65" s="7" t="s">
        <v>228</v>
      </c>
      <c r="B65" s="7">
        <v>1.0</v>
      </c>
      <c r="C65" s="7">
        <v>4598.0</v>
      </c>
      <c r="D65" s="10">
        <v>1.0</v>
      </c>
      <c r="E65" s="7"/>
      <c r="F65" s="7"/>
      <c r="G65" s="7"/>
      <c r="H65" s="7"/>
      <c r="I65" s="7"/>
      <c r="J65" s="7"/>
      <c r="K65" s="7" t="str">
        <f t="shared" si="7"/>
        <v>LR-10L-1</v>
      </c>
      <c r="L65" s="2">
        <f t="shared" si="2"/>
        <v>4598</v>
      </c>
      <c r="N65" s="2" t="str">
        <f t="shared" si="3"/>
        <v>LR-10L-1</v>
      </c>
      <c r="O65" s="2" t="str">
        <f t="shared" si="4"/>
        <v/>
      </c>
      <c r="Q65" s="2" t="str">
        <f t="shared" si="5"/>
        <v>LR-10L-1</v>
      </c>
      <c r="R65" s="2" t="str">
        <f t="shared" si="6"/>
        <v/>
      </c>
    </row>
    <row r="66">
      <c r="A66" s="12" t="s">
        <v>229</v>
      </c>
      <c r="B66" s="12">
        <v>1.0</v>
      </c>
      <c r="C66" s="12">
        <v>6274.0</v>
      </c>
      <c r="D66" s="13">
        <v>1.0</v>
      </c>
      <c r="E66" s="12"/>
      <c r="F66" s="12"/>
      <c r="G66" s="12"/>
      <c r="H66" s="12"/>
      <c r="I66" s="12"/>
      <c r="J66" s="12"/>
      <c r="K66" s="7" t="str">
        <f t="shared" si="7"/>
        <v>LR-11L-1</v>
      </c>
      <c r="L66" s="2">
        <f t="shared" si="2"/>
        <v>6274</v>
      </c>
      <c r="N66" s="2" t="str">
        <f t="shared" si="3"/>
        <v>LR-11L-1</v>
      </c>
      <c r="O66" s="2" t="str">
        <f t="shared" si="4"/>
        <v/>
      </c>
      <c r="Q66" s="2" t="str">
        <f t="shared" si="5"/>
        <v>LR-11L-1</v>
      </c>
      <c r="R66" s="2" t="str">
        <f t="shared" si="6"/>
        <v/>
      </c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2" t="str">
        <f t="shared" si="2"/>
        <v/>
      </c>
      <c r="N67" s="2" t="str">
        <f t="shared" si="3"/>
        <v/>
      </c>
      <c r="O67" s="2" t="str">
        <f t="shared" si="4"/>
        <v/>
      </c>
      <c r="Q67" s="2" t="str">
        <f t="shared" si="5"/>
        <v/>
      </c>
      <c r="R67" s="2" t="str">
        <f t="shared" si="6"/>
        <v/>
      </c>
    </row>
    <row r="68">
      <c r="A68" s="7" t="s">
        <v>230</v>
      </c>
      <c r="B68" s="7">
        <v>1.0</v>
      </c>
      <c r="C68" s="7">
        <v>2307.0</v>
      </c>
      <c r="D68" s="10">
        <v>1.0</v>
      </c>
      <c r="E68" s="7"/>
      <c r="F68" s="7"/>
      <c r="G68" s="7"/>
      <c r="H68" s="7"/>
      <c r="I68" s="7"/>
      <c r="J68" s="7"/>
      <c r="K68" s="7" t="str">
        <f t="shared" ref="K68:K99" si="8">TEXTJOIN("-",True,"LR",A68,B68)</f>
        <v>LR-20L-1</v>
      </c>
      <c r="L68" s="2">
        <f t="shared" si="2"/>
        <v>2307</v>
      </c>
      <c r="N68" s="2" t="str">
        <f t="shared" si="3"/>
        <v>LR-20L-1</v>
      </c>
      <c r="O68" s="2" t="str">
        <f t="shared" si="4"/>
        <v/>
      </c>
      <c r="Q68" s="2" t="str">
        <f t="shared" si="5"/>
        <v>LR-20L-1</v>
      </c>
      <c r="R68" s="2" t="str">
        <f t="shared" si="6"/>
        <v/>
      </c>
    </row>
    <row r="69">
      <c r="A69" s="7" t="s">
        <v>230</v>
      </c>
      <c r="B69" s="7">
        <v>2.0</v>
      </c>
      <c r="C69" s="7">
        <v>2313.0</v>
      </c>
      <c r="D69" s="10">
        <v>2.0</v>
      </c>
      <c r="E69" s="7"/>
      <c r="F69" s="7"/>
      <c r="G69" s="7"/>
      <c r="H69" s="7"/>
      <c r="I69" s="7"/>
      <c r="J69" s="7"/>
      <c r="K69" s="7" t="str">
        <f t="shared" si="8"/>
        <v>LR-20L-2</v>
      </c>
      <c r="L69" s="2">
        <f t="shared" si="2"/>
        <v>2313</v>
      </c>
      <c r="N69" s="2" t="str">
        <f t="shared" si="3"/>
        <v>LR-20L-2</v>
      </c>
      <c r="O69" s="2" t="str">
        <f t="shared" si="4"/>
        <v/>
      </c>
      <c r="Q69" s="2" t="str">
        <f t="shared" si="5"/>
        <v>LR-20L-2</v>
      </c>
      <c r="R69" s="2" t="str">
        <f t="shared" si="6"/>
        <v/>
      </c>
    </row>
    <row r="70">
      <c r="A70" s="7">
        <v>18.0</v>
      </c>
      <c r="B70" s="7">
        <v>1.0</v>
      </c>
      <c r="C70" s="7">
        <v>2328.0</v>
      </c>
      <c r="D70" s="10">
        <v>1.0</v>
      </c>
      <c r="E70" s="7"/>
      <c r="F70" s="7"/>
      <c r="G70" s="7"/>
      <c r="H70" s="7"/>
      <c r="I70" s="7"/>
      <c r="J70" s="7"/>
      <c r="K70" s="7" t="str">
        <f t="shared" si="8"/>
        <v>LR-18-1</v>
      </c>
      <c r="L70" s="2">
        <f t="shared" si="2"/>
        <v>2328</v>
      </c>
      <c r="N70" s="2" t="str">
        <f t="shared" si="3"/>
        <v>LR-18-1</v>
      </c>
      <c r="O70" s="2" t="str">
        <f t="shared" si="4"/>
        <v/>
      </c>
      <c r="Q70" s="2" t="str">
        <f t="shared" si="5"/>
        <v>LR-18-1</v>
      </c>
      <c r="R70" s="2" t="str">
        <f t="shared" si="6"/>
        <v/>
      </c>
    </row>
    <row r="71">
      <c r="A71" s="7">
        <v>18.0</v>
      </c>
      <c r="B71" s="7">
        <v>2.0</v>
      </c>
      <c r="C71" s="7">
        <v>2326.0</v>
      </c>
      <c r="D71" s="10">
        <v>2.0</v>
      </c>
      <c r="E71" s="7"/>
      <c r="F71" s="7"/>
      <c r="G71" s="7"/>
      <c r="H71" s="7"/>
      <c r="I71" s="7"/>
      <c r="J71" s="7"/>
      <c r="K71" s="7" t="str">
        <f t="shared" si="8"/>
        <v>LR-18-2</v>
      </c>
      <c r="L71" s="2">
        <f t="shared" si="2"/>
        <v>2326</v>
      </c>
      <c r="N71" s="2" t="str">
        <f t="shared" si="3"/>
        <v>LR-18-2</v>
      </c>
      <c r="O71" s="2" t="str">
        <f t="shared" si="4"/>
        <v/>
      </c>
      <c r="Q71" s="2" t="str">
        <f t="shared" si="5"/>
        <v>LR-18-2</v>
      </c>
      <c r="R71" s="2" t="str">
        <f t="shared" si="6"/>
        <v/>
      </c>
    </row>
    <row r="72">
      <c r="A72" s="7" t="s">
        <v>231</v>
      </c>
      <c r="B72" s="7">
        <v>1.0</v>
      </c>
      <c r="C72" s="7">
        <v>5514.0</v>
      </c>
      <c r="D72" s="10">
        <v>1.0</v>
      </c>
      <c r="E72" s="7"/>
      <c r="F72" s="7"/>
      <c r="G72" s="7"/>
      <c r="H72" s="7"/>
      <c r="I72" s="7"/>
      <c r="J72" s="7"/>
      <c r="K72" s="7" t="str">
        <f t="shared" si="8"/>
        <v>LR-21L-1</v>
      </c>
      <c r="L72" s="2">
        <f t="shared" si="2"/>
        <v>5514</v>
      </c>
      <c r="N72" s="2" t="str">
        <f t="shared" si="3"/>
        <v>LR-21L-1</v>
      </c>
      <c r="O72" s="2" t="str">
        <f t="shared" si="4"/>
        <v/>
      </c>
      <c r="Q72" s="2" t="str">
        <f t="shared" si="5"/>
        <v>LR-21L-1</v>
      </c>
      <c r="R72" s="2" t="str">
        <f t="shared" si="6"/>
        <v/>
      </c>
    </row>
    <row r="73">
      <c r="A73" s="7" t="s">
        <v>231</v>
      </c>
      <c r="B73" s="7">
        <v>2.0</v>
      </c>
      <c r="C73" s="7">
        <v>4629.0</v>
      </c>
      <c r="D73" s="10">
        <v>2.0</v>
      </c>
      <c r="E73" s="7"/>
      <c r="F73" s="7"/>
      <c r="G73" s="7"/>
      <c r="H73" s="7"/>
      <c r="I73" s="7"/>
      <c r="J73" s="7"/>
      <c r="K73" s="7" t="str">
        <f t="shared" si="8"/>
        <v>LR-21L-2</v>
      </c>
      <c r="L73" s="2">
        <f t="shared" si="2"/>
        <v>4629</v>
      </c>
      <c r="N73" s="2" t="str">
        <f t="shared" si="3"/>
        <v>LR-21L-2</v>
      </c>
      <c r="O73" s="2" t="str">
        <f t="shared" si="4"/>
        <v/>
      </c>
      <c r="Q73" s="2" t="str">
        <f t="shared" si="5"/>
        <v>LR-21L-2</v>
      </c>
      <c r="R73" s="2" t="str">
        <f t="shared" si="6"/>
        <v/>
      </c>
    </row>
    <row r="74">
      <c r="A74" s="7" t="s">
        <v>232</v>
      </c>
      <c r="B74" s="7">
        <v>1.0</v>
      </c>
      <c r="C74" s="7" t="s">
        <v>233</v>
      </c>
      <c r="D74" s="10">
        <v>1.0</v>
      </c>
      <c r="E74" s="7"/>
      <c r="F74" s="7"/>
      <c r="G74" s="7"/>
      <c r="H74" s="7"/>
      <c r="I74" s="7"/>
      <c r="J74" s="7"/>
      <c r="K74" s="7" t="str">
        <f t="shared" si="8"/>
        <v>LR-22L-1</v>
      </c>
      <c r="L74" s="2" t="str">
        <f t="shared" si="2"/>
        <v>2319 B</v>
      </c>
      <c r="N74" s="2" t="str">
        <f t="shared" si="3"/>
        <v>LR-22L-1</v>
      </c>
      <c r="O74" s="2" t="str">
        <f t="shared" si="4"/>
        <v/>
      </c>
      <c r="Q74" s="2" t="str">
        <f t="shared" si="5"/>
        <v>LR-22L-1</v>
      </c>
      <c r="R74" s="2" t="str">
        <f t="shared" si="6"/>
        <v/>
      </c>
    </row>
    <row r="75">
      <c r="A75" s="7" t="s">
        <v>232</v>
      </c>
      <c r="B75" s="7">
        <v>2.0</v>
      </c>
      <c r="C75" s="7">
        <v>4616.0</v>
      </c>
      <c r="D75" s="10">
        <v>2.0</v>
      </c>
      <c r="E75" s="7"/>
      <c r="F75" s="7"/>
      <c r="G75" s="7"/>
      <c r="H75" s="7"/>
      <c r="I75" s="7"/>
      <c r="J75" s="7"/>
      <c r="K75" s="7" t="str">
        <f t="shared" si="8"/>
        <v>LR-22L-2</v>
      </c>
      <c r="L75" s="2">
        <f t="shared" si="2"/>
        <v>4616</v>
      </c>
      <c r="N75" s="2" t="str">
        <f t="shared" si="3"/>
        <v>LR-22L-2</v>
      </c>
      <c r="O75" s="2" t="str">
        <f t="shared" si="4"/>
        <v/>
      </c>
      <c r="Q75" s="2" t="str">
        <f t="shared" si="5"/>
        <v>LR-22L-2</v>
      </c>
      <c r="R75" s="2" t="str">
        <f t="shared" si="6"/>
        <v/>
      </c>
    </row>
    <row r="76">
      <c r="A76" s="7" t="s">
        <v>234</v>
      </c>
      <c r="B76" s="7">
        <v>1.0</v>
      </c>
      <c r="C76" s="7">
        <v>3210.0</v>
      </c>
      <c r="D76" s="10">
        <v>1.0</v>
      </c>
      <c r="E76" s="7"/>
      <c r="F76" s="7"/>
      <c r="G76" s="7"/>
      <c r="H76" s="7"/>
      <c r="I76" s="7"/>
      <c r="J76" s="7"/>
      <c r="K76" s="7" t="str">
        <f t="shared" si="8"/>
        <v>LR-23L-1</v>
      </c>
      <c r="L76" s="2">
        <f t="shared" si="2"/>
        <v>3210</v>
      </c>
      <c r="N76" s="2" t="str">
        <f t="shared" si="3"/>
        <v>LR-23L-1</v>
      </c>
      <c r="O76" s="2" t="str">
        <f t="shared" si="4"/>
        <v/>
      </c>
      <c r="Q76" s="2" t="str">
        <f t="shared" si="5"/>
        <v>LR-23L-1</v>
      </c>
      <c r="R76" s="2" t="str">
        <f t="shared" si="6"/>
        <v/>
      </c>
    </row>
    <row r="77">
      <c r="A77" s="7" t="s">
        <v>234</v>
      </c>
      <c r="B77" s="7">
        <v>2.0</v>
      </c>
      <c r="C77" s="7">
        <v>5662.0</v>
      </c>
      <c r="D77" s="10">
        <v>2.0</v>
      </c>
      <c r="E77" s="7"/>
      <c r="F77" s="7"/>
      <c r="G77" s="7"/>
      <c r="H77" s="7"/>
      <c r="I77" s="7"/>
      <c r="J77" s="7"/>
      <c r="K77" s="7" t="str">
        <f t="shared" si="8"/>
        <v>LR-23L-2</v>
      </c>
      <c r="L77" s="2">
        <f t="shared" si="2"/>
        <v>5662</v>
      </c>
      <c r="N77" s="2" t="str">
        <f t="shared" si="3"/>
        <v>LR-23L-2</v>
      </c>
      <c r="O77" s="2" t="str">
        <f t="shared" si="4"/>
        <v/>
      </c>
      <c r="Q77" s="2" t="str">
        <f t="shared" si="5"/>
        <v>LR-23L-2</v>
      </c>
      <c r="R77" s="2" t="str">
        <f t="shared" si="6"/>
        <v/>
      </c>
    </row>
    <row r="78">
      <c r="A78" s="7" t="s">
        <v>235</v>
      </c>
      <c r="B78" s="7">
        <v>1.0</v>
      </c>
      <c r="C78" s="7">
        <v>2307.0</v>
      </c>
      <c r="D78" s="10">
        <v>1.0</v>
      </c>
      <c r="E78" s="7"/>
      <c r="F78" s="7"/>
      <c r="G78" s="7"/>
      <c r="H78" s="7"/>
      <c r="I78" s="7"/>
      <c r="J78" s="7"/>
      <c r="K78" s="7" t="str">
        <f t="shared" si="8"/>
        <v>LR-24L-1</v>
      </c>
      <c r="L78" s="2">
        <f t="shared" si="2"/>
        <v>2307</v>
      </c>
      <c r="N78" s="2" t="str">
        <f t="shared" si="3"/>
        <v>LR-24L-1</v>
      </c>
      <c r="O78" s="2" t="str">
        <f t="shared" si="4"/>
        <v/>
      </c>
      <c r="Q78" s="2" t="str">
        <f t="shared" si="5"/>
        <v>LR-24L-1</v>
      </c>
      <c r="R78" s="2" t="str">
        <f t="shared" si="6"/>
        <v/>
      </c>
    </row>
    <row r="79">
      <c r="A79" s="7" t="s">
        <v>235</v>
      </c>
      <c r="B79" s="7">
        <v>2.0</v>
      </c>
      <c r="C79" s="7">
        <v>2328.0</v>
      </c>
      <c r="D79" s="10">
        <v>2.0</v>
      </c>
      <c r="E79" s="7"/>
      <c r="F79" s="7"/>
      <c r="G79" s="7"/>
      <c r="H79" s="7"/>
      <c r="I79" s="7"/>
      <c r="J79" s="7"/>
      <c r="K79" s="7" t="str">
        <f t="shared" si="8"/>
        <v>LR-24L-2</v>
      </c>
      <c r="L79" s="2">
        <f t="shared" si="2"/>
        <v>2328</v>
      </c>
      <c r="N79" s="2" t="str">
        <f t="shared" si="3"/>
        <v>LR-24L-2</v>
      </c>
      <c r="O79" s="2" t="str">
        <f t="shared" si="4"/>
        <v/>
      </c>
      <c r="Q79" s="2" t="str">
        <f t="shared" si="5"/>
        <v>LR-24L-2</v>
      </c>
      <c r="R79" s="2" t="str">
        <f t="shared" si="6"/>
        <v/>
      </c>
    </row>
    <row r="80">
      <c r="A80" s="7" t="s">
        <v>236</v>
      </c>
      <c r="B80" s="7">
        <v>1.0</v>
      </c>
      <c r="C80" s="7">
        <v>2312.0</v>
      </c>
      <c r="D80" s="10">
        <v>1.0</v>
      </c>
      <c r="E80" s="7" t="s">
        <v>237</v>
      </c>
      <c r="F80" s="10">
        <v>2.0</v>
      </c>
      <c r="G80" s="7"/>
      <c r="H80" s="7"/>
      <c r="I80" s="7"/>
      <c r="J80" s="7"/>
      <c r="K80" s="7" t="str">
        <f t="shared" si="8"/>
        <v>LR-25L-1</v>
      </c>
      <c r="L80" s="2">
        <f t="shared" si="2"/>
        <v>2312</v>
      </c>
      <c r="N80" s="2" t="str">
        <f t="shared" si="3"/>
        <v>LR-25L-1</v>
      </c>
      <c r="O80" s="2" t="str">
        <f t="shared" si="4"/>
        <v>2318B</v>
      </c>
      <c r="Q80" s="2" t="str">
        <f t="shared" si="5"/>
        <v>LR-25L-1</v>
      </c>
      <c r="R80" s="2" t="str">
        <f t="shared" si="6"/>
        <v/>
      </c>
    </row>
    <row r="81">
      <c r="A81" s="7" t="s">
        <v>236</v>
      </c>
      <c r="B81" s="7">
        <v>2.0</v>
      </c>
      <c r="C81" s="7">
        <v>2321.0</v>
      </c>
      <c r="D81" s="10">
        <v>1.0</v>
      </c>
      <c r="E81" s="7" t="s">
        <v>238</v>
      </c>
      <c r="F81" s="10">
        <v>2.0</v>
      </c>
      <c r="G81" s="7"/>
      <c r="H81" s="7"/>
      <c r="I81" s="7"/>
      <c r="J81" s="7"/>
      <c r="K81" s="7" t="str">
        <f t="shared" si="8"/>
        <v>LR-25L-2</v>
      </c>
      <c r="L81" s="2">
        <f t="shared" si="2"/>
        <v>2321</v>
      </c>
      <c r="N81" s="2" t="str">
        <f t="shared" si="3"/>
        <v>LR-25L-2</v>
      </c>
      <c r="O81" s="2" t="str">
        <f t="shared" si="4"/>
        <v>2316B</v>
      </c>
      <c r="Q81" s="2" t="str">
        <f t="shared" si="5"/>
        <v>LR-25L-2</v>
      </c>
      <c r="R81" s="2" t="str">
        <f t="shared" si="6"/>
        <v/>
      </c>
    </row>
    <row r="82">
      <c r="A82" s="7" t="s">
        <v>239</v>
      </c>
      <c r="B82" s="7">
        <v>1.0</v>
      </c>
      <c r="C82" s="7">
        <v>2314.0</v>
      </c>
      <c r="D82" s="10">
        <v>1.0</v>
      </c>
      <c r="E82" s="8">
        <v>2322.0</v>
      </c>
      <c r="F82" s="10">
        <v>2.0</v>
      </c>
      <c r="G82" s="7"/>
      <c r="H82" s="7"/>
      <c r="I82" s="7"/>
      <c r="J82" s="7"/>
      <c r="K82" s="7" t="str">
        <f t="shared" si="8"/>
        <v>LR-26L-1</v>
      </c>
      <c r="L82" s="2">
        <f t="shared" si="2"/>
        <v>2314</v>
      </c>
      <c r="N82" s="2" t="str">
        <f t="shared" si="3"/>
        <v>LR-26L-1</v>
      </c>
      <c r="O82" s="2">
        <f t="shared" si="4"/>
        <v>2322</v>
      </c>
      <c r="Q82" s="2" t="str">
        <f t="shared" si="5"/>
        <v>LR-26L-1</v>
      </c>
      <c r="R82" s="2" t="str">
        <f t="shared" si="6"/>
        <v/>
      </c>
    </row>
    <row r="83">
      <c r="A83" s="7" t="s">
        <v>240</v>
      </c>
      <c r="B83" s="7">
        <v>1.0</v>
      </c>
      <c r="C83" s="7">
        <v>5662.0</v>
      </c>
      <c r="D83" s="10">
        <v>1.0</v>
      </c>
      <c r="E83" s="8">
        <v>2326.0</v>
      </c>
      <c r="F83" s="10">
        <v>2.0</v>
      </c>
      <c r="G83" s="7"/>
      <c r="H83" s="7"/>
      <c r="I83" s="7"/>
      <c r="J83" s="7"/>
      <c r="K83" s="7" t="str">
        <f t="shared" si="8"/>
        <v>LR-27L-1</v>
      </c>
      <c r="L83" s="2">
        <f t="shared" si="2"/>
        <v>5662</v>
      </c>
      <c r="N83" s="2" t="str">
        <f t="shared" si="3"/>
        <v>LR-27L-1</v>
      </c>
      <c r="O83" s="2">
        <f t="shared" si="4"/>
        <v>2326</v>
      </c>
      <c r="Q83" s="2" t="str">
        <f t="shared" si="5"/>
        <v>LR-27L-1</v>
      </c>
      <c r="R83" s="2" t="str">
        <f t="shared" si="6"/>
        <v/>
      </c>
    </row>
    <row r="84">
      <c r="A84" s="7" t="s">
        <v>241</v>
      </c>
      <c r="B84" s="7">
        <v>1.0</v>
      </c>
      <c r="C84" s="7">
        <v>3851.0</v>
      </c>
      <c r="D84" s="10">
        <v>1.0</v>
      </c>
      <c r="E84" s="8">
        <v>2304.0</v>
      </c>
      <c r="F84" s="10">
        <v>2.0</v>
      </c>
      <c r="G84" s="7"/>
      <c r="H84" s="7"/>
      <c r="I84" s="7"/>
      <c r="J84" s="7"/>
      <c r="K84" s="7" t="str">
        <f t="shared" si="8"/>
        <v>LR-28L-1</v>
      </c>
      <c r="L84" s="2">
        <f t="shared" si="2"/>
        <v>3851</v>
      </c>
      <c r="N84" s="2" t="str">
        <f t="shared" si="3"/>
        <v>LR-28L-1</v>
      </c>
      <c r="O84" s="2">
        <f t="shared" si="4"/>
        <v>2304</v>
      </c>
      <c r="Q84" s="2" t="str">
        <f t="shared" si="5"/>
        <v>LR-28L-1</v>
      </c>
      <c r="R84" s="2" t="str">
        <f t="shared" si="6"/>
        <v/>
      </c>
    </row>
    <row r="85">
      <c r="A85" s="7" t="s">
        <v>241</v>
      </c>
      <c r="B85" s="7">
        <v>2.0</v>
      </c>
      <c r="C85" s="7">
        <v>5662.0</v>
      </c>
      <c r="D85" s="10">
        <v>1.0</v>
      </c>
      <c r="E85" s="8">
        <v>2313.0</v>
      </c>
      <c r="F85" s="10">
        <v>2.0</v>
      </c>
      <c r="G85" s="7"/>
      <c r="H85" s="7"/>
      <c r="I85" s="7"/>
      <c r="J85" s="7"/>
      <c r="K85" s="7" t="str">
        <f t="shared" si="8"/>
        <v>LR-28L-2</v>
      </c>
      <c r="L85" s="2">
        <f t="shared" si="2"/>
        <v>5662</v>
      </c>
      <c r="N85" s="2" t="str">
        <f t="shared" si="3"/>
        <v>LR-28L-2</v>
      </c>
      <c r="O85" s="2">
        <f t="shared" si="4"/>
        <v>2313</v>
      </c>
      <c r="Q85" s="2" t="str">
        <f t="shared" si="5"/>
        <v>LR-28L-2</v>
      </c>
      <c r="R85" s="2" t="str">
        <f t="shared" si="6"/>
        <v/>
      </c>
    </row>
    <row r="86">
      <c r="A86" s="7" t="s">
        <v>242</v>
      </c>
      <c r="B86" s="7">
        <v>1.0</v>
      </c>
      <c r="C86" s="7">
        <v>2324.0</v>
      </c>
      <c r="D86" s="10">
        <v>1.0</v>
      </c>
      <c r="E86" s="8">
        <v>2322.0</v>
      </c>
      <c r="F86" s="10">
        <v>1.0</v>
      </c>
      <c r="G86" s="7"/>
      <c r="H86" s="7"/>
      <c r="I86" s="7"/>
      <c r="J86" s="7"/>
      <c r="K86" s="7" t="str">
        <f t="shared" si="8"/>
        <v>LR-29L-1</v>
      </c>
      <c r="L86" s="2">
        <f t="shared" si="2"/>
        <v>2324</v>
      </c>
      <c r="N86" s="2" t="str">
        <f t="shared" si="3"/>
        <v>LR-29L-1</v>
      </c>
      <c r="O86" s="2">
        <f t="shared" si="4"/>
        <v>2322</v>
      </c>
      <c r="Q86" s="2" t="str">
        <f t="shared" si="5"/>
        <v>LR-29L-1</v>
      </c>
      <c r="R86" s="2" t="str">
        <f t="shared" si="6"/>
        <v/>
      </c>
    </row>
    <row r="87">
      <c r="A87" s="7" t="s">
        <v>242</v>
      </c>
      <c r="B87" s="7">
        <v>2.0</v>
      </c>
      <c r="C87" s="7">
        <v>2322.0</v>
      </c>
      <c r="D87" s="10">
        <v>1.0</v>
      </c>
      <c r="E87" s="8">
        <v>2313.0</v>
      </c>
      <c r="F87" s="10">
        <v>2.0</v>
      </c>
      <c r="G87" s="7"/>
      <c r="H87" s="7"/>
      <c r="I87" s="7"/>
      <c r="J87" s="7"/>
      <c r="K87" s="7" t="str">
        <f t="shared" si="8"/>
        <v>LR-29L-2</v>
      </c>
      <c r="L87" s="2">
        <f t="shared" si="2"/>
        <v>2322</v>
      </c>
      <c r="N87" s="2" t="str">
        <f t="shared" si="3"/>
        <v>LR-29L-2</v>
      </c>
      <c r="O87" s="2">
        <f t="shared" si="4"/>
        <v>2313</v>
      </c>
      <c r="Q87" s="2" t="str">
        <f t="shared" si="5"/>
        <v>LR-29L-2</v>
      </c>
      <c r="R87" s="2" t="str">
        <f t="shared" si="6"/>
        <v/>
      </c>
    </row>
    <row r="88">
      <c r="A88" s="7" t="s">
        <v>243</v>
      </c>
      <c r="B88" s="7">
        <v>1.0</v>
      </c>
      <c r="C88" s="7">
        <v>2313.0</v>
      </c>
      <c r="D88" s="10">
        <v>1.0</v>
      </c>
      <c r="E88" s="8">
        <v>2308.0</v>
      </c>
      <c r="F88" s="10">
        <v>2.0</v>
      </c>
      <c r="G88" s="7"/>
      <c r="H88" s="7"/>
      <c r="I88" s="7"/>
      <c r="J88" s="7"/>
      <c r="K88" s="7" t="str">
        <f t="shared" si="8"/>
        <v>LR-30L-1</v>
      </c>
      <c r="L88" s="2">
        <f t="shared" si="2"/>
        <v>2313</v>
      </c>
      <c r="N88" s="2" t="str">
        <f t="shared" si="3"/>
        <v>LR-30L-1</v>
      </c>
      <c r="O88" s="2">
        <f t="shared" si="4"/>
        <v>2308</v>
      </c>
      <c r="Q88" s="2" t="str">
        <f t="shared" si="5"/>
        <v>LR-30L-1</v>
      </c>
      <c r="R88" s="2" t="str">
        <f t="shared" si="6"/>
        <v/>
      </c>
    </row>
    <row r="89">
      <c r="A89" s="7" t="s">
        <v>243</v>
      </c>
      <c r="B89" s="7">
        <v>2.0</v>
      </c>
      <c r="C89" s="7">
        <v>2321.0</v>
      </c>
      <c r="D89" s="10">
        <v>1.0</v>
      </c>
      <c r="E89" s="8">
        <v>2322.0</v>
      </c>
      <c r="F89" s="10">
        <v>2.0</v>
      </c>
      <c r="G89" s="7"/>
      <c r="H89" s="7"/>
      <c r="I89" s="7"/>
      <c r="J89" s="7"/>
      <c r="K89" s="7" t="str">
        <f t="shared" si="8"/>
        <v>LR-30L-2</v>
      </c>
      <c r="L89" s="2">
        <f t="shared" si="2"/>
        <v>2321</v>
      </c>
      <c r="N89" s="2" t="str">
        <f t="shared" si="3"/>
        <v>LR-30L-2</v>
      </c>
      <c r="O89" s="2">
        <f t="shared" si="4"/>
        <v>2322</v>
      </c>
      <c r="Q89" s="2" t="str">
        <f t="shared" si="5"/>
        <v>LR-30L-2</v>
      </c>
      <c r="R89" s="2" t="str">
        <f t="shared" si="6"/>
        <v/>
      </c>
    </row>
    <row r="90">
      <c r="A90" s="7" t="s">
        <v>244</v>
      </c>
      <c r="B90" s="7">
        <v>1.0</v>
      </c>
      <c r="C90" s="7">
        <v>2322.0</v>
      </c>
      <c r="D90" s="10">
        <v>1.0</v>
      </c>
      <c r="E90" s="8">
        <v>5514.0</v>
      </c>
      <c r="F90" s="10">
        <v>2.0</v>
      </c>
      <c r="G90" s="7"/>
      <c r="H90" s="7"/>
      <c r="I90" s="7"/>
      <c r="J90" s="7"/>
      <c r="K90" s="7" t="str">
        <f t="shared" si="8"/>
        <v>LR-31L-1</v>
      </c>
      <c r="L90" s="2">
        <f t="shared" si="2"/>
        <v>2322</v>
      </c>
      <c r="N90" s="2" t="str">
        <f t="shared" si="3"/>
        <v>LR-31L-1</v>
      </c>
      <c r="O90" s="2">
        <f t="shared" si="4"/>
        <v>5514</v>
      </c>
      <c r="Q90" s="2" t="str">
        <f t="shared" si="5"/>
        <v>LR-31L-1</v>
      </c>
      <c r="R90" s="2" t="str">
        <f t="shared" si="6"/>
        <v/>
      </c>
    </row>
    <row r="91">
      <c r="A91" s="7" t="s">
        <v>244</v>
      </c>
      <c r="B91" s="7">
        <v>2.0</v>
      </c>
      <c r="C91" s="7">
        <v>2308.0</v>
      </c>
      <c r="D91" s="10">
        <v>1.0</v>
      </c>
      <c r="E91" s="8">
        <v>545.0</v>
      </c>
      <c r="F91" s="10">
        <v>2.0</v>
      </c>
      <c r="G91" s="7"/>
      <c r="H91" s="7"/>
      <c r="I91" s="7"/>
      <c r="J91" s="7"/>
      <c r="K91" s="7" t="str">
        <f t="shared" si="8"/>
        <v>LR-31L-2</v>
      </c>
      <c r="L91" s="2">
        <f t="shared" si="2"/>
        <v>2308</v>
      </c>
      <c r="N91" s="2" t="str">
        <f t="shared" si="3"/>
        <v>LR-31L-2</v>
      </c>
      <c r="O91" s="2">
        <f t="shared" si="4"/>
        <v>545</v>
      </c>
      <c r="Q91" s="2" t="str">
        <f t="shared" si="5"/>
        <v>LR-31L-2</v>
      </c>
      <c r="R91" s="2" t="str">
        <f t="shared" si="6"/>
        <v/>
      </c>
    </row>
    <row r="92">
      <c r="A92" s="7" t="s">
        <v>245</v>
      </c>
      <c r="B92" s="7">
        <v>1.0</v>
      </c>
      <c r="C92" s="7">
        <v>2322.0</v>
      </c>
      <c r="D92" s="10">
        <v>1.0</v>
      </c>
      <c r="E92" s="8">
        <v>2313.0</v>
      </c>
      <c r="F92" s="10">
        <v>2.0</v>
      </c>
      <c r="G92" s="7"/>
      <c r="H92" s="7"/>
      <c r="I92" s="7"/>
      <c r="J92" s="7"/>
      <c r="K92" s="7" t="str">
        <f t="shared" si="8"/>
        <v>LR-32L-1</v>
      </c>
      <c r="L92" s="2">
        <f t="shared" si="2"/>
        <v>2322</v>
      </c>
      <c r="N92" s="2" t="str">
        <f t="shared" si="3"/>
        <v>LR-32L-1</v>
      </c>
      <c r="O92" s="2">
        <f t="shared" si="4"/>
        <v>2313</v>
      </c>
      <c r="Q92" s="2" t="str">
        <f t="shared" si="5"/>
        <v>LR-32L-1</v>
      </c>
      <c r="R92" s="2" t="str">
        <f t="shared" si="6"/>
        <v/>
      </c>
    </row>
    <row r="93">
      <c r="A93" s="7" t="s">
        <v>246</v>
      </c>
      <c r="B93" s="7">
        <v>1.0</v>
      </c>
      <c r="C93" s="7">
        <v>3221.0</v>
      </c>
      <c r="D93" s="10">
        <v>1.0</v>
      </c>
      <c r="E93" s="8">
        <v>2313.0</v>
      </c>
      <c r="F93" s="10">
        <v>2.0</v>
      </c>
      <c r="G93" s="7"/>
      <c r="H93" s="7"/>
      <c r="I93" s="7"/>
      <c r="J93" s="7"/>
      <c r="K93" s="7" t="str">
        <f t="shared" si="8"/>
        <v>LR-33L-1</v>
      </c>
      <c r="L93" s="2">
        <f t="shared" si="2"/>
        <v>3221</v>
      </c>
      <c r="N93" s="2" t="str">
        <f t="shared" si="3"/>
        <v>LR-33L-1</v>
      </c>
      <c r="O93" s="2">
        <f t="shared" si="4"/>
        <v>2313</v>
      </c>
      <c r="Q93" s="2" t="str">
        <f t="shared" si="5"/>
        <v>LR-33L-1</v>
      </c>
      <c r="R93" s="2" t="str">
        <f t="shared" si="6"/>
        <v/>
      </c>
    </row>
    <row r="94">
      <c r="A94" s="7" t="s">
        <v>246</v>
      </c>
      <c r="B94" s="7">
        <v>2.0</v>
      </c>
      <c r="C94" s="7">
        <v>3914.0</v>
      </c>
      <c r="D94" s="10">
        <v>1.0</v>
      </c>
      <c r="E94" s="8">
        <v>2322.0</v>
      </c>
      <c r="F94" s="10">
        <v>2.0</v>
      </c>
      <c r="G94" s="7"/>
      <c r="H94" s="7"/>
      <c r="I94" s="7"/>
      <c r="J94" s="7"/>
      <c r="K94" s="7" t="str">
        <f t="shared" si="8"/>
        <v>LR-33L-2</v>
      </c>
      <c r="L94" s="2">
        <f t="shared" si="2"/>
        <v>3914</v>
      </c>
      <c r="N94" s="2" t="str">
        <f t="shared" si="3"/>
        <v>LR-33L-2</v>
      </c>
      <c r="O94" s="2">
        <f t="shared" si="4"/>
        <v>2322</v>
      </c>
      <c r="Q94" s="2" t="str">
        <f t="shared" si="5"/>
        <v>LR-33L-2</v>
      </c>
      <c r="R94" s="2" t="str">
        <f t="shared" si="6"/>
        <v/>
      </c>
    </row>
    <row r="95">
      <c r="A95" s="7" t="s">
        <v>247</v>
      </c>
      <c r="B95" s="7">
        <v>1.0</v>
      </c>
      <c r="C95" s="7">
        <v>6274.0</v>
      </c>
      <c r="D95" s="10">
        <v>1.0</v>
      </c>
      <c r="E95" s="8">
        <v>2313.0</v>
      </c>
      <c r="F95" s="10">
        <v>2.0</v>
      </c>
      <c r="G95" s="8">
        <v>2325.0</v>
      </c>
      <c r="H95" s="10">
        <v>3.0</v>
      </c>
      <c r="I95" s="7"/>
      <c r="J95" s="7"/>
      <c r="K95" s="7" t="str">
        <f t="shared" si="8"/>
        <v>LR-34L-1</v>
      </c>
      <c r="L95" s="2">
        <f t="shared" si="2"/>
        <v>6274</v>
      </c>
      <c r="N95" s="2" t="str">
        <f t="shared" si="3"/>
        <v>LR-34L-1</v>
      </c>
      <c r="O95" s="2">
        <f t="shared" si="4"/>
        <v>2313</v>
      </c>
      <c r="Q95" s="2" t="str">
        <f t="shared" si="5"/>
        <v>LR-34L-1</v>
      </c>
      <c r="R95" s="2">
        <f t="shared" si="6"/>
        <v>2325</v>
      </c>
    </row>
    <row r="96">
      <c r="A96" s="7" t="s">
        <v>247</v>
      </c>
      <c r="B96" s="7">
        <v>2.0</v>
      </c>
      <c r="C96" s="7" t="s">
        <v>210</v>
      </c>
      <c r="D96" s="10">
        <v>1.0</v>
      </c>
      <c r="E96" s="8">
        <v>2322.0</v>
      </c>
      <c r="F96" s="10">
        <v>2.0</v>
      </c>
      <c r="G96" s="8">
        <v>2304.0</v>
      </c>
      <c r="H96" s="10">
        <v>3.0</v>
      </c>
      <c r="I96" s="7"/>
      <c r="J96" s="7"/>
      <c r="K96" s="7" t="str">
        <f t="shared" si="8"/>
        <v>LR-34L-2</v>
      </c>
      <c r="L96" s="2" t="str">
        <f t="shared" si="2"/>
        <v>2325 B</v>
      </c>
      <c r="N96" s="2" t="str">
        <f t="shared" si="3"/>
        <v>LR-34L-2</v>
      </c>
      <c r="O96" s="2">
        <f t="shared" si="4"/>
        <v>2322</v>
      </c>
      <c r="Q96" s="2" t="str">
        <f t="shared" si="5"/>
        <v>LR-34L-2</v>
      </c>
      <c r="R96" s="2">
        <f t="shared" si="6"/>
        <v>2304</v>
      </c>
    </row>
    <row r="97">
      <c r="A97" s="7" t="s">
        <v>248</v>
      </c>
      <c r="B97" s="7">
        <v>1.0</v>
      </c>
      <c r="C97" s="7">
        <v>2328.0</v>
      </c>
      <c r="D97" s="10">
        <v>1.0</v>
      </c>
      <c r="E97" s="8">
        <v>3210.0</v>
      </c>
      <c r="F97" s="10">
        <v>2.0</v>
      </c>
      <c r="G97" s="7"/>
      <c r="H97" s="7"/>
      <c r="I97" s="7"/>
      <c r="J97" s="7"/>
      <c r="K97" s="7" t="str">
        <f t="shared" si="8"/>
        <v>LR-35L-1</v>
      </c>
      <c r="L97" s="2">
        <f t="shared" si="2"/>
        <v>2328</v>
      </c>
      <c r="N97" s="2" t="str">
        <f t="shared" si="3"/>
        <v>LR-35L-1</v>
      </c>
      <c r="O97" s="2">
        <f t="shared" si="4"/>
        <v>3210</v>
      </c>
      <c r="Q97" s="2" t="str">
        <f t="shared" si="5"/>
        <v>LR-35L-1</v>
      </c>
      <c r="R97" s="2" t="str">
        <f t="shared" si="6"/>
        <v/>
      </c>
    </row>
    <row r="98">
      <c r="A98" s="7" t="s">
        <v>248</v>
      </c>
      <c r="B98" s="7">
        <v>2.0</v>
      </c>
      <c r="C98" s="7">
        <v>5662.0</v>
      </c>
      <c r="D98" s="10">
        <v>1.0</v>
      </c>
      <c r="E98" s="8">
        <v>2313.0</v>
      </c>
      <c r="F98" s="10">
        <v>2.0</v>
      </c>
      <c r="G98" s="7"/>
      <c r="H98" s="7"/>
      <c r="I98" s="7"/>
      <c r="J98" s="7"/>
      <c r="K98" s="7" t="str">
        <f t="shared" si="8"/>
        <v>LR-35L-2</v>
      </c>
      <c r="L98" s="2">
        <f t="shared" si="2"/>
        <v>5662</v>
      </c>
      <c r="N98" s="2" t="str">
        <f t="shared" si="3"/>
        <v>LR-35L-2</v>
      </c>
      <c r="O98" s="2">
        <f t="shared" si="4"/>
        <v>2313</v>
      </c>
      <c r="Q98" s="2" t="str">
        <f t="shared" si="5"/>
        <v>LR-35L-2</v>
      </c>
      <c r="R98" s="2" t="str">
        <f t="shared" si="6"/>
        <v/>
      </c>
    </row>
    <row r="99">
      <c r="A99" s="7" t="s">
        <v>249</v>
      </c>
      <c r="B99" s="7">
        <v>1.0</v>
      </c>
      <c r="C99" s="7">
        <v>2313.0</v>
      </c>
      <c r="D99" s="10">
        <v>1.0</v>
      </c>
      <c r="E99" s="8" t="s">
        <v>250</v>
      </c>
      <c r="F99" s="10">
        <v>2.0</v>
      </c>
      <c r="G99" s="7"/>
      <c r="H99" s="7"/>
      <c r="I99" s="7"/>
      <c r="J99" s="7"/>
      <c r="K99" s="7" t="str">
        <f t="shared" si="8"/>
        <v>LR-36L-1</v>
      </c>
      <c r="L99" s="2">
        <f t="shared" si="2"/>
        <v>2313</v>
      </c>
      <c r="N99" s="2" t="str">
        <f t="shared" si="3"/>
        <v>LR-36L-1</v>
      </c>
      <c r="O99" s="2" t="str">
        <f t="shared" si="4"/>
        <v>2308B</v>
      </c>
      <c r="Q99" s="2" t="str">
        <f t="shared" si="5"/>
        <v>LR-36L-1</v>
      </c>
      <c r="R99" s="2" t="str">
        <f t="shared" si="6"/>
        <v/>
      </c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2" t="str">
        <f t="shared" si="2"/>
        <v/>
      </c>
      <c r="N100" s="2" t="str">
        <f t="shared" si="3"/>
        <v/>
      </c>
      <c r="O100" s="2" t="str">
        <f t="shared" si="4"/>
        <v/>
      </c>
      <c r="Q100" s="2" t="str">
        <f t="shared" si="5"/>
        <v/>
      </c>
      <c r="R100" s="2" t="str">
        <f t="shared" si="6"/>
        <v/>
      </c>
    </row>
    <row r="101">
      <c r="A101" s="7" t="s">
        <v>251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2" t="str">
        <f t="shared" si="2"/>
        <v/>
      </c>
      <c r="N101" s="2" t="str">
        <f t="shared" si="3"/>
        <v/>
      </c>
      <c r="O101" s="2" t="str">
        <f t="shared" si="4"/>
        <v/>
      </c>
      <c r="Q101" s="2" t="str">
        <f t="shared" si="5"/>
        <v/>
      </c>
      <c r="R101" s="2" t="str">
        <f t="shared" si="6"/>
        <v/>
      </c>
    </row>
    <row r="102">
      <c r="A102" s="7">
        <v>60.0</v>
      </c>
      <c r="B102" s="7"/>
      <c r="C102" s="7">
        <v>2312.0</v>
      </c>
      <c r="D102" s="10">
        <v>1.0</v>
      </c>
      <c r="E102" s="7"/>
      <c r="F102" s="7"/>
      <c r="G102" s="7"/>
      <c r="H102" s="7"/>
      <c r="I102" s="7"/>
      <c r="J102" s="7"/>
      <c r="K102" s="7" t="str">
        <f t="shared" ref="K102:K121" si="9">TEXTJOIN("-",True,"TV",A102)</f>
        <v>TV-60</v>
      </c>
      <c r="L102" s="2">
        <f t="shared" si="2"/>
        <v>2312</v>
      </c>
      <c r="N102" s="2" t="str">
        <f t="shared" si="3"/>
        <v>TV-60</v>
      </c>
      <c r="O102" s="2" t="str">
        <f t="shared" si="4"/>
        <v/>
      </c>
      <c r="Q102" s="2" t="str">
        <f t="shared" si="5"/>
        <v>TV-60</v>
      </c>
      <c r="R102" s="2" t="str">
        <f t="shared" si="6"/>
        <v/>
      </c>
    </row>
    <row r="103">
      <c r="A103" s="7">
        <v>61.0</v>
      </c>
      <c r="B103" s="7"/>
      <c r="C103" s="7">
        <v>6167.0</v>
      </c>
      <c r="D103" s="10">
        <v>1.0</v>
      </c>
      <c r="E103" s="8">
        <v>2307.0</v>
      </c>
      <c r="F103" s="10">
        <v>2.0</v>
      </c>
      <c r="G103" s="7"/>
      <c r="H103" s="7"/>
      <c r="I103" s="7"/>
      <c r="J103" s="7"/>
      <c r="K103" s="7" t="str">
        <f t="shared" si="9"/>
        <v>TV-61</v>
      </c>
      <c r="L103" s="2">
        <f t="shared" si="2"/>
        <v>6167</v>
      </c>
      <c r="N103" s="2" t="str">
        <f t="shared" si="3"/>
        <v>TV-61</v>
      </c>
      <c r="O103" s="2">
        <f t="shared" si="4"/>
        <v>2307</v>
      </c>
      <c r="Q103" s="2" t="str">
        <f t="shared" si="5"/>
        <v>TV-61</v>
      </c>
      <c r="R103" s="2" t="str">
        <f t="shared" si="6"/>
        <v/>
      </c>
    </row>
    <row r="104">
      <c r="A104" s="7">
        <v>62.0</v>
      </c>
      <c r="B104" s="7"/>
      <c r="C104" s="7">
        <v>5484.0</v>
      </c>
      <c r="D104" s="10">
        <v>1.0</v>
      </c>
      <c r="E104" s="8">
        <v>2324.0</v>
      </c>
      <c r="F104" s="10">
        <v>2.0</v>
      </c>
      <c r="G104" s="7"/>
      <c r="H104" s="7"/>
      <c r="I104" s="7"/>
      <c r="J104" s="7"/>
      <c r="K104" s="7" t="str">
        <f t="shared" si="9"/>
        <v>TV-62</v>
      </c>
      <c r="L104" s="2">
        <f t="shared" si="2"/>
        <v>5484</v>
      </c>
      <c r="N104" s="2" t="str">
        <f t="shared" si="3"/>
        <v>TV-62</v>
      </c>
      <c r="O104" s="2">
        <f t="shared" si="4"/>
        <v>2324</v>
      </c>
      <c r="Q104" s="2" t="str">
        <f t="shared" si="5"/>
        <v>TV-62</v>
      </c>
      <c r="R104" s="2" t="str">
        <f t="shared" si="6"/>
        <v/>
      </c>
    </row>
    <row r="105">
      <c r="A105" s="7">
        <v>63.0</v>
      </c>
      <c r="B105" s="7"/>
      <c r="C105" s="7" t="s">
        <v>210</v>
      </c>
      <c r="D105" s="10">
        <v>1.0</v>
      </c>
      <c r="E105" s="8">
        <v>2325.0</v>
      </c>
      <c r="F105" s="10">
        <v>2.0</v>
      </c>
      <c r="G105" s="7"/>
      <c r="H105" s="7"/>
      <c r="I105" s="7"/>
      <c r="J105" s="7"/>
      <c r="K105" s="7" t="str">
        <f t="shared" si="9"/>
        <v>TV-63</v>
      </c>
      <c r="L105" s="2" t="str">
        <f t="shared" si="2"/>
        <v>2325 B</v>
      </c>
      <c r="N105" s="2" t="str">
        <f t="shared" si="3"/>
        <v>TV-63</v>
      </c>
      <c r="O105" s="2">
        <f t="shared" si="4"/>
        <v>2325</v>
      </c>
      <c r="Q105" s="2" t="str">
        <f t="shared" si="5"/>
        <v>TV-63</v>
      </c>
      <c r="R105" s="2" t="str">
        <f t="shared" si="6"/>
        <v/>
      </c>
    </row>
    <row r="106">
      <c r="A106" s="7">
        <v>64.0</v>
      </c>
      <c r="B106" s="7"/>
      <c r="C106" s="7" t="s">
        <v>252</v>
      </c>
      <c r="D106" s="10">
        <v>1.0</v>
      </c>
      <c r="E106" s="8">
        <v>2322.0</v>
      </c>
      <c r="F106" s="10">
        <v>2.0</v>
      </c>
      <c r="G106" s="7"/>
      <c r="H106" s="7"/>
      <c r="I106" s="7"/>
      <c r="J106" s="7"/>
      <c r="K106" s="7" t="str">
        <f t="shared" si="9"/>
        <v>TV-64</v>
      </c>
      <c r="L106" s="2" t="str">
        <f t="shared" si="2"/>
        <v>2308 B</v>
      </c>
      <c r="N106" s="2" t="str">
        <f t="shared" si="3"/>
        <v>TV-64</v>
      </c>
      <c r="O106" s="2">
        <f t="shared" si="4"/>
        <v>2322</v>
      </c>
      <c r="Q106" s="2" t="str">
        <f t="shared" si="5"/>
        <v>TV-64</v>
      </c>
      <c r="R106" s="2" t="str">
        <f t="shared" si="6"/>
        <v/>
      </c>
    </row>
    <row r="107">
      <c r="A107" s="7">
        <v>65.0</v>
      </c>
      <c r="B107" s="7"/>
      <c r="C107" s="7">
        <v>3221.0</v>
      </c>
      <c r="D107" s="10">
        <v>1.0</v>
      </c>
      <c r="E107" s="7"/>
      <c r="F107" s="7"/>
      <c r="G107" s="7"/>
      <c r="H107" s="7"/>
      <c r="I107" s="7"/>
      <c r="J107" s="7"/>
      <c r="K107" s="7" t="str">
        <f t="shared" si="9"/>
        <v>TV-65</v>
      </c>
      <c r="L107" s="2">
        <f t="shared" si="2"/>
        <v>3221</v>
      </c>
      <c r="N107" s="2" t="str">
        <f t="shared" si="3"/>
        <v>TV-65</v>
      </c>
      <c r="O107" s="2" t="str">
        <f t="shared" si="4"/>
        <v/>
      </c>
      <c r="Q107" s="2" t="str">
        <f t="shared" si="5"/>
        <v>TV-65</v>
      </c>
      <c r="R107" s="2" t="str">
        <f t="shared" si="6"/>
        <v/>
      </c>
    </row>
    <row r="108">
      <c r="A108" s="7">
        <v>66.0</v>
      </c>
      <c r="B108" s="7"/>
      <c r="C108" s="7">
        <v>2314.0</v>
      </c>
      <c r="D108" s="10">
        <v>1.0</v>
      </c>
      <c r="E108" s="8">
        <v>3856.0</v>
      </c>
      <c r="F108" s="10">
        <v>2.0</v>
      </c>
      <c r="G108" s="7"/>
      <c r="H108" s="7"/>
      <c r="I108" s="7"/>
      <c r="J108" s="7"/>
      <c r="K108" s="7" t="str">
        <f t="shared" si="9"/>
        <v>TV-66</v>
      </c>
      <c r="L108" s="2">
        <f t="shared" si="2"/>
        <v>2314</v>
      </c>
      <c r="N108" s="2" t="str">
        <f t="shared" si="3"/>
        <v>TV-66</v>
      </c>
      <c r="O108" s="2">
        <f t="shared" si="4"/>
        <v>3856</v>
      </c>
      <c r="Q108" s="2" t="str">
        <f t="shared" si="5"/>
        <v>TV-66</v>
      </c>
      <c r="R108" s="2" t="str">
        <f t="shared" si="6"/>
        <v/>
      </c>
    </row>
    <row r="109">
      <c r="A109" s="7">
        <v>67.0</v>
      </c>
      <c r="B109" s="7"/>
      <c r="C109" s="7">
        <v>2312.0</v>
      </c>
      <c r="D109" s="10">
        <v>1.0</v>
      </c>
      <c r="E109" s="8">
        <v>4073.0</v>
      </c>
      <c r="F109" s="10">
        <v>2.0</v>
      </c>
      <c r="G109" s="7"/>
      <c r="H109" s="7"/>
      <c r="I109" s="7"/>
      <c r="J109" s="7"/>
      <c r="K109" s="7" t="str">
        <f t="shared" si="9"/>
        <v>TV-67</v>
      </c>
      <c r="L109" s="2">
        <f t="shared" si="2"/>
        <v>2312</v>
      </c>
      <c r="N109" s="2" t="str">
        <f t="shared" si="3"/>
        <v>TV-67</v>
      </c>
      <c r="O109" s="2">
        <f t="shared" si="4"/>
        <v>4073</v>
      </c>
      <c r="Q109" s="2" t="str">
        <f t="shared" si="5"/>
        <v>TV-67</v>
      </c>
      <c r="R109" s="2" t="str">
        <f t="shared" si="6"/>
        <v/>
      </c>
    </row>
    <row r="110">
      <c r="A110" s="7">
        <v>68.0</v>
      </c>
      <c r="B110" s="7"/>
      <c r="C110" s="7">
        <v>2327.0</v>
      </c>
      <c r="D110" s="10">
        <v>1.0</v>
      </c>
      <c r="E110" s="8">
        <v>2324.0</v>
      </c>
      <c r="F110" s="10">
        <v>2.0</v>
      </c>
      <c r="G110" s="7"/>
      <c r="H110" s="7"/>
      <c r="I110" s="7"/>
      <c r="J110" s="7"/>
      <c r="K110" s="7" t="str">
        <f t="shared" si="9"/>
        <v>TV-68</v>
      </c>
      <c r="L110" s="2">
        <f t="shared" si="2"/>
        <v>2327</v>
      </c>
      <c r="N110" s="2" t="str">
        <f t="shared" si="3"/>
        <v>TV-68</v>
      </c>
      <c r="O110" s="2">
        <f t="shared" si="4"/>
        <v>2324</v>
      </c>
      <c r="Q110" s="2" t="str">
        <f t="shared" si="5"/>
        <v>TV-68</v>
      </c>
      <c r="R110" s="2" t="str">
        <f t="shared" si="6"/>
        <v/>
      </c>
    </row>
    <row r="111">
      <c r="A111" s="7">
        <v>69.0</v>
      </c>
      <c r="B111" s="7"/>
      <c r="C111" s="7">
        <v>2327.0</v>
      </c>
      <c r="D111" s="10">
        <v>1.0</v>
      </c>
      <c r="E111" s="8">
        <v>5514.0</v>
      </c>
      <c r="F111" s="10">
        <v>2.0</v>
      </c>
      <c r="G111" s="7"/>
      <c r="H111" s="7"/>
      <c r="I111" s="7"/>
      <c r="J111" s="7"/>
      <c r="K111" s="7" t="str">
        <f t="shared" si="9"/>
        <v>TV-69</v>
      </c>
      <c r="L111" s="2">
        <f t="shared" si="2"/>
        <v>2327</v>
      </c>
      <c r="N111" s="2" t="str">
        <f t="shared" si="3"/>
        <v>TV-69</v>
      </c>
      <c r="O111" s="2">
        <f t="shared" si="4"/>
        <v>5514</v>
      </c>
      <c r="Q111" s="2" t="str">
        <f t="shared" si="5"/>
        <v>TV-69</v>
      </c>
      <c r="R111" s="2" t="str">
        <f t="shared" si="6"/>
        <v/>
      </c>
    </row>
    <row r="112">
      <c r="A112" s="7">
        <v>70.0</v>
      </c>
      <c r="B112" s="7"/>
      <c r="C112" s="7">
        <v>2305.0</v>
      </c>
      <c r="D112" s="10">
        <v>1.0</v>
      </c>
      <c r="E112" s="8">
        <v>2308.0</v>
      </c>
      <c r="F112" s="10">
        <v>2.0</v>
      </c>
      <c r="G112" s="7"/>
      <c r="H112" s="7"/>
      <c r="I112" s="7"/>
      <c r="J112" s="7"/>
      <c r="K112" s="7" t="str">
        <f t="shared" si="9"/>
        <v>TV-70</v>
      </c>
      <c r="L112" s="2">
        <f t="shared" si="2"/>
        <v>2305</v>
      </c>
      <c r="N112" s="2" t="str">
        <f t="shared" si="3"/>
        <v>TV-70</v>
      </c>
      <c r="O112" s="2">
        <f t="shared" si="4"/>
        <v>2308</v>
      </c>
      <c r="Q112" s="2" t="str">
        <f t="shared" si="5"/>
        <v>TV-70</v>
      </c>
      <c r="R112" s="2" t="str">
        <f t="shared" si="6"/>
        <v/>
      </c>
    </row>
    <row r="113">
      <c r="A113" s="7">
        <v>71.0</v>
      </c>
      <c r="B113" s="7"/>
      <c r="C113" s="7">
        <v>5593.0</v>
      </c>
      <c r="D113" s="10">
        <v>1.0</v>
      </c>
      <c r="E113" s="8">
        <v>2328.0</v>
      </c>
      <c r="F113" s="10">
        <v>2.0</v>
      </c>
      <c r="G113" s="7"/>
      <c r="H113" s="7"/>
      <c r="I113" s="7"/>
      <c r="J113" s="7"/>
      <c r="K113" s="7" t="str">
        <f t="shared" si="9"/>
        <v>TV-71</v>
      </c>
      <c r="L113" s="2">
        <f t="shared" si="2"/>
        <v>5593</v>
      </c>
      <c r="N113" s="2" t="str">
        <f t="shared" si="3"/>
        <v>TV-71</v>
      </c>
      <c r="O113" s="2">
        <f t="shared" si="4"/>
        <v>2328</v>
      </c>
      <c r="Q113" s="2" t="str">
        <f t="shared" si="5"/>
        <v>TV-71</v>
      </c>
      <c r="R113" s="2" t="str">
        <f t="shared" si="6"/>
        <v/>
      </c>
    </row>
    <row r="114">
      <c r="A114" s="7">
        <v>72.0</v>
      </c>
      <c r="B114" s="7"/>
      <c r="C114" s="7">
        <v>5925.0</v>
      </c>
      <c r="D114" s="10">
        <v>1.0</v>
      </c>
      <c r="E114" s="8">
        <v>2325.0</v>
      </c>
      <c r="F114" s="10">
        <v>2.0</v>
      </c>
      <c r="G114" s="7"/>
      <c r="H114" s="7"/>
      <c r="I114" s="7"/>
      <c r="J114" s="7"/>
      <c r="K114" s="7" t="str">
        <f t="shared" si="9"/>
        <v>TV-72</v>
      </c>
      <c r="L114" s="2">
        <f t="shared" si="2"/>
        <v>5925</v>
      </c>
      <c r="N114" s="2" t="str">
        <f t="shared" si="3"/>
        <v>TV-72</v>
      </c>
      <c r="O114" s="2">
        <f t="shared" si="4"/>
        <v>2325</v>
      </c>
      <c r="Q114" s="2" t="str">
        <f t="shared" si="5"/>
        <v>TV-72</v>
      </c>
      <c r="R114" s="2" t="str">
        <f t="shared" si="6"/>
        <v/>
      </c>
    </row>
    <row r="115">
      <c r="A115" s="7">
        <v>73.0</v>
      </c>
      <c r="B115" s="7"/>
      <c r="C115" s="7" t="s">
        <v>253</v>
      </c>
      <c r="D115" s="10">
        <v>1.0</v>
      </c>
      <c r="E115" s="8">
        <v>2322.0</v>
      </c>
      <c r="F115" s="10">
        <v>2.0</v>
      </c>
      <c r="G115" s="7"/>
      <c r="H115" s="7"/>
      <c r="I115" s="7"/>
      <c r="J115" s="7"/>
      <c r="K115" s="7" t="str">
        <f t="shared" si="9"/>
        <v>TV-73</v>
      </c>
      <c r="L115" s="2" t="str">
        <f t="shared" si="2"/>
        <v>2328 B</v>
      </c>
      <c r="N115" s="2" t="str">
        <f t="shared" si="3"/>
        <v>TV-73</v>
      </c>
      <c r="O115" s="2">
        <f t="shared" si="4"/>
        <v>2322</v>
      </c>
      <c r="Q115" s="2" t="str">
        <f t="shared" si="5"/>
        <v>TV-73</v>
      </c>
      <c r="R115" s="2" t="str">
        <f t="shared" si="6"/>
        <v/>
      </c>
    </row>
    <row r="116">
      <c r="A116" s="7">
        <v>74.0</v>
      </c>
      <c r="B116" s="7"/>
      <c r="C116" s="7" t="s">
        <v>254</v>
      </c>
      <c r="D116" s="10">
        <v>1.0</v>
      </c>
      <c r="E116" s="8">
        <v>2304.0</v>
      </c>
      <c r="F116" s="10">
        <v>2.0</v>
      </c>
      <c r="G116" s="7"/>
      <c r="H116" s="7"/>
      <c r="I116" s="7"/>
      <c r="J116" s="7"/>
      <c r="K116" s="7" t="str">
        <f t="shared" si="9"/>
        <v>TV-74</v>
      </c>
      <c r="L116" s="2" t="str">
        <f t="shared" si="2"/>
        <v>2312 B</v>
      </c>
      <c r="N116" s="2" t="str">
        <f t="shared" si="3"/>
        <v>TV-74</v>
      </c>
      <c r="O116" s="2">
        <f t="shared" si="4"/>
        <v>2304</v>
      </c>
      <c r="Q116" s="2" t="str">
        <f t="shared" si="5"/>
        <v>TV-74</v>
      </c>
      <c r="R116" s="2" t="str">
        <f t="shared" si="6"/>
        <v/>
      </c>
    </row>
    <row r="117">
      <c r="A117" s="7">
        <v>75.0</v>
      </c>
      <c r="B117" s="7"/>
      <c r="C117" s="7">
        <v>2326.0</v>
      </c>
      <c r="D117" s="10">
        <v>1.0</v>
      </c>
      <c r="E117" s="8">
        <v>2308.0</v>
      </c>
      <c r="F117" s="10">
        <v>2.0</v>
      </c>
      <c r="G117" s="7"/>
      <c r="H117" s="7"/>
      <c r="I117" s="7"/>
      <c r="J117" s="7"/>
      <c r="K117" s="7" t="str">
        <f t="shared" si="9"/>
        <v>TV-75</v>
      </c>
      <c r="L117" s="2">
        <f t="shared" si="2"/>
        <v>2326</v>
      </c>
      <c r="N117" s="2" t="str">
        <f t="shared" si="3"/>
        <v>TV-75</v>
      </c>
      <c r="O117" s="2">
        <f t="shared" si="4"/>
        <v>2308</v>
      </c>
      <c r="Q117" s="2" t="str">
        <f t="shared" si="5"/>
        <v>TV-75</v>
      </c>
      <c r="R117" s="2" t="str">
        <f t="shared" si="6"/>
        <v/>
      </c>
    </row>
    <row r="118">
      <c r="A118" s="7">
        <v>76.0</v>
      </c>
      <c r="B118" s="7"/>
      <c r="C118" s="7">
        <v>2312.0</v>
      </c>
      <c r="D118" s="10">
        <v>1.0</v>
      </c>
      <c r="E118" s="8">
        <v>2311.0</v>
      </c>
      <c r="F118" s="10">
        <v>2.0</v>
      </c>
      <c r="G118" s="7" t="s">
        <v>212</v>
      </c>
      <c r="H118" s="10">
        <v>3.0</v>
      </c>
      <c r="I118" s="7"/>
      <c r="J118" s="7"/>
      <c r="K118" s="7" t="str">
        <f t="shared" si="9"/>
        <v>TV-76</v>
      </c>
      <c r="L118" s="2">
        <f t="shared" si="2"/>
        <v>2312</v>
      </c>
      <c r="N118" s="2" t="str">
        <f t="shared" si="3"/>
        <v>TV-76</v>
      </c>
      <c r="O118" s="2">
        <f t="shared" si="4"/>
        <v>2311</v>
      </c>
      <c r="Q118" s="2" t="str">
        <f t="shared" si="5"/>
        <v>TV-76</v>
      </c>
      <c r="R118" s="2" t="str">
        <f t="shared" si="6"/>
        <v>2311 B</v>
      </c>
    </row>
    <row r="119">
      <c r="A119" s="7">
        <v>77.0</v>
      </c>
      <c r="B119" s="7"/>
      <c r="C119" s="7"/>
      <c r="D119" s="7"/>
      <c r="E119" s="8">
        <v>2324.0</v>
      </c>
      <c r="F119" s="10">
        <v>2.0</v>
      </c>
      <c r="G119" s="7" t="s">
        <v>213</v>
      </c>
      <c r="H119" s="10">
        <v>3.0</v>
      </c>
      <c r="I119" s="7"/>
      <c r="J119" s="7"/>
      <c r="K119" s="7" t="str">
        <f t="shared" si="9"/>
        <v>TV-77</v>
      </c>
      <c r="L119" s="2" t="str">
        <f t="shared" si="2"/>
        <v/>
      </c>
      <c r="N119" s="2" t="str">
        <f t="shared" si="3"/>
        <v>TV-77</v>
      </c>
      <c r="O119" s="2">
        <f t="shared" si="4"/>
        <v>2324</v>
      </c>
      <c r="Q119" s="2" t="str">
        <f t="shared" si="5"/>
        <v>TV-77</v>
      </c>
      <c r="R119" s="2" t="str">
        <f t="shared" si="6"/>
        <v>2324B</v>
      </c>
    </row>
    <row r="120">
      <c r="A120" s="7">
        <v>78.0</v>
      </c>
      <c r="B120" s="7"/>
      <c r="C120" s="7">
        <v>2313.0</v>
      </c>
      <c r="D120" s="10">
        <v>1.0</v>
      </c>
      <c r="E120" s="8">
        <v>3865.0</v>
      </c>
      <c r="F120" s="10">
        <v>2.0</v>
      </c>
      <c r="G120" s="7"/>
      <c r="H120" s="7"/>
      <c r="I120" s="7"/>
      <c r="J120" s="7"/>
      <c r="K120" s="7" t="str">
        <f t="shared" si="9"/>
        <v>TV-78</v>
      </c>
      <c r="L120" s="2">
        <f t="shared" si="2"/>
        <v>2313</v>
      </c>
      <c r="N120" s="2" t="str">
        <f t="shared" si="3"/>
        <v>TV-78</v>
      </c>
      <c r="O120" s="2">
        <f t="shared" si="4"/>
        <v>3865</v>
      </c>
      <c r="Q120" s="2" t="str">
        <f t="shared" si="5"/>
        <v>TV-78</v>
      </c>
      <c r="R120" s="2" t="str">
        <f t="shared" si="6"/>
        <v/>
      </c>
    </row>
    <row r="121">
      <c r="A121" s="7">
        <v>79.0</v>
      </c>
      <c r="B121" s="7"/>
      <c r="C121" s="7">
        <v>2313.0</v>
      </c>
      <c r="D121" s="10">
        <v>1.0</v>
      </c>
      <c r="E121" s="8">
        <v>2325.0</v>
      </c>
      <c r="F121" s="10">
        <v>2.0</v>
      </c>
      <c r="G121" s="7" t="s">
        <v>214</v>
      </c>
      <c r="H121" s="10">
        <v>3.0</v>
      </c>
      <c r="I121" s="7"/>
      <c r="J121" s="7"/>
      <c r="K121" s="7" t="str">
        <f t="shared" si="9"/>
        <v>TV-79</v>
      </c>
      <c r="L121" s="2">
        <f t="shared" si="2"/>
        <v>2313</v>
      </c>
      <c r="N121" s="2" t="str">
        <f t="shared" si="3"/>
        <v>TV-79</v>
      </c>
      <c r="O121" s="2">
        <f t="shared" si="4"/>
        <v>2325</v>
      </c>
      <c r="Q121" s="2" t="str">
        <f t="shared" si="5"/>
        <v>TV-79</v>
      </c>
      <c r="R121" s="2" t="str">
        <f t="shared" si="6"/>
        <v>2325B</v>
      </c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6"/>
    <hyperlink r:id="rId23" ref="D27"/>
    <hyperlink r:id="rId24" ref="F27"/>
    <hyperlink r:id="rId25" ref="D28"/>
    <hyperlink r:id="rId26" ref="D29"/>
    <hyperlink r:id="rId27" ref="D30"/>
    <hyperlink r:id="rId28" ref="F30"/>
    <hyperlink r:id="rId29" ref="D31"/>
    <hyperlink r:id="rId30" ref="F31"/>
    <hyperlink r:id="rId31" ref="D32"/>
    <hyperlink r:id="rId32" ref="F32"/>
    <hyperlink r:id="rId33" ref="D33"/>
    <hyperlink r:id="rId34" ref="F33"/>
    <hyperlink r:id="rId35" ref="D34"/>
    <hyperlink r:id="rId36" ref="F34"/>
    <hyperlink r:id="rId37" ref="D35"/>
    <hyperlink r:id="rId38" ref="F35"/>
    <hyperlink r:id="rId39" ref="D36"/>
    <hyperlink r:id="rId40" ref="D37"/>
    <hyperlink r:id="rId41" ref="F37"/>
    <hyperlink r:id="rId42" ref="D38"/>
    <hyperlink r:id="rId43" ref="F38"/>
    <hyperlink r:id="rId44" ref="D39"/>
    <hyperlink r:id="rId45" ref="F39"/>
    <hyperlink r:id="rId46" ref="D40"/>
    <hyperlink r:id="rId47" ref="F40"/>
    <hyperlink r:id="rId48" ref="D41"/>
    <hyperlink r:id="rId49" ref="F41"/>
    <hyperlink r:id="rId50" ref="D42"/>
    <hyperlink r:id="rId51" ref="F42"/>
    <hyperlink r:id="rId52" ref="D43"/>
    <hyperlink r:id="rId53" ref="F43"/>
    <hyperlink r:id="rId54" ref="D44"/>
    <hyperlink r:id="rId55" ref="F44"/>
    <hyperlink r:id="rId56" ref="D45"/>
    <hyperlink r:id="rId57" ref="F45"/>
    <hyperlink r:id="rId58" ref="D46"/>
    <hyperlink r:id="rId59" ref="F46"/>
    <hyperlink r:id="rId60" ref="D47"/>
    <hyperlink r:id="rId61" ref="F47"/>
    <hyperlink r:id="rId62" ref="D48"/>
    <hyperlink r:id="rId63" ref="F48"/>
    <hyperlink r:id="rId64" ref="D49"/>
    <hyperlink r:id="rId65" ref="F49"/>
    <hyperlink r:id="rId66" ref="D50"/>
    <hyperlink r:id="rId67" ref="F50"/>
    <hyperlink r:id="rId68" ref="D51"/>
    <hyperlink r:id="rId69" ref="F51"/>
    <hyperlink r:id="rId70" ref="D52"/>
    <hyperlink r:id="rId71" ref="F52"/>
    <hyperlink r:id="rId72" ref="D53"/>
    <hyperlink r:id="rId73" ref="F53"/>
    <hyperlink r:id="rId74" ref="D54"/>
    <hyperlink r:id="rId75" ref="F54"/>
    <hyperlink r:id="rId76" ref="D55"/>
    <hyperlink r:id="rId77" ref="F55"/>
    <hyperlink r:id="rId78" ref="D56"/>
    <hyperlink r:id="rId79" ref="F56"/>
    <hyperlink r:id="rId80" ref="H56"/>
    <hyperlink r:id="rId81" ref="D57"/>
    <hyperlink r:id="rId82" ref="F57"/>
    <hyperlink r:id="rId83" ref="H57"/>
    <hyperlink r:id="rId84" ref="D63"/>
    <hyperlink r:id="rId85" ref="D64"/>
    <hyperlink r:id="rId86" ref="D65"/>
    <hyperlink r:id="rId87" ref="D66"/>
    <hyperlink r:id="rId88" ref="D68"/>
    <hyperlink r:id="rId89" ref="D69"/>
    <hyperlink r:id="rId90" ref="D70"/>
    <hyperlink r:id="rId91" ref="D71"/>
    <hyperlink r:id="rId92" ref="D72"/>
    <hyperlink r:id="rId93" ref="D73"/>
    <hyperlink r:id="rId94" ref="D74"/>
    <hyperlink r:id="rId95" ref="D75"/>
    <hyperlink r:id="rId96" ref="D76"/>
    <hyperlink r:id="rId97" ref="D77"/>
    <hyperlink r:id="rId98" ref="D78"/>
    <hyperlink r:id="rId99" ref="D79"/>
    <hyperlink r:id="rId100" ref="D80"/>
    <hyperlink r:id="rId101" ref="F80"/>
    <hyperlink r:id="rId102" ref="D81"/>
    <hyperlink r:id="rId103" ref="F81"/>
    <hyperlink r:id="rId104" ref="D82"/>
    <hyperlink r:id="rId105" ref="F82"/>
    <hyperlink r:id="rId106" ref="D83"/>
    <hyperlink r:id="rId107" ref="F83"/>
    <hyperlink r:id="rId108" ref="D84"/>
    <hyperlink r:id="rId109" ref="F84"/>
    <hyperlink r:id="rId110" ref="D85"/>
    <hyperlink r:id="rId111" ref="F85"/>
    <hyperlink r:id="rId112" ref="D86"/>
    <hyperlink r:id="rId113" ref="F86"/>
    <hyperlink r:id="rId114" ref="D87"/>
    <hyperlink r:id="rId115" ref="F87"/>
    <hyperlink r:id="rId116" ref="D88"/>
    <hyperlink r:id="rId117" ref="F88"/>
    <hyperlink r:id="rId118" ref="D89"/>
    <hyperlink r:id="rId119" ref="F89"/>
    <hyperlink r:id="rId120" ref="D90"/>
    <hyperlink r:id="rId121" ref="F90"/>
    <hyperlink r:id="rId122" ref="D91"/>
    <hyperlink r:id="rId123" ref="F91"/>
    <hyperlink r:id="rId124" ref="D92"/>
    <hyperlink r:id="rId125" ref="F92"/>
    <hyperlink r:id="rId126" ref="D93"/>
    <hyperlink r:id="rId127" ref="F93"/>
    <hyperlink r:id="rId128" ref="D94"/>
    <hyperlink r:id="rId129" ref="F94"/>
    <hyperlink r:id="rId130" ref="D95"/>
    <hyperlink r:id="rId131" ref="F95"/>
    <hyperlink r:id="rId132" ref="H95"/>
    <hyperlink r:id="rId133" ref="D96"/>
    <hyperlink r:id="rId134" ref="F96"/>
    <hyperlink r:id="rId135" ref="H96"/>
    <hyperlink r:id="rId136" ref="D97"/>
    <hyperlink r:id="rId137" ref="F97"/>
    <hyperlink r:id="rId138" ref="D98"/>
    <hyperlink r:id="rId139" ref="F98"/>
    <hyperlink r:id="rId140" ref="D99"/>
    <hyperlink r:id="rId141" ref="F99"/>
    <hyperlink r:id="rId142" ref="D102"/>
    <hyperlink r:id="rId143" ref="D103"/>
    <hyperlink r:id="rId144" ref="F103"/>
    <hyperlink r:id="rId145" ref="D104"/>
    <hyperlink r:id="rId146" ref="F104"/>
    <hyperlink r:id="rId147" ref="D105"/>
    <hyperlink r:id="rId148" ref="F105"/>
    <hyperlink r:id="rId149" ref="D106"/>
    <hyperlink r:id="rId150" ref="F106"/>
    <hyperlink r:id="rId151" ref="D107"/>
    <hyperlink r:id="rId152" ref="D108"/>
    <hyperlink r:id="rId153" ref="F108"/>
    <hyperlink r:id="rId154" ref="D109"/>
    <hyperlink r:id="rId155" ref="F109"/>
    <hyperlink r:id="rId156" ref="D110"/>
    <hyperlink r:id="rId157" ref="F110"/>
    <hyperlink r:id="rId158" ref="D111"/>
    <hyperlink r:id="rId159" ref="F111"/>
    <hyperlink r:id="rId160" ref="D112"/>
    <hyperlink r:id="rId161" ref="F112"/>
    <hyperlink r:id="rId162" ref="D113"/>
    <hyperlink r:id="rId163" ref="F113"/>
    <hyperlink r:id="rId164" ref="D114"/>
    <hyperlink r:id="rId165" ref="F114"/>
    <hyperlink r:id="rId166" ref="D115"/>
    <hyperlink r:id="rId167" ref="F115"/>
    <hyperlink r:id="rId168" ref="D116"/>
    <hyperlink r:id="rId169" ref="F116"/>
    <hyperlink r:id="rId170" ref="D117"/>
    <hyperlink r:id="rId171" ref="F117"/>
    <hyperlink r:id="rId172" ref="D118"/>
    <hyperlink r:id="rId173" ref="F118"/>
    <hyperlink r:id="rId174" ref="H118"/>
    <hyperlink r:id="rId175" ref="F119"/>
    <hyperlink r:id="rId176" ref="H119"/>
    <hyperlink r:id="rId177" ref="D120"/>
    <hyperlink r:id="rId178" ref="F120"/>
    <hyperlink r:id="rId179" ref="D121"/>
    <hyperlink r:id="rId180" ref="F121"/>
    <hyperlink r:id="rId181" ref="H121"/>
  </hyperlinks>
  <drawing r:id="rId182"/>
</worksheet>
</file>