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9400" windowHeight="12300"/>
  </bookViews>
  <sheets>
    <sheet name="Designs" sheetId="1" r:id="rId1"/>
    <sheet name="Material" sheetId="2" r:id="rId2"/>
    <sheet name="Mapping" sheetId="3" r:id="rId3"/>
  </sheets>
  <calcPr calcId="144525"/>
</workbook>
</file>

<file path=xl/sharedStrings.xml><?xml version="1.0" encoding="utf-8"?>
<sst xmlns="http://schemas.openxmlformats.org/spreadsheetml/2006/main" count="82" uniqueCount="41">
  <si>
    <t>Sno</t>
  </si>
  <si>
    <t>design_name</t>
  </si>
  <si>
    <t>design_code</t>
  </si>
  <si>
    <t>published</t>
  </si>
  <si>
    <t>active</t>
  </si>
  <si>
    <t>Costal heaven</t>
  </si>
  <si>
    <t>CH-1</t>
  </si>
  <si>
    <t>Yes</t>
  </si>
  <si>
    <t>Farm fantastic</t>
  </si>
  <si>
    <t>CH-2</t>
  </si>
  <si>
    <t>sno</t>
  </si>
  <si>
    <t>material_name</t>
  </si>
  <si>
    <t>material_crm_code</t>
  </si>
  <si>
    <t>material_sap_code</t>
  </si>
  <si>
    <t>price</t>
  </si>
  <si>
    <t>T trim install</t>
  </si>
  <si>
    <t>t_trim_crm_code</t>
  </si>
  <si>
    <t>t_trim_sap_code</t>
  </si>
  <si>
    <t>SPC sheet install</t>
  </si>
  <si>
    <t>spc_crm_code</t>
  </si>
  <si>
    <t>spc_sap_code</t>
  </si>
  <si>
    <t>U beading install</t>
  </si>
  <si>
    <t>u_beading_crm_code</t>
  </si>
  <si>
    <t>u_beading_sap_code</t>
  </si>
  <si>
    <t>PVC plain panel install</t>
  </si>
  <si>
    <t>pvc_crm_code</t>
  </si>
  <si>
    <t>pvc_sap_code</t>
  </si>
  <si>
    <t>240 LED install</t>
  </si>
  <si>
    <t>240_led_crm_code</t>
  </si>
  <si>
    <t>240_led_sap_code</t>
  </si>
  <si>
    <t>WPC ceramic install</t>
  </si>
  <si>
    <t>wpc_crm_code</t>
  </si>
  <si>
    <t>wpc_sap_code</t>
  </si>
  <si>
    <t>WPC L beading install</t>
  </si>
  <si>
    <t>l_beading_crm_code</t>
  </si>
  <si>
    <t>l_beading_sap_code</t>
  </si>
  <si>
    <t>Aluminium channel install</t>
  </si>
  <si>
    <t>channel_crm_code</t>
  </si>
  <si>
    <t>channel_sap_code</t>
  </si>
  <si>
    <t>PVC board 10 mm install</t>
  </si>
  <si>
    <t>material_code</t>
  </si>
</sst>
</file>

<file path=xl/styles.xml><?xml version="1.0" encoding="utf-8"?>
<styleSheet xmlns="http://schemas.openxmlformats.org/spreadsheetml/2006/main">
  <numFmts count="4">
    <numFmt numFmtId="44" formatCode="_-&quot;£&quot;* #,##0.00_-;\-&quot;£&quot;* #,##0.00_-;_-&quot;£&quot;* &quot;-&quot;??_-;_-@_-"/>
    <numFmt numFmtId="43" formatCode="_-* #,##0.00_-;\-* #,##0.00_-;_-* &quot;-&quot;??_-;_-@_-"/>
    <numFmt numFmtId="41" formatCode="_-* #,##0_-;\-* #,##0_-;_-* &quot;-&quot;_-;_-@_-"/>
    <numFmt numFmtId="42" formatCode="_-&quot;£&quot;* #,##0_-;\-&quot;£&quot;* #,##0_-;_-&quot;£&quot;* &quot;-&quot;_-;_-@_-"/>
  </numFmts>
  <fonts count="23">
    <font>
      <sz val="10"/>
      <color rgb="FF000000"/>
      <name val="Arial"/>
      <charset val="134"/>
      <scheme val="minor"/>
    </font>
    <font>
      <sz val="10"/>
      <color theme="1"/>
      <name val="Arial"/>
      <charset val="134"/>
      <scheme val="minor"/>
    </font>
    <font>
      <sz val="10"/>
      <color theme="1"/>
      <name val="Arial"/>
      <charset val="134"/>
    </font>
    <font>
      <sz val="11"/>
      <color theme="1"/>
      <name val="Arial"/>
      <charset val="134"/>
      <scheme val="minor"/>
    </font>
    <font>
      <sz val="11"/>
      <color theme="1"/>
      <name val="Arial"/>
      <charset val="0"/>
      <scheme val="minor"/>
    </font>
    <font>
      <u/>
      <sz val="11"/>
      <color rgb="FF800080"/>
      <name val="Arial"/>
      <charset val="0"/>
      <scheme val="minor"/>
    </font>
    <font>
      <b/>
      <sz val="18"/>
      <color theme="3"/>
      <name val="Arial"/>
      <charset val="134"/>
      <scheme val="minor"/>
    </font>
    <font>
      <b/>
      <sz val="15"/>
      <color theme="3"/>
      <name val="Arial"/>
      <charset val="134"/>
      <scheme val="minor"/>
    </font>
    <font>
      <sz val="11"/>
      <color theme="0"/>
      <name val="Arial"/>
      <charset val="0"/>
      <scheme val="minor"/>
    </font>
    <font>
      <i/>
      <sz val="11"/>
      <color rgb="FF7F7F7F"/>
      <name val="Arial"/>
      <charset val="0"/>
      <scheme val="minor"/>
    </font>
    <font>
      <b/>
      <sz val="11"/>
      <color rgb="FFFFFFFF"/>
      <name val="Arial"/>
      <charset val="0"/>
      <scheme val="minor"/>
    </font>
    <font>
      <sz val="11"/>
      <color rgb="FF006100"/>
      <name val="Arial"/>
      <charset val="0"/>
      <scheme val="minor"/>
    </font>
    <font>
      <b/>
      <sz val="11"/>
      <color theme="3"/>
      <name val="Arial"/>
      <charset val="134"/>
      <scheme val="minor"/>
    </font>
    <font>
      <b/>
      <sz val="11"/>
      <color rgb="FF3F3F3F"/>
      <name val="Arial"/>
      <charset val="0"/>
      <scheme val="minor"/>
    </font>
    <font>
      <sz val="11"/>
      <color rgb="FF9C6500"/>
      <name val="Arial"/>
      <charset val="0"/>
      <scheme val="minor"/>
    </font>
    <font>
      <b/>
      <sz val="11"/>
      <color rgb="FFFA7D00"/>
      <name val="Arial"/>
      <charset val="0"/>
      <scheme val="minor"/>
    </font>
    <font>
      <sz val="11"/>
      <color rgb="FFFF0000"/>
      <name val="Arial"/>
      <charset val="0"/>
      <scheme val="minor"/>
    </font>
    <font>
      <u/>
      <sz val="11"/>
      <color rgb="FF0000FF"/>
      <name val="Arial"/>
      <charset val="0"/>
      <scheme val="minor"/>
    </font>
    <font>
      <sz val="11"/>
      <color rgb="FF9C0006"/>
      <name val="Arial"/>
      <charset val="0"/>
      <scheme val="minor"/>
    </font>
    <font>
      <sz val="11"/>
      <color rgb="FFFA7D00"/>
      <name val="Arial"/>
      <charset val="0"/>
      <scheme val="minor"/>
    </font>
    <font>
      <b/>
      <sz val="13"/>
      <color theme="3"/>
      <name val="Arial"/>
      <charset val="134"/>
      <scheme val="minor"/>
    </font>
    <font>
      <b/>
      <sz val="11"/>
      <color theme="1"/>
      <name val="Arial"/>
      <charset val="0"/>
      <scheme val="minor"/>
    </font>
    <font>
      <sz val="11"/>
      <color rgb="FF3F3F76"/>
      <name val="Arial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CC9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0" fontId="8" fillId="26" borderId="0" applyNumberFormat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4" fillId="11" borderId="0" applyNumberFormat="0" applyBorder="0" applyAlignment="0" applyProtection="0">
      <alignment vertical="center"/>
    </xf>
    <xf numFmtId="0" fontId="8" fillId="24" borderId="0" applyNumberFormat="0" applyBorder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4" fillId="16" borderId="0" applyNumberFormat="0" applyBorder="0" applyAlignment="0" applyProtection="0">
      <alignment vertical="center"/>
    </xf>
    <xf numFmtId="0" fontId="4" fillId="3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13" fillId="9" borderId="4" applyNumberFormat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3" fillId="2" borderId="1" applyNumberFormat="0" applyFont="0" applyAlignment="0" applyProtection="0">
      <alignment vertical="center"/>
    </xf>
    <xf numFmtId="0" fontId="22" fillId="32" borderId="5" applyNumberForma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5" fillId="9" borderId="5" applyNumberFormat="0" applyAlignment="0" applyProtection="0">
      <alignment vertical="center"/>
    </xf>
    <xf numFmtId="0" fontId="11" fillId="6" borderId="0" applyNumberFormat="0" applyBorder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20" fillId="0" borderId="2" applyNumberFormat="0" applyFill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0" fontId="10" fillId="5" borderId="3" applyNumberFormat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</cellStyleXfs>
  <cellXfs count="4">
    <xf numFmtId="0" fontId="0" fillId="0" borderId="0" xfId="0" applyFont="1" applyAlignment="1"/>
    <xf numFmtId="0" fontId="1" fillId="0" borderId="0" xfId="0" applyFont="1" applyAlignment="1"/>
    <xf numFmtId="0" fontId="2" fillId="0" borderId="0" xfId="0" applyFont="1" applyAlignment="1"/>
    <xf numFmtId="0" fontId="1" fillId="0" borderId="0" xfId="0" applyFont="1"/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E3"/>
  <sheetViews>
    <sheetView tabSelected="1" workbookViewId="0">
      <selection activeCell="A1" sqref="A1"/>
    </sheetView>
  </sheetViews>
  <sheetFormatPr defaultColWidth="12.6339285714286" defaultRowHeight="15.75" customHeight="1" outlineLevelRow="2" outlineLevelCol="4"/>
  <cols>
    <col min="1" max="1" width="4" customWidth="1"/>
  </cols>
  <sheetData>
    <row r="1" customHeight="1" spans="1: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Height="1" spans="1:5">
      <c r="A2" s="1">
        <v>1</v>
      </c>
      <c r="B2" s="1" t="s">
        <v>5</v>
      </c>
      <c r="C2" s="1" t="s">
        <v>6</v>
      </c>
      <c r="D2" s="1" t="s">
        <v>7</v>
      </c>
      <c r="E2" s="1" t="s">
        <v>7</v>
      </c>
    </row>
    <row r="3" customHeight="1" spans="1:5">
      <c r="A3" s="1">
        <v>2</v>
      </c>
      <c r="B3" s="1" t="s">
        <v>8</v>
      </c>
      <c r="C3" s="1" t="s">
        <v>9</v>
      </c>
      <c r="D3" s="1" t="s">
        <v>7</v>
      </c>
      <c r="E3" s="1" t="s">
        <v>7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E10"/>
  <sheetViews>
    <sheetView workbookViewId="0">
      <selection activeCell="A1" sqref="A1"/>
    </sheetView>
  </sheetViews>
  <sheetFormatPr defaultColWidth="12.6339285714286" defaultRowHeight="15.75" customHeight="1" outlineLevelCol="4"/>
  <cols>
    <col min="1" max="1" width="3.63392857142857" customWidth="1"/>
    <col min="2" max="2" width="19.75" customWidth="1"/>
    <col min="3" max="3" width="17" customWidth="1"/>
    <col min="4" max="4" width="16.8839285714286" customWidth="1"/>
    <col min="5" max="5" width="4.75" customWidth="1"/>
  </cols>
  <sheetData>
    <row r="1" customHeight="1" spans="1:5">
      <c r="A1" s="1" t="s">
        <v>10</v>
      </c>
      <c r="B1" s="1" t="s">
        <v>11</v>
      </c>
      <c r="C1" s="1" t="s">
        <v>12</v>
      </c>
      <c r="D1" s="1" t="s">
        <v>13</v>
      </c>
      <c r="E1" s="1" t="s">
        <v>14</v>
      </c>
    </row>
    <row r="2" customHeight="1" spans="1:5">
      <c r="A2" s="1">
        <v>1</v>
      </c>
      <c r="B2" s="2" t="s">
        <v>15</v>
      </c>
      <c r="C2" s="1" t="s">
        <v>16</v>
      </c>
      <c r="D2" s="1" t="s">
        <v>17</v>
      </c>
      <c r="E2" s="3">
        <f>600</f>
        <v>600</v>
      </c>
    </row>
    <row r="3" customHeight="1" spans="1:5">
      <c r="A3" s="1">
        <v>2</v>
      </c>
      <c r="B3" s="2" t="s">
        <v>18</v>
      </c>
      <c r="C3" s="1" t="s">
        <v>19</v>
      </c>
      <c r="D3" s="1" t="s">
        <v>20</v>
      </c>
      <c r="E3" s="3">
        <f>9000</f>
        <v>9000</v>
      </c>
    </row>
    <row r="4" customHeight="1" spans="1:5">
      <c r="A4" s="1">
        <v>3</v>
      </c>
      <c r="B4" s="2" t="s">
        <v>21</v>
      </c>
      <c r="C4" s="1" t="s">
        <v>22</v>
      </c>
      <c r="D4" s="1" t="s">
        <v>23</v>
      </c>
      <c r="E4" s="3">
        <f>90</f>
        <v>90</v>
      </c>
    </row>
    <row r="5" customHeight="1" spans="1:5">
      <c r="A5" s="1">
        <v>4</v>
      </c>
      <c r="B5" s="2" t="s">
        <v>24</v>
      </c>
      <c r="C5" s="1" t="s">
        <v>25</v>
      </c>
      <c r="D5" s="1" t="s">
        <v>26</v>
      </c>
      <c r="E5" s="3">
        <f>700</f>
        <v>700</v>
      </c>
    </row>
    <row r="6" customHeight="1" spans="1:5">
      <c r="A6" s="1">
        <v>5</v>
      </c>
      <c r="B6" s="2" t="s">
        <v>27</v>
      </c>
      <c r="C6" s="1" t="s">
        <v>28</v>
      </c>
      <c r="D6" s="1" t="s">
        <v>29</v>
      </c>
      <c r="E6" s="3">
        <f>2500</f>
        <v>2500</v>
      </c>
    </row>
    <row r="7" customHeight="1" spans="1:5">
      <c r="A7" s="1">
        <v>6</v>
      </c>
      <c r="B7" s="2" t="s">
        <v>30</v>
      </c>
      <c r="C7" s="1" t="s">
        <v>31</v>
      </c>
      <c r="D7" s="1" t="s">
        <v>32</v>
      </c>
      <c r="E7" s="3">
        <f>1550</f>
        <v>1550</v>
      </c>
    </row>
    <row r="8" customHeight="1" spans="1:5">
      <c r="A8" s="1">
        <v>7</v>
      </c>
      <c r="B8" s="2" t="s">
        <v>33</v>
      </c>
      <c r="C8" s="1" t="s">
        <v>34</v>
      </c>
      <c r="D8" s="1" t="s">
        <v>35</v>
      </c>
      <c r="E8" s="3">
        <f>230</f>
        <v>230</v>
      </c>
    </row>
    <row r="9" customHeight="1" spans="1:5">
      <c r="A9" s="1">
        <v>8</v>
      </c>
      <c r="B9" s="2" t="s">
        <v>36</v>
      </c>
      <c r="C9" s="1" t="s">
        <v>37</v>
      </c>
      <c r="D9" s="1" t="s">
        <v>38</v>
      </c>
      <c r="E9" s="3">
        <f>500</f>
        <v>500</v>
      </c>
    </row>
    <row r="10" customHeight="1" spans="1:5">
      <c r="A10" s="1">
        <v>9</v>
      </c>
      <c r="B10" s="2" t="s">
        <v>39</v>
      </c>
      <c r="C10" s="1" t="s">
        <v>25</v>
      </c>
      <c r="D10" s="1" t="s">
        <v>26</v>
      </c>
      <c r="E10" s="3">
        <f>1500</f>
        <v>1500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C18"/>
  <sheetViews>
    <sheetView workbookViewId="0">
      <selection activeCell="A1" sqref="A1"/>
    </sheetView>
  </sheetViews>
  <sheetFormatPr defaultColWidth="12.6339285714286" defaultRowHeight="15.75" customHeight="1" outlineLevelCol="2"/>
  <cols>
    <col min="1" max="1" width="3.63392857142857" customWidth="1"/>
    <col min="2" max="2" width="10.5" customWidth="1"/>
    <col min="3" max="3" width="17" customWidth="1"/>
  </cols>
  <sheetData>
    <row r="1" customHeight="1" spans="1:3">
      <c r="A1" s="1" t="s">
        <v>10</v>
      </c>
      <c r="B1" s="1" t="s">
        <v>2</v>
      </c>
      <c r="C1" s="1" t="s">
        <v>40</v>
      </c>
    </row>
    <row r="2" customHeight="1" spans="1:3">
      <c r="A2" s="1">
        <v>1</v>
      </c>
      <c r="B2" s="1" t="s">
        <v>6</v>
      </c>
      <c r="C2" s="1" t="s">
        <v>16</v>
      </c>
    </row>
    <row r="3" customHeight="1" spans="1:3">
      <c r="A3" s="1">
        <v>2</v>
      </c>
      <c r="B3" s="1" t="s">
        <v>6</v>
      </c>
      <c r="C3" s="1" t="s">
        <v>19</v>
      </c>
    </row>
    <row r="4" customHeight="1" spans="1:3">
      <c r="A4" s="1">
        <v>3</v>
      </c>
      <c r="B4" s="1" t="s">
        <v>6</v>
      </c>
      <c r="C4" s="1" t="s">
        <v>22</v>
      </c>
    </row>
    <row r="5" customHeight="1" spans="1:3">
      <c r="A5" s="1">
        <v>4</v>
      </c>
      <c r="B5" s="1" t="s">
        <v>6</v>
      </c>
      <c r="C5" s="1" t="s">
        <v>25</v>
      </c>
    </row>
    <row r="6" customHeight="1" spans="1:3">
      <c r="A6" s="1">
        <v>5</v>
      </c>
      <c r="B6" s="1" t="s">
        <v>6</v>
      </c>
      <c r="C6" s="1" t="s">
        <v>28</v>
      </c>
    </row>
    <row r="7" customHeight="1" spans="1:3">
      <c r="A7" s="1">
        <v>6</v>
      </c>
      <c r="B7" s="1" t="s">
        <v>6</v>
      </c>
      <c r="C7" s="1" t="s">
        <v>31</v>
      </c>
    </row>
    <row r="8" customHeight="1" spans="1:3">
      <c r="A8" s="1">
        <v>7</v>
      </c>
      <c r="B8" s="1" t="s">
        <v>6</v>
      </c>
      <c r="C8" s="1" t="s">
        <v>34</v>
      </c>
    </row>
    <row r="9" customHeight="1" spans="1:3">
      <c r="A9" s="1">
        <v>8</v>
      </c>
      <c r="B9" s="1" t="s">
        <v>6</v>
      </c>
      <c r="C9" s="1" t="s">
        <v>37</v>
      </c>
    </row>
    <row r="10" customHeight="1" spans="1:3">
      <c r="A10" s="1">
        <v>9</v>
      </c>
      <c r="B10" s="1" t="s">
        <v>9</v>
      </c>
      <c r="C10" s="1" t="s">
        <v>25</v>
      </c>
    </row>
    <row r="11" customHeight="1" spans="1:3">
      <c r="A11" s="1">
        <v>10</v>
      </c>
      <c r="B11" s="1" t="s">
        <v>9</v>
      </c>
      <c r="C11" s="1" t="s">
        <v>16</v>
      </c>
    </row>
    <row r="12" customHeight="1" spans="1:3">
      <c r="A12" s="1">
        <v>11</v>
      </c>
      <c r="B12" s="1" t="s">
        <v>9</v>
      </c>
      <c r="C12" s="1" t="s">
        <v>19</v>
      </c>
    </row>
    <row r="13" customHeight="1" spans="1:3">
      <c r="A13" s="1">
        <v>12</v>
      </c>
      <c r="B13" s="1" t="s">
        <v>9</v>
      </c>
      <c r="C13" s="1" t="s">
        <v>22</v>
      </c>
    </row>
    <row r="14" customHeight="1" spans="1:3">
      <c r="A14" s="1">
        <v>13</v>
      </c>
      <c r="B14" s="1" t="s">
        <v>9</v>
      </c>
      <c r="C14" s="1" t="s">
        <v>25</v>
      </c>
    </row>
    <row r="15" customHeight="1" spans="1:3">
      <c r="A15" s="1">
        <v>14</v>
      </c>
      <c r="B15" s="1" t="s">
        <v>9</v>
      </c>
      <c r="C15" s="1" t="s">
        <v>28</v>
      </c>
    </row>
    <row r="16" customHeight="1" spans="1:3">
      <c r="A16" s="1">
        <v>15</v>
      </c>
      <c r="B16" s="1" t="s">
        <v>9</v>
      </c>
      <c r="C16" s="1" t="s">
        <v>31</v>
      </c>
    </row>
    <row r="17" customHeight="1" spans="1:3">
      <c r="A17" s="1">
        <v>16</v>
      </c>
      <c r="B17" s="1" t="s">
        <v>9</v>
      </c>
      <c r="C17" s="1" t="s">
        <v>34</v>
      </c>
    </row>
    <row r="18" customHeight="1" spans="1:3">
      <c r="A18" s="1">
        <v>17</v>
      </c>
      <c r="B18" s="1" t="s">
        <v>9</v>
      </c>
      <c r="C18" s="1" t="s">
        <v>37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Designs</vt:lpstr>
      <vt:lpstr>Material</vt:lpstr>
      <vt:lpstr>Mapping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sandeep.p</cp:lastModifiedBy>
  <dcterms:created xsi:type="dcterms:W3CDTF">2026-06-08T15:08:35Z</dcterms:created>
  <dcterms:modified xsi:type="dcterms:W3CDTF">2026-06-08T15:08:39Z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1033-4.9.0.7859</vt:lpwstr>
  </property>
</Properties>
</file>