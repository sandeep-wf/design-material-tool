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igns" sheetId="1" r:id="rId5"/>
    <sheet state="visible" name="Material" sheetId="2" r:id="rId6"/>
    <sheet state="visible" name="Mapping" sheetId="3" r:id="rId7"/>
    <sheet state="visible" name="Pivot Table 1" sheetId="4" r:id="rId8"/>
    <sheet state="visible" name="Pivot Table 2" sheetId="5" r:id="rId9"/>
    <sheet state="visible" name="SAP" sheetId="6" r:id="rId10"/>
    <sheet state="visible" name="Copy of Designs" sheetId="7" r:id="rId11"/>
    <sheet state="visible" name="Copy of Material" sheetId="8" r:id="rId12"/>
    <sheet state="visible" name="Copy of Mapping" sheetId="9" r:id="rId13"/>
  </sheets>
  <definedNames/>
  <calcPr/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<sst xmlns="http://schemas.openxmlformats.org/spreadsheetml/2006/main" count="4470" uniqueCount="541">
  <si>
    <t>Sno</t>
  </si>
  <si>
    <t>design_name</t>
  </si>
  <si>
    <t>design_code</t>
  </si>
  <si>
    <t>published</t>
  </si>
  <si>
    <t>active</t>
  </si>
  <si>
    <t>Cost</t>
  </si>
  <si>
    <t>Light</t>
  </si>
  <si>
    <t>Cabinets</t>
  </si>
  <si>
    <t>Storage</t>
  </si>
  <si>
    <t>Additional cost</t>
  </si>
  <si>
    <t>Final Price</t>
  </si>
  <si>
    <t>BR-1-1</t>
  </si>
  <si>
    <t>No</t>
  </si>
  <si>
    <t>Yes</t>
  </si>
  <si>
    <t>BR-1-2</t>
  </si>
  <si>
    <t>BR-2-1</t>
  </si>
  <si>
    <t>BR-2-2</t>
  </si>
  <si>
    <t>BR-3-1</t>
  </si>
  <si>
    <t>BR-3-2</t>
  </si>
  <si>
    <t>BR-4-1</t>
  </si>
  <si>
    <t>BR-4-2</t>
  </si>
  <si>
    <t>BR-5-1</t>
  </si>
  <si>
    <t>BR-5-2</t>
  </si>
  <si>
    <t>BR-6-1</t>
  </si>
  <si>
    <t>BR-6-2</t>
  </si>
  <si>
    <t>BR-7-1</t>
  </si>
  <si>
    <t>BR-7-2</t>
  </si>
  <si>
    <t>BR-8-1</t>
  </si>
  <si>
    <t>BR-8-2</t>
  </si>
  <si>
    <t>BR-12-1</t>
  </si>
  <si>
    <t>Aluminium channel</t>
  </si>
  <si>
    <t>BR-13-1</t>
  </si>
  <si>
    <t>PVC board</t>
  </si>
  <si>
    <t>BR-15-1</t>
  </si>
  <si>
    <t>Cabinet</t>
  </si>
  <si>
    <t>BR-15-2</t>
  </si>
  <si>
    <t>Boxes and shelfs</t>
  </si>
  <si>
    <t>BR-9-1</t>
  </si>
  <si>
    <t>Trims</t>
  </si>
  <si>
    <t>BR-19-1</t>
  </si>
  <si>
    <t>Beadings</t>
  </si>
  <si>
    <t>BR-10-1</t>
  </si>
  <si>
    <t>BR-10-2</t>
  </si>
  <si>
    <t>BR-31-1</t>
  </si>
  <si>
    <t>BR-31-2</t>
  </si>
  <si>
    <t>BR-20-1</t>
  </si>
  <si>
    <t>BR-20-2</t>
  </si>
  <si>
    <t>BR-11-1</t>
  </si>
  <si>
    <t>BR-11-2</t>
  </si>
  <si>
    <t>BR-22-1</t>
  </si>
  <si>
    <t>BR-23-1</t>
  </si>
  <si>
    <t>BR-23-2</t>
  </si>
  <si>
    <t>BR-14-1</t>
  </si>
  <si>
    <t>BR-14-2</t>
  </si>
  <si>
    <t>BR-28-1</t>
  </si>
  <si>
    <t>BR-16-1</t>
  </si>
  <si>
    <t>BR-16-2</t>
  </si>
  <si>
    <t>BR-17-1</t>
  </si>
  <si>
    <t>BR-17-2</t>
  </si>
  <si>
    <t>BR-18-1</t>
  </si>
  <si>
    <t>BR-29-1</t>
  </si>
  <si>
    <t>BR-30-1</t>
  </si>
  <si>
    <t>BR-21-1</t>
  </si>
  <si>
    <t>BR-21-2</t>
  </si>
  <si>
    <t>BR-25-1</t>
  </si>
  <si>
    <t>BR-25-2</t>
  </si>
  <si>
    <t>BR-26-1</t>
  </si>
  <si>
    <t>BR-26-2</t>
  </si>
  <si>
    <t>BR-27-1</t>
  </si>
  <si>
    <t>BR-27-2</t>
  </si>
  <si>
    <t>BR-24-1</t>
  </si>
  <si>
    <t>BR-24-2</t>
  </si>
  <si>
    <t>BR-32-1</t>
  </si>
  <si>
    <t>BR-33-1</t>
  </si>
  <si>
    <t>LR-09L-1</t>
  </si>
  <si>
    <t>LR-09L-2</t>
  </si>
  <si>
    <t>LR-10L-1</t>
  </si>
  <si>
    <t>LR-10L-2</t>
  </si>
  <si>
    <t>LR-11L-1</t>
  </si>
  <si>
    <t>LR-20L-1</t>
  </si>
  <si>
    <t>LR-20L-2</t>
  </si>
  <si>
    <t>LR-18-1</t>
  </si>
  <si>
    <t>LR-18-2</t>
  </si>
  <si>
    <t>LR-21L-1</t>
  </si>
  <si>
    <t>LR-21L-2</t>
  </si>
  <si>
    <t>LR-22L-1</t>
  </si>
  <si>
    <t>LR-22L-2</t>
  </si>
  <si>
    <t>LR-23L-1</t>
  </si>
  <si>
    <t>LR-23L-2</t>
  </si>
  <si>
    <t>LR-24L-1</t>
  </si>
  <si>
    <t>LR-24L-2</t>
  </si>
  <si>
    <t>LR-25L-1</t>
  </si>
  <si>
    <t>LR-25L-2</t>
  </si>
  <si>
    <t>LR-26L-1</t>
  </si>
  <si>
    <t>LR-27L-1</t>
  </si>
  <si>
    <t>LR-28L-1</t>
  </si>
  <si>
    <t>LR-28L-2</t>
  </si>
  <si>
    <t>LR-29L-1</t>
  </si>
  <si>
    <t>LR-29L-2</t>
  </si>
  <si>
    <t>LR-30L-1</t>
  </si>
  <si>
    <t>LR-30L-2</t>
  </si>
  <si>
    <t>LR-31L-1</t>
  </si>
  <si>
    <t>LR-31L-2</t>
  </si>
  <si>
    <t>LR-32L-1</t>
  </si>
  <si>
    <t>LR-33L-1</t>
  </si>
  <si>
    <t>LR-33L-2</t>
  </si>
  <si>
    <t>LR-34L-1</t>
  </si>
  <si>
    <t>LR-34L-2</t>
  </si>
  <si>
    <t>LR-35L-1</t>
  </si>
  <si>
    <t>LR-35L-2</t>
  </si>
  <si>
    <t>LR-36L-1</t>
  </si>
  <si>
    <t>TV-60</t>
  </si>
  <si>
    <t>TV-61</t>
  </si>
  <si>
    <t>TV-62</t>
  </si>
  <si>
    <t>TV-63</t>
  </si>
  <si>
    <t>TV-64</t>
  </si>
  <si>
    <t>TV-65</t>
  </si>
  <si>
    <t>TV-66</t>
  </si>
  <si>
    <t>TV-67</t>
  </si>
  <si>
    <t>TV-68</t>
  </si>
  <si>
    <t>TV-69</t>
  </si>
  <si>
    <t>TV-70</t>
  </si>
  <si>
    <t>TV-71</t>
  </si>
  <si>
    <t>TV-72</t>
  </si>
  <si>
    <t>TV-73</t>
  </si>
  <si>
    <t>TV-74</t>
  </si>
  <si>
    <t>TV-75</t>
  </si>
  <si>
    <t>TV-76</t>
  </si>
  <si>
    <t>TV-77</t>
  </si>
  <si>
    <t>TV-78</t>
  </si>
  <si>
    <t>TV-79</t>
  </si>
  <si>
    <t>sno</t>
  </si>
  <si>
    <t>material_name</t>
  </si>
  <si>
    <t>material_type</t>
  </si>
  <si>
    <t>material_crm_code</t>
  </si>
  <si>
    <t>material_sap_code</t>
  </si>
  <si>
    <t>price</t>
  </si>
  <si>
    <t>material</t>
  </si>
  <si>
    <t>WHSWPLCS020</t>
  </si>
  <si>
    <t>WHSWPLCS103</t>
  </si>
  <si>
    <t>WHSWPLCS079</t>
  </si>
  <si>
    <t>WHSWLTLEDS163</t>
  </si>
  <si>
    <t>WHSWLTLEDS165</t>
  </si>
  <si>
    <t>WHSWLTLEDS166</t>
  </si>
  <si>
    <t>WHSWPLCS042</t>
  </si>
  <si>
    <t>WHSWPLCS021</t>
  </si>
  <si>
    <t>WHSWPLCS055</t>
  </si>
  <si>
    <t>WHSWPLCS106</t>
  </si>
  <si>
    <t>WHSWPLCS025</t>
  </si>
  <si>
    <t>WHSWPLCS102</t>
  </si>
  <si>
    <t>WHSWPLCS076</t>
  </si>
  <si>
    <t>WHSWPLCS051</t>
  </si>
  <si>
    <t>WHSWPLCS029</t>
  </si>
  <si>
    <t>WHSWPLCS036</t>
  </si>
  <si>
    <t>Brown Wooden Louver PN 02308 - CPC Panel</t>
  </si>
  <si>
    <t>WHSWPLCPCS118</t>
  </si>
  <si>
    <t xml:space="preserve">Beige Fabric Louver PN 02327 CPC Panel </t>
  </si>
  <si>
    <t>WHSWPLCPCS150</t>
  </si>
  <si>
    <t>Brown Wooden Decor PN 02314 CPC Panel</t>
  </si>
  <si>
    <t>WHSWPLCPCS138</t>
  </si>
  <si>
    <t xml:space="preserve">Brown Wooden Louver PN 02307 CPC Panel </t>
  </si>
  <si>
    <t>WHSWPLCPCS132</t>
  </si>
  <si>
    <t xml:space="preserve">Brown Wooden Louver PN 02313 CPC Panel </t>
  </si>
  <si>
    <t>WHSWPLCPCS153</t>
  </si>
  <si>
    <t xml:space="preserve">Brown Wooden PN 02305 CPC Panel </t>
  </si>
  <si>
    <t>WHSWPLCPCS131</t>
  </si>
  <si>
    <t xml:space="preserve">Grey Stone Louver PN 02324 - CPC Panel </t>
  </si>
  <si>
    <t>WHSWPLCPCS128</t>
  </si>
  <si>
    <t xml:space="preserve">Brown Fabric Louver PN 02328 CPC Panel </t>
  </si>
  <si>
    <t>WHSWPLCPCS127</t>
  </si>
  <si>
    <t>Grey Stone Louver PN 02322 - CPC Panel</t>
  </si>
  <si>
    <t>WHSWPLCPCS124</t>
  </si>
  <si>
    <t>Brown Wooden Louver PN 02307 B-CPC Panel</t>
  </si>
  <si>
    <t>WHSWPLCPCS133</t>
  </si>
  <si>
    <t>Brown Wooden Louver PN 02305 B-CPC Panel</t>
  </si>
  <si>
    <t>WHSWPLCPCS130</t>
  </si>
  <si>
    <t xml:space="preserve">Grey Marble Louver PN 02325 - CPC Panel </t>
  </si>
  <si>
    <t>WHSWPLCPCS115</t>
  </si>
  <si>
    <t xml:space="preserve">White Marble Louver PN 02304 CPC Panel </t>
  </si>
  <si>
    <t>WHSWPLCPCS112</t>
  </si>
  <si>
    <t>Brown Stone Decor PN 02323 CPC Panel</t>
  </si>
  <si>
    <t>WHSWPLCPCS159</t>
  </si>
  <si>
    <t xml:space="preserve">Brown Wooden Louver PN 02312 CPC Panel </t>
  </si>
  <si>
    <t>WHSWPLCPCS152</t>
  </si>
  <si>
    <t>Beige Wooden Louver PN 02309 CPC Panel</t>
  </si>
  <si>
    <t>WHSWPLCPCS155</t>
  </si>
  <si>
    <t>Charcoal PS-Beige-Matte-PN 03851</t>
  </si>
  <si>
    <t>WHSWPLCS006</t>
  </si>
  <si>
    <t>WHSWPLCS033</t>
  </si>
  <si>
    <t>WHSWPLCS078</t>
  </si>
  <si>
    <t>WHSWPLCS035</t>
  </si>
  <si>
    <t xml:space="preserve">PN 02315 B Crema Fluted CPC Board </t>
  </si>
  <si>
    <t>WHSWPLCPCS140</t>
  </si>
  <si>
    <t>Grey Marble Louver PN 02325 B-CPC Panel</t>
  </si>
  <si>
    <t>WHSWPLCPCS114</t>
  </si>
  <si>
    <t>Brown Wooden Louver PN 02313 B CPC Panel</t>
  </si>
  <si>
    <t>WHSWPLCPCS154</t>
  </si>
  <si>
    <t>WHSWPLCS032</t>
  </si>
  <si>
    <t>Charcoal PS-Grey-Matte-PN 03856</t>
  </si>
  <si>
    <t>WHSWPLCS007</t>
  </si>
  <si>
    <t>WHSWPLCS060</t>
  </si>
  <si>
    <t>Beige Plain Louver PN 02311 B-CPC Panel</t>
  </si>
  <si>
    <t>WHSWPLCPCS136</t>
  </si>
  <si>
    <t>Grey Stone Louver PN 02324 B - CPC Panel</t>
  </si>
  <si>
    <t>WHSWPLCPCS129</t>
  </si>
  <si>
    <t>WHSWPLCS063</t>
  </si>
  <si>
    <t>WHSWPLCS088</t>
  </si>
  <si>
    <t>Charcoal PS-Pine-Wood Grain-PN 03865</t>
  </si>
  <si>
    <t>WHSWPLCS009</t>
  </si>
  <si>
    <t>WHSWPLCS030</t>
  </si>
  <si>
    <t>Silicon sealant glue nail free</t>
  </si>
  <si>
    <t>WHSWGLSS168</t>
  </si>
  <si>
    <t>material_md_code</t>
  </si>
  <si>
    <t>qty</t>
  </si>
  <si>
    <t>Price</t>
  </si>
  <si>
    <t>WHSWPLCS017</t>
  </si>
  <si>
    <t>LED-1</t>
  </si>
  <si>
    <t>AL-1</t>
  </si>
  <si>
    <t>PA-1</t>
  </si>
  <si>
    <t>2307 B</t>
  </si>
  <si>
    <t>2305 B</t>
  </si>
  <si>
    <t>2315 B</t>
  </si>
  <si>
    <t>2325 B</t>
  </si>
  <si>
    <t>2313B</t>
  </si>
  <si>
    <t>2311 B</t>
  </si>
  <si>
    <t>2324B</t>
  </si>
  <si>
    <t>2325B</t>
  </si>
  <si>
    <t>Calculated Field 1</t>
  </si>
  <si>
    <t>SUM of Calculated Field 1</t>
  </si>
  <si>
    <t>Revenue Segment</t>
  </si>
  <si>
    <t>Product Type/ Generic Name</t>
  </si>
  <si>
    <t>Country of Origin</t>
  </si>
  <si>
    <t>Parent SKU Code</t>
  </si>
  <si>
    <t>Parent Product Name</t>
  </si>
  <si>
    <t>Characters Length
(40 Characters)</t>
  </si>
  <si>
    <t>Child SKU Code</t>
  </si>
  <si>
    <t>Child Product Name</t>
  </si>
  <si>
    <t>UOM</t>
  </si>
  <si>
    <t>Packing Dimensions (MM) (LXWXH)</t>
  </si>
  <si>
    <t>Product Dimensions (MM) (LXWXH)</t>
  </si>
  <si>
    <t>Gross Weight (KG)</t>
  </si>
  <si>
    <t>Net Weight (KG)</t>
  </si>
  <si>
    <t>HSN Code</t>
  </si>
  <si>
    <t>Conversion Factor</t>
  </si>
  <si>
    <t>Plant</t>
  </si>
  <si>
    <t>MAP (Child)</t>
  </si>
  <si>
    <t>MRP</t>
  </si>
  <si>
    <t>SAP Code Parent</t>
  </si>
  <si>
    <t>SAP Code child</t>
  </si>
  <si>
    <t>HIF</t>
  </si>
  <si>
    <t>Wall Panel</t>
  </si>
  <si>
    <t>India</t>
  </si>
  <si>
    <t>WHSWPLPS001</t>
  </si>
  <si>
    <t>PVC-Wooden/Multi-clr-Wood Grain-PN 06186</t>
  </si>
  <si>
    <t>N</t>
  </si>
  <si>
    <t>3048 x 254 x 6</t>
  </si>
  <si>
    <t>KA04,MTN9</t>
  </si>
  <si>
    <t>WHSWPLPS002</t>
  </si>
  <si>
    <t>PVC-Walnut/Dark Wood-Wood Grain-PN 00402</t>
  </si>
  <si>
    <t>WHSWPLWS003</t>
  </si>
  <si>
    <t>WPC-Natural Wood-Wood Grain-PN 00273</t>
  </si>
  <si>
    <t>2895.6 x 127 x 12</t>
  </si>
  <si>
    <t>WHSWPLWS004</t>
  </si>
  <si>
    <t>WPC-Charcoal Grey-Matte-PN 02898</t>
  </si>
  <si>
    <t>WHSWPLWS005</t>
  </si>
  <si>
    <t>WPC-Black-Matte-PN 02912</t>
  </si>
  <si>
    <t>2895.6 x 152.4 x 10</t>
  </si>
  <si>
    <t>WHSWPLCS008</t>
  </si>
  <si>
    <t>Charcoal PS-Walnut-Wood Grain-PN 03864</t>
  </si>
  <si>
    <t>WHSWPLCS010</t>
  </si>
  <si>
    <t>Charcoal PS-Teak-Wood Grain-PN 03044</t>
  </si>
  <si>
    <t>2438.4 x 127 x 12</t>
  </si>
  <si>
    <t>WHSWPLCS011</t>
  </si>
  <si>
    <t>Charcoal PS-Grey-Matte-PN 00901</t>
  </si>
  <si>
    <t>WHSWPLCS012</t>
  </si>
  <si>
    <t>Charcoal PS-Walnut-Wood Grain-PN 03043</t>
  </si>
  <si>
    <t>WHSWPLCS013</t>
  </si>
  <si>
    <t>Charcoal PS-Brown-Wood Grain-PN 05777</t>
  </si>
  <si>
    <t>2438.4 x 127 x 11</t>
  </si>
  <si>
    <t>WHSWPLCS014</t>
  </si>
  <si>
    <t>Charcoal PS-Teak-Wood Grain-PN 06161</t>
  </si>
  <si>
    <t>WHSWPLCS015</t>
  </si>
  <si>
    <t>Charcoal PS-Pine-Wood Grain-PN 06158</t>
  </si>
  <si>
    <t>WHSWPLCS016</t>
  </si>
  <si>
    <t>Charcoal PS-Black-Matte-PN 06159</t>
  </si>
  <si>
    <t>Charcoal PS-Cream-Matte-PN 06167</t>
  </si>
  <si>
    <t>WHSWPLCS018</t>
  </si>
  <si>
    <t>Charcoal PS-Ivory-Matte-PN 06156</t>
  </si>
  <si>
    <t>WHSWPLCS019</t>
  </si>
  <si>
    <t>Charcoal PS-Dark-Wood Grain-PN 03208</t>
  </si>
  <si>
    <t>Charcoal PS-Pine-Wood Grain-PN 03221</t>
  </si>
  <si>
    <t>Charcoal PS-Walnut-Wood Grain-PN 03223</t>
  </si>
  <si>
    <t>WHSWPLCS022</t>
  </si>
  <si>
    <t>Charcoal PS-Teak-Wood Grain-PN 03222</t>
  </si>
  <si>
    <t>WHSWPLCS023</t>
  </si>
  <si>
    <t>Charcoal PS-Grey-Matte-PN 03210</t>
  </si>
  <si>
    <t>WHSWPLCS024</t>
  </si>
  <si>
    <t>Charcoal PS-Oak-Wood Grain-PN 05610</t>
  </si>
  <si>
    <t>Charcoal PS-Dark Grey-Matte-PN 00545</t>
  </si>
  <si>
    <t>WHSWPLCS026</t>
  </si>
  <si>
    <t>Charcoal PS-Pine-Wood Grain-PN 05291</t>
  </si>
  <si>
    <t>WHSWPLCS027</t>
  </si>
  <si>
    <t>Charcoal PS-Walnut-Wood Grain-PN 05289</t>
  </si>
  <si>
    <t>WHSWPLCS028</t>
  </si>
  <si>
    <t>Charcoal PS-Multi-Wood Grain-PN 06288</t>
  </si>
  <si>
    <t>Charcoal PS-White-Matte-PN 00155</t>
  </si>
  <si>
    <t>Charcoal PS-Medium-Wood Grain-PN 05514</t>
  </si>
  <si>
    <t>WHSWPLCS031</t>
  </si>
  <si>
    <t>Charcoal PS-Teak-Wood Grain-PN 00140</t>
  </si>
  <si>
    <t>Charcoal PS-Dark-Wood Grain-PN 05484</t>
  </si>
  <si>
    <t>Charcoal PS-Pine-Wood Grain-PN 00147</t>
  </si>
  <si>
    <t>WHSWPLCS034</t>
  </si>
  <si>
    <t>Charcoal PS-Oak-Wood Grain-PN 05606</t>
  </si>
  <si>
    <t>Charcoal PS-Teak-Wood Grain-PN 02343</t>
  </si>
  <si>
    <t>2438.4 x 609.6 x 10</t>
  </si>
  <si>
    <t>Charcoal PS-Walnut-Wood Grain-PN 02347</t>
  </si>
  <si>
    <t>WHSWPLCS037</t>
  </si>
  <si>
    <t>Charcoal PS-Grey-Matte-PN 02341</t>
  </si>
  <si>
    <t>WHSWPLCS038</t>
  </si>
  <si>
    <t>Charcoal PS-Beige-Matte-PN 02345 B</t>
  </si>
  <si>
    <t>WHSWPLCS039</t>
  </si>
  <si>
    <t>Charcoal PS-Black-Matte-PN 02346</t>
  </si>
  <si>
    <t>WHSWPLCS040</t>
  </si>
  <si>
    <t>Charcoal PS-Brown-Wood Grain-PN 05926</t>
  </si>
  <si>
    <t>2895.6 x 121.92 x 12</t>
  </si>
  <si>
    <t>WHSWPLCS041</t>
  </si>
  <si>
    <t>Charcoal PS-Walnut-Wood Grain-PN 05925</t>
  </si>
  <si>
    <t>Charcoal PS-Dark-Wood Grain-PN 02746</t>
  </si>
  <si>
    <t>WHSWPLCS043</t>
  </si>
  <si>
    <t>Charcoal PS-Ivory-Matte-PN 02750</t>
  </si>
  <si>
    <t>WHSWPLCS044</t>
  </si>
  <si>
    <t>Charcoal PS-Cream-Plain-clr-PN 00521</t>
  </si>
  <si>
    <t>WHSWPLCS045</t>
  </si>
  <si>
    <t>Charcoal PS-Grey-Matte-PN 05494</t>
  </si>
  <si>
    <t>WHSWPLCS046</t>
  </si>
  <si>
    <t>Charcoal PS-Pine-Wood Grain-PN 00486</t>
  </si>
  <si>
    <t>WHSWPLCS047</t>
  </si>
  <si>
    <t>Charcoal PS-Walnut-Wood Grain-PN 04567</t>
  </si>
  <si>
    <t>WHSWPLCS048</t>
  </si>
  <si>
    <t>Charcoal PS-Grey-Matte-PN 05599</t>
  </si>
  <si>
    <t>WHSWPLCS049</t>
  </si>
  <si>
    <t>Charcoal PS-Brown-Wood Grain-PN 05698</t>
  </si>
  <si>
    <t>WHSWPLCS050</t>
  </si>
  <si>
    <t>Charcoal PS-Teak-Wood Grain-PN 04616</t>
  </si>
  <si>
    <t>Charcoal PS-Walnut-Wood Grain-PN 00149</t>
  </si>
  <si>
    <t>WHSWPLCS052</t>
  </si>
  <si>
    <t>Charcoal PS-Cream-Matte-PN 00137</t>
  </si>
  <si>
    <t>WHSWPLCS053</t>
  </si>
  <si>
    <t>Charcoal PS-Brown-Wood Grain-PN 04590</t>
  </si>
  <si>
    <t>WHSWPLCS054</t>
  </si>
  <si>
    <t>Charcoal PS-Oak-Wood Grain-PN 04574</t>
  </si>
  <si>
    <t>Charcoal PS-Medium-Wood Grain-PN 05656</t>
  </si>
  <si>
    <t>WHSWPLCS056</t>
  </si>
  <si>
    <t>Charcoal PS-Walnut-Wood Grain-PN 05852</t>
  </si>
  <si>
    <t>WHSWPLCS057</t>
  </si>
  <si>
    <t>Charcoal PS-Brown-Wood Grain-PN 03556</t>
  </si>
  <si>
    <t>WHSWPLCS058</t>
  </si>
  <si>
    <t>Charcoal PS-Oak-Wood Grain-PN 05855</t>
  </si>
  <si>
    <t>WHSWPLCS059</t>
  </si>
  <si>
    <t>Charcoal PS-Teak-Wood Grain-PN 04075</t>
  </si>
  <si>
    <t>2438.4 x 203.2 x 14</t>
  </si>
  <si>
    <t>Charcoal PS-Pine-Wood Grain-PN 04073</t>
  </si>
  <si>
    <t>WHSWPLCS061</t>
  </si>
  <si>
    <t>Charcoal PS-Light-Wood Grain-PN 04072</t>
  </si>
  <si>
    <t>WHSWPLCS062</t>
  </si>
  <si>
    <t>Charcoal PS-Teak-Wood Grain-PN 02339</t>
  </si>
  <si>
    <t>2438.4 x 149.86 x 8</t>
  </si>
  <si>
    <t>Charcoal PS-Medium-Wood Grain-PN 03214</t>
  </si>
  <si>
    <t>WHSWPLCS064</t>
  </si>
  <si>
    <t>Charcoal PS-Beige-Matte-PN 05296</t>
  </si>
  <si>
    <t>WHSWPLCS065</t>
  </si>
  <si>
    <t>Charcoal PS-Grey-Matte-PN 05375</t>
  </si>
  <si>
    <t>WHSWPLCS066</t>
  </si>
  <si>
    <t>Charcoal PS-Pine-Wood Grain-PN 03022</t>
  </si>
  <si>
    <t>2895.6 x 203.2 x 14</t>
  </si>
  <si>
    <t>WHSWPLCS067</t>
  </si>
  <si>
    <t>Charcoal PS-White-Matte-PN 05383</t>
  </si>
  <si>
    <t>WHSWPLCS068</t>
  </si>
  <si>
    <t>Charcoal PS-Pine-Wood Grain-PN 05350</t>
  </si>
  <si>
    <t>WHSWPLCS069</t>
  </si>
  <si>
    <t>Charcoal PS-Brown-Wood Grain-PN 05334</t>
  </si>
  <si>
    <t>WHSWPLCS070</t>
  </si>
  <si>
    <t>Charcoal PS-Pine-Wood Grain-PN 05328</t>
  </si>
  <si>
    <t>WHSWPLCS071</t>
  </si>
  <si>
    <t>Charcoal PS-Beige-Matte-PN 02796</t>
  </si>
  <si>
    <t>WHSWPLCS072</t>
  </si>
  <si>
    <t>Charcoal PS-Cream-Matte-PN 05380</t>
  </si>
  <si>
    <t>WHSWPLCS073</t>
  </si>
  <si>
    <t>Charcoal PS-Brown-Wood Grain-PN 02754</t>
  </si>
  <si>
    <t>WHSWPLCS074</t>
  </si>
  <si>
    <t>Charcoal PS-Grey-Matte-PN 02759</t>
  </si>
  <si>
    <t>WHSWPLCS075</t>
  </si>
  <si>
    <t>Charcoal PS-Walnut-Wood Grain-PN 03026</t>
  </si>
  <si>
    <t>Charcoal PS-Dark-Wood Grain-PN 03027</t>
  </si>
  <si>
    <t>WHSWPLCS077</t>
  </si>
  <si>
    <t>Charcoal PS-Beige-Matte-PN 00138</t>
  </si>
  <si>
    <t>Charcoal PS-Brown-Wood Grain-PN 05755</t>
  </si>
  <si>
    <t>Charcoal PS-Brown-Wood Grain-PN 03399</t>
  </si>
  <si>
    <t>2438.4 x 127 x 10</t>
  </si>
  <si>
    <t>WHSWPLCS080</t>
  </si>
  <si>
    <t>Charcoal PS-Grey-Matte-PN 05472</t>
  </si>
  <si>
    <t>WHSWPLCS081</t>
  </si>
  <si>
    <t>Charcoal PS-Beige-Matte-PN 06446</t>
  </si>
  <si>
    <t>WHSWPLCS082</t>
  </si>
  <si>
    <t>Charcoal PS-Dark-Wood Grain-PN 02743</t>
  </si>
  <si>
    <t>WHSWPLCS083</t>
  </si>
  <si>
    <t>Charcoal PS-Pine-Wood Grain-PN 06812</t>
  </si>
  <si>
    <t>WHSWPLCS084</t>
  </si>
  <si>
    <t>Charcoal PS-Cream-Matte-PN 00808</t>
  </si>
  <si>
    <t>WHSWPLCS085</t>
  </si>
  <si>
    <t>Charcoal PS-Black-Matte-PN 04886</t>
  </si>
  <si>
    <t>WHSWPLCS086</t>
  </si>
  <si>
    <t>Charcoal PS-Brown-Wood Grain-PN 04881</t>
  </si>
  <si>
    <t>WHSWPLCS087</t>
  </si>
  <si>
    <t>Charcoal PS-Teak-Wood Grain-PN 04882</t>
  </si>
  <si>
    <t>Charcoal PS-Walnut-Wood Grain-PN 04598</t>
  </si>
  <si>
    <t>WHSWPLCS089</t>
  </si>
  <si>
    <t>Charcoal PS-Oak-Wood Grain-PN 04561</t>
  </si>
  <si>
    <t>WHSWPLCS090</t>
  </si>
  <si>
    <t>Charcoal PS-Medium-Wood Grain-PN 03914</t>
  </si>
  <si>
    <t>WHSWPLCS091</t>
  </si>
  <si>
    <t>Charcoal PS-Walnut-Wood Grain-PN 03908</t>
  </si>
  <si>
    <t>WHSWPLCS092</t>
  </si>
  <si>
    <t>Charcoal PS-Beige-Matte-PN 03911</t>
  </si>
  <si>
    <t>WHSWPLCS093</t>
  </si>
  <si>
    <t>Charcoal PS-Oak-Wood Grain-PN 03917</t>
  </si>
  <si>
    <t>WHSWPLCS094</t>
  </si>
  <si>
    <t>Charcoal PS-Ivory-Matte-PN 03912</t>
  </si>
  <si>
    <t>WHSWPLCS095</t>
  </si>
  <si>
    <t>Charcoal PS-White-Matte-PN 03918</t>
  </si>
  <si>
    <t>WHSWPLCS096</t>
  </si>
  <si>
    <t>Charcoal PS-Brown-Wood Grain-PN 05509</t>
  </si>
  <si>
    <t>WHSWPLCS097</t>
  </si>
  <si>
    <t>Charcoal PS-Dark-Wood Grain-PN 03173</t>
  </si>
  <si>
    <t>WHSWPLCS098</t>
  </si>
  <si>
    <t>Charcoal PS-Walnut-Wood Grain-PN 00554</t>
  </si>
  <si>
    <t>WHSWPLCS099</t>
  </si>
  <si>
    <t>Charcoal PS-Grey-Matte-PN 00909</t>
  </si>
  <si>
    <t>WHSWPLCS100</t>
  </si>
  <si>
    <t>Charcoal PS-Beige-Matte-PN 00475</t>
  </si>
  <si>
    <t>WHSWPLCS101</t>
  </si>
  <si>
    <t>Charcoal PS-Brown-Wood Grain-PN 05662</t>
  </si>
  <si>
    <t>Charcoal PS-Cream-Matte-PN 05667</t>
  </si>
  <si>
    <t>Charcoal PS-Light-Wood Grain-PN 06277</t>
  </si>
  <si>
    <t>WHSWPLCS104</t>
  </si>
  <si>
    <t>Charcoal PS-Grey-Matte-PN 06273</t>
  </si>
  <si>
    <t>WHSWPLCS105</t>
  </si>
  <si>
    <t>Charcoal PS-Med-Wood Grain-PN 06274 B</t>
  </si>
  <si>
    <t>Charcoal PS-Dark-Wood Grain-PN 03889</t>
  </si>
  <si>
    <t>WHSWPLCS107</t>
  </si>
  <si>
    <t>Charcoal PS-Grey-Matte-PN 03902</t>
  </si>
  <si>
    <t>WHSWPLCS108</t>
  </si>
  <si>
    <t>Charcoal PS-White-Matte-PN 03567</t>
  </si>
  <si>
    <t>WHSWPLCS109</t>
  </si>
  <si>
    <t>Charcoal PS-3D / Textured-PN 06075</t>
  </si>
  <si>
    <t>2438.4 x 609.6 x 6</t>
  </si>
  <si>
    <t>WHSWPLCS110</t>
  </si>
  <si>
    <t>Charcoal PS-Metallic/Textured-PN 05984</t>
  </si>
  <si>
    <t>WHSWPLCPCS111</t>
  </si>
  <si>
    <t>Grey Patterned CPC Decorative PN 05859</t>
  </si>
  <si>
    <t>2440 x 1220</t>
  </si>
  <si>
    <t>2804.16 x 609.6</t>
  </si>
  <si>
    <t>WHSWPLCPCS113</t>
  </si>
  <si>
    <t>White Wooden Louver PN 02304 B CPC Panel</t>
  </si>
  <si>
    <t>2743.2 x 152.4</t>
  </si>
  <si>
    <t>WHSWPLCPCS116</t>
  </si>
  <si>
    <t xml:space="preserve">PN 02316 B Cadet Blue Fluted CPC Board </t>
  </si>
  <si>
    <t>WHSWPLCPCS117</t>
  </si>
  <si>
    <t xml:space="preserve">PN 02316 Cadet Blue Plain CPC Board </t>
  </si>
  <si>
    <t>WHSWPLCPCS119</t>
  </si>
  <si>
    <t>Brown Wooden Louver PN 02308 B-CPC Panel</t>
  </si>
  <si>
    <t>WHSWPLCPCS120</t>
  </si>
  <si>
    <t xml:space="preserve">PN 02320 B Ivory Fluted CPC Board </t>
  </si>
  <si>
    <t>WHSWPLCPCS121</t>
  </si>
  <si>
    <t xml:space="preserve">PN 02320 Ivory Plain CPC Board </t>
  </si>
  <si>
    <t>WHSWPLCPCS122</t>
  </si>
  <si>
    <t>Grey Stone Louver PN 02321 B - CPC Panel</t>
  </si>
  <si>
    <t>WHSWPLCPCS123</t>
  </si>
  <si>
    <t xml:space="preserve">Grey Stone Louver PN 02321 - CPC Panel </t>
  </si>
  <si>
    <t>WHSWPLCPCS125</t>
  </si>
  <si>
    <t>Grey Stone Louver PN 02322 B - CPC Panel</t>
  </si>
  <si>
    <t>WHSWPLCPCS126</t>
  </si>
  <si>
    <t>Brown Louver PN 02328 B - CPC Panel</t>
  </si>
  <si>
    <t>WHSWPLCPCS134</t>
  </si>
  <si>
    <t>Grey Colour Louver PN 02310 B-CPC Panel</t>
  </si>
  <si>
    <t>WHSWPLCPCS135</t>
  </si>
  <si>
    <t>Grey Wooden Decor PN 02310-CPC Panel</t>
  </si>
  <si>
    <t>WHSWPLCPCS137</t>
  </si>
  <si>
    <t>Beige Wooden Decor PN 02311-CPC Panel</t>
  </si>
  <si>
    <t>WHSWPLCPCS139</t>
  </si>
  <si>
    <t>Brown Wooden Louver PN 02314 B CPC Panel</t>
  </si>
  <si>
    <t>WHSWPLCPCS141</t>
  </si>
  <si>
    <t xml:space="preserve">PN 02315 Crema Plain CPC Board </t>
  </si>
  <si>
    <t>WHSWPLCPCS142</t>
  </si>
  <si>
    <t>PN 02318 B Charcoal Gr Fluted CPC Board</t>
  </si>
  <si>
    <t>WHSWPLCPCS143</t>
  </si>
  <si>
    <t xml:space="preserve">PN 02318 Charcoal Grey Plain CPC Board </t>
  </si>
  <si>
    <t>WHSWPLCPCS144</t>
  </si>
  <si>
    <t>Beige Fabric Decor PN 02326 CPC Panel</t>
  </si>
  <si>
    <t>WHSWPLCPCS145</t>
  </si>
  <si>
    <t xml:space="preserve">Beige Stone Louver PN 02326 B CPC Panel </t>
  </si>
  <si>
    <t>WHSWPLCPCS146</t>
  </si>
  <si>
    <t>Grey Patterned CPC Decor Panel PN 06363</t>
  </si>
  <si>
    <t>WHSWPLCPCS147</t>
  </si>
  <si>
    <t xml:space="preserve">PN 02319 Leather Brown Plain CPC Board </t>
  </si>
  <si>
    <t>WHSWPLCPCS148</t>
  </si>
  <si>
    <t>PN 02319 B Leather Brown Fluted CPCBoard</t>
  </si>
  <si>
    <t>WHSWPLCPCS149</t>
  </si>
  <si>
    <t>Beige Pattern Louver PN 02327 B CPCPanel</t>
  </si>
  <si>
    <t>WHSWPLCPCS151</t>
  </si>
  <si>
    <t xml:space="preserve">Brown Plain Louver PN 02312 B CPC Panel </t>
  </si>
  <si>
    <t>WHSWPLCPCS156</t>
  </si>
  <si>
    <t>Beige Wooden Louver PN 02309 B CPC Panel</t>
  </si>
  <si>
    <t>WHSWPLCPCS157</t>
  </si>
  <si>
    <t xml:space="preserve">PN 02317 Light Grey Plain CPC Board </t>
  </si>
  <si>
    <t>WHSWPLCPCS158</t>
  </si>
  <si>
    <t xml:space="preserve">PN 02317 B Light Grey Fluted CPC Board </t>
  </si>
  <si>
    <t>WHSWPLCPCS160</t>
  </si>
  <si>
    <t xml:space="preserve">Brown Stone Louver PN 02323 B CPC Panel </t>
  </si>
  <si>
    <t>WHSWBDPS161</t>
  </si>
  <si>
    <t>PVC board 11 mm (8 X 4)</t>
  </si>
  <si>
    <t>2438.4 x 1219.2 x 11</t>
  </si>
  <si>
    <t>Aluminium Channel</t>
  </si>
  <si>
    <t>WHSWCHALS162</t>
  </si>
  <si>
    <t>Aluminium channels reactangular 1 mm</t>
  </si>
  <si>
    <t>3657.6 x 50 x 25</t>
  </si>
  <si>
    <t>LED Light</t>
  </si>
  <si>
    <t>120 LED strip light 5m</t>
  </si>
  <si>
    <t>220 x 220 x 150</t>
  </si>
  <si>
    <t>WHSWLTLEDS164</t>
  </si>
  <si>
    <t>240 LED strip light 5m</t>
  </si>
  <si>
    <t>LED Light Profile</t>
  </si>
  <si>
    <t>16X16 Alumnium Angular Profile 3m</t>
  </si>
  <si>
    <t>914.4 x 16 x 16</t>
  </si>
  <si>
    <t>Power Adapter</t>
  </si>
  <si>
    <t>5 AMP 12V LED Power Adapter</t>
  </si>
  <si>
    <t>62x 35x 22</t>
  </si>
  <si>
    <t>WHSWLTLEDS167</t>
  </si>
  <si>
    <t>10 AMP 24V LED Power Adapter</t>
  </si>
  <si>
    <t>Adhesive</t>
  </si>
  <si>
    <t>40 x 40 x 230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</si>
</sst>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1.0"/>
      <color theme="1"/>
      <name val="Calibri"/>
    </font>
    <font>
      <sz val="9.0"/>
      <color theme="1"/>
      <name val="Arial"/>
    </font>
    <font>
      <color rgb="FF1B2332"/>
      <name val="Outfit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1" fillId="2" fontId="4" numFmtId="0" xfId="0" applyBorder="1" applyFill="1" applyFont="1"/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2" fontId="5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6" numFmtId="0" xfId="0" applyAlignment="1" applyFont="1">
      <alignment vertical="bottom"/>
    </xf>
    <xf borderId="0" fillId="0" fontId="6" numFmtId="10" xfId="0" applyAlignment="1" applyFont="1" applyNumberFormat="1">
      <alignment vertical="bottom"/>
    </xf>
    <xf borderId="1" fillId="2" fontId="4" numFmtId="0" xfId="0" applyAlignment="1" applyBorder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3" numFmtId="1" xfId="0" applyAlignment="1" applyFont="1" applyNumberFormat="1">
      <alignment horizontal="right" vertical="bottom"/>
    </xf>
    <xf borderId="0" fillId="2" fontId="2" numFmtId="0" xfId="0" applyAlignment="1" applyFont="1">
      <alignment horizontal="right" vertical="bottom"/>
    </xf>
    <xf borderId="0" fillId="0" fontId="2" numFmtId="10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F284" sheet="Mapping"/>
  </cacheSource>
  <cacheFields>
    <cacheField name="sno" numFmtId="0">
      <sharedItems containsString="0" containsBlank="1">
        <m/>
      </sharedItems>
    </cacheField>
    <cacheField name="design_code" numFmtId="0">
      <sharedItems>
        <s v="BR-1-1"/>
        <s v="BR-1-2"/>
        <s v="BR-2-1"/>
        <s v="BR-2-2"/>
        <s v="BR-3-1"/>
        <s v="BR-3-2"/>
        <s v="BR-4-1"/>
        <s v="BR-4-2"/>
        <s v="BR-5-1"/>
        <s v="BR-5-2"/>
        <s v="BR-6-1"/>
        <s v="BR-6-2"/>
        <s v="BR-7-1"/>
        <s v="BR-7-2"/>
        <s v="BR-8-1"/>
        <s v="BR-8-2"/>
        <s v="BR-12-1"/>
        <s v="BR-13-1"/>
        <s v="BR-15-1"/>
        <s v="BR-15-2"/>
        <s v="BR-9-1"/>
        <s v="BR-10-2"/>
        <s v="BR-31-1"/>
        <s v="BR-31-2"/>
        <s v="BR-20-1"/>
        <s v="BR-20-2"/>
        <s v="BR-11-1"/>
        <s v="BR-11-2"/>
        <s v="BR-22-1"/>
        <s v="BR-23-1"/>
        <s v="BR-23-2"/>
        <s v="BR-14-1"/>
        <s v="BR-14-2"/>
        <s v="BR-28-1"/>
        <s v="BR-16-1"/>
        <s v="BR-16-2"/>
        <s v="BR-17-1"/>
        <s v="BR-17-2"/>
        <s v="BR-18-1"/>
        <s v="BR-29-1"/>
        <s v="BR-30-1"/>
        <s v="BR-21-1"/>
        <s v="BR-21-2"/>
        <s v="BR-25-1"/>
        <s v="BR-25-2"/>
        <s v="BR-26-1"/>
        <s v="BR-26-2"/>
        <s v="BR-27-1"/>
        <s v="BR-27-2"/>
        <s v="BR-24-1"/>
        <s v="BR-24-2"/>
        <s v="BR-32-1"/>
        <s v="BR-33-1"/>
        <s v="LR-34L-1"/>
        <s v="LR-34L-2"/>
        <s v="TV-60"/>
        <s v="TV-61"/>
        <s v="TV-62"/>
        <s v="TV-63"/>
        <s v="TV-64"/>
        <s v="TV-65"/>
        <s v="TV-66"/>
        <s v="TV-67"/>
        <s v="TV-68"/>
        <s v="TV-69"/>
        <s v="TV-70"/>
        <s v="TV-71"/>
        <s v="TV-72"/>
        <s v="TV-73"/>
        <s v="TV-74"/>
        <s v="TV-75"/>
        <s v="TV-76"/>
        <s v="TV-77"/>
        <s v="TV-78"/>
        <s v="TV-79"/>
        <s v="LR-09L-1"/>
        <s v="LR-09L-2"/>
        <s v="LR-10L-1"/>
        <s v="LR-10L-2"/>
        <s v="LR-20L-1"/>
        <s v="LR-20L-2"/>
        <s v="LR-21L-1"/>
        <s v="BR-19-1"/>
        <s v="BR-10-1"/>
        <s v="LR-11L-1"/>
        <s v="LR-18-1"/>
        <s v="LR-18-2"/>
        <s v="LR-21L-2"/>
        <s v="LR-22L-1"/>
        <s v="LR-22L-2"/>
        <s v="LR-23L-1"/>
        <s v="LR-23L-2"/>
        <s v="LR-24L-1"/>
        <s v="LR-24L-2"/>
        <s v="LR-25L-1"/>
        <s v="LR-25L-2"/>
        <s v="LR-26L-1"/>
        <s v="LR-27L-1"/>
        <s v="LR-28L-1"/>
        <s v="LR-28L-2"/>
        <s v="LR-29L-1"/>
        <s v="LR-29L-2"/>
        <s v="LR-30L-1"/>
        <s v="LR-30L-2"/>
        <s v="LR-31L-1"/>
        <s v="LR-31L-2"/>
        <s v="LR-32L-1"/>
        <s v="LR-33L-1"/>
        <s v="LR-33L-2"/>
        <s v="LR-35L-1"/>
        <s v="LR-35L-2"/>
        <s v="LR-36L-1"/>
      </sharedItems>
    </cacheField>
    <cacheField name="material_crm_code" numFmtId="0">
      <sharedItems containsBlank="1">
        <s v="WHSWPLCS017"/>
        <s v="WHSWPLCS020"/>
        <s v="WHSWPLCS103"/>
        <s v="WHSWPLCS079"/>
        <s v="WHSWLTLEDS163"/>
        <s v="WHSWLTLEDS165"/>
        <s v="WHSWLTLEDS166"/>
        <s v="WHSWPLCS042"/>
        <s v="WHSWPLCS021"/>
        <s v="WHSWPLCS055"/>
        <s v="WHSWPLCS106"/>
        <s v="WHSWPLCS025"/>
        <s v="WHSWPLCS102"/>
        <s v="WHSWPLCS076"/>
        <s v="WHSWPLCS051"/>
        <s v="WHSWPLCS029"/>
        <s v="WHSWPLCS036"/>
        <s v="WHSWPLCPCS118"/>
        <s v="WHSWPLCPCS150"/>
        <s v="WHSWPLCPCS138"/>
        <s v="WHSWPLCPCS132"/>
        <s v="WHSWPLCPCS153"/>
        <s v="WHSWPLCPCS131"/>
        <s v="WHSWPLCPCS128"/>
        <s v="WHSWPLCPCS127"/>
        <s v="WHSWPLCPCS124"/>
        <s v="WHSWPLCPCS133"/>
        <s v="WHSWPLCPCS130"/>
        <s v="WHSWPLCPCS115"/>
        <s v="WHSWPLCPCS112"/>
        <s v="WHSWPLCPCS159"/>
        <s v="WHSWPLCPCS152"/>
        <s v="WHSWPLCPCS155"/>
        <s v="WHSWPLCS006"/>
        <s v="WHSWPLCS033"/>
        <s v="WHSWPLCS078"/>
        <s v="WHSWPLCS035"/>
        <s v="WHSWPLCPCS140"/>
        <s v="WHSWPLCPCS114"/>
        <s v="WHSWPLCPCS154"/>
        <s v="WHSWPLCS032"/>
        <s v="WHSWPLCS007"/>
        <s v="WHSWPLCS060"/>
        <s v="WHSWPLCPCS136"/>
        <s v="WHSWPLCPCS129"/>
        <m/>
        <s v="WHSWPLCS063"/>
        <s v="WHSWPLCS088"/>
        <s v="WHSWPLCS009"/>
        <s v="WHSWPLCS030"/>
        <s v="WHSWGLSS168"/>
      </sharedItems>
    </cacheField>
    <cacheField name="material_md_code">
      <sharedItems containsBlank="1" containsMixedTypes="1" containsNumber="1" containsInteger="1">
        <n v="6167.0"/>
        <n v="3221.0"/>
        <n v="6277.0"/>
        <n v="3399.0"/>
        <s v="LED-1"/>
        <s v="AL-1"/>
        <s v="PA-1"/>
        <n v="2746.0"/>
        <n v="3223.0"/>
        <n v="5656.0"/>
        <n v="3889.0"/>
        <n v="545.0"/>
        <n v="5667.0"/>
        <n v="3027.0"/>
        <n v="149.0"/>
        <n v="155.0"/>
        <n v="2347.0"/>
        <n v="2308.0"/>
        <n v="2327.0"/>
        <n v="2314.0"/>
        <n v="2307.0"/>
        <n v="2313.0"/>
        <n v="2305.0"/>
        <n v="2324.0"/>
        <n v="2328.0"/>
        <n v="2322.0"/>
        <s v="2307 B"/>
        <s v="2305 B"/>
        <n v="2325.0"/>
        <n v="2304.0"/>
        <n v="2323.0"/>
        <n v="2312.0"/>
        <n v="2309.0"/>
        <n v="3851.0"/>
        <n v="147.0"/>
        <n v="5755.0"/>
        <n v="2343.0"/>
        <s v="2315 B"/>
        <s v="2325 B"/>
        <s v="2313B"/>
        <n v="5484.0"/>
        <n v="3856.0"/>
        <n v="4073.0"/>
        <s v="2311 B"/>
        <s v="2324B"/>
        <m/>
        <s v="2325B"/>
        <n v="3214.0"/>
        <n v="4598.0"/>
        <n v="3865.0"/>
        <n v="5514.0"/>
      </sharedItems>
    </cacheField>
    <cacheField name="qty" numFmtId="0">
      <sharedItems containsString="0" containsBlank="1" containsNumber="1" containsInteger="1">
        <n v="0.0"/>
        <n v="5.0"/>
        <n v="1.0"/>
        <n v="10.0"/>
        <n v="20.0"/>
        <n v="14.0"/>
        <n v="2.0"/>
        <n v="12.0"/>
        <n v="15.0"/>
        <n v="3.0"/>
        <n v="4.0"/>
        <n v="18.0"/>
        <n v="6.0"/>
        <n v="7.0"/>
        <m/>
        <n v="8.0"/>
      </sharedItems>
    </cacheField>
    <cacheField name="Price">
      <sharedItems containsMixedTypes="1" containsNumber="1" containsInteger="1">
        <n v="2500.0"/>
        <n v="1500.0"/>
        <n v="500.0"/>
        <n v="2000.0"/>
        <n v="1000.0"/>
        <n v="7500.0"/>
        <e v="#N/A"/>
      </sharedItems>
    </cacheField>
    <cacheField name="Calculated Field 1" formula="qty*Price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205" sheet="Pivot Table 1"/>
  </cacheSource>
  <cacheFields>
    <cacheField name="design_code" numFmtId="0">
      <sharedItems containsBlank="1">
        <s v="BR-1-1"/>
        <s v="BR-1-2"/>
        <s v="BR-10-1"/>
        <s v="BR-10-2"/>
        <s v="BR-11-1"/>
        <s v="BR-11-2"/>
        <s v="BR-12-1"/>
        <s v="BR-13-1"/>
        <s v="BR-14-1"/>
        <s v="BR-14-2"/>
        <s v="BR-15-1"/>
        <s v="BR-15-2"/>
        <s v="BR-16-1"/>
        <s v="BR-16-2"/>
        <s v="BR-17-1"/>
        <s v="BR-17-2"/>
        <s v="BR-18-1"/>
        <s v="BR-19-1"/>
        <s v="BR-2-1"/>
        <s v="BR-2-2"/>
        <s v="BR-20-1"/>
        <s v="BR-20-2"/>
        <s v="BR-21-1"/>
        <s v="BR-21-2"/>
        <s v="BR-22-1"/>
        <s v="BR-23-1"/>
        <s v="BR-23-2"/>
        <s v="BR-24-1"/>
        <s v="BR-24-2"/>
        <s v="BR-25-1"/>
        <s v="BR-25-2"/>
        <s v="BR-26-1"/>
        <s v="BR-26-2"/>
        <s v="BR-27-1"/>
        <s v="BR-27-2"/>
        <s v="BR-28-1"/>
        <s v="BR-29-1"/>
        <s v="BR-3-1"/>
        <s v="BR-3-2"/>
        <s v="BR-30-1"/>
        <s v="BR-31-1"/>
        <s v="BR-31-2"/>
        <s v="BR-32-1"/>
        <s v="BR-33-1"/>
        <s v="BR-4-1"/>
        <s v="BR-4-2"/>
        <s v="BR-5-1"/>
        <s v="BR-5-2"/>
        <s v="BR-6-1"/>
        <s v="BR-6-2"/>
        <s v="BR-7-1"/>
        <s v="BR-7-2"/>
        <s v="BR-8-1"/>
        <s v="BR-8-2"/>
        <s v="BR-9-1"/>
        <s v="LR-09L-1"/>
        <s v="LR-09L-2"/>
        <s v="LR-10L-1"/>
        <s v="LR-10L-2"/>
        <s v="LR-11L-1"/>
        <s v="LR-18-1"/>
        <s v="LR-18-2"/>
        <s v="LR-20L-1"/>
        <s v="LR-20L-2"/>
        <s v="LR-21L-1"/>
        <s v="LR-21L-2"/>
        <s v="LR-22L-1"/>
        <s v="LR-22L-2"/>
        <s v="LR-23L-1"/>
        <s v="LR-23L-2"/>
        <s v="LR-24L-1"/>
        <s v="LR-24L-2"/>
        <s v="LR-25L-1"/>
        <s v="LR-25L-2"/>
        <s v="LR-26L-1"/>
        <s v="LR-27L-1"/>
        <s v="LR-28L-1"/>
        <s v="LR-28L-2"/>
        <s v="LR-29L-1"/>
        <s v="LR-29L-2"/>
        <s v="LR-30L-1"/>
        <s v="LR-30L-2"/>
        <s v="LR-31L-1"/>
        <s v="LR-31L-2"/>
        <s v="LR-32L-1"/>
        <s v="LR-33L-1"/>
        <s v="LR-33L-2"/>
        <s v="LR-34L-1"/>
        <s v="LR-34L-2"/>
        <s v="LR-35L-1"/>
        <s v="LR-35L-2"/>
        <s v="LR-36L-1"/>
        <s v="TV-60"/>
        <s v="TV-61"/>
        <s v="TV-62"/>
        <s v="TV-63"/>
        <s v="TV-64"/>
        <s v="TV-65"/>
        <s v="TV-66"/>
        <s v="TV-67"/>
        <s v="TV-68"/>
        <s v="TV-69"/>
        <s v="TV-70"/>
        <s v="TV-71"/>
        <s v="TV-72"/>
        <s v="TV-73"/>
        <s v="TV-74"/>
        <s v="TV-75"/>
        <s v="TV-76"/>
        <s v="TV-77"/>
        <s v="TV-78"/>
        <s v="TV-79"/>
        <m/>
      </sharedItems>
    </cacheField>
    <cacheField name="material_crm_code" numFmtId="0">
      <sharedItems containsBlank="1">
        <s v="WHSWGLSS168"/>
        <s v="WHSWLTLEDS163"/>
        <s v="WHSWLTLEDS166"/>
        <s v="WHSWPLCPCS132"/>
        <s v="WHSWLTLEDS165"/>
        <s v="WHSWPLCS102"/>
        <s v="WHSWPLCS036"/>
        <s v="WHSWPLCPCS118"/>
        <s v="WHSWPLCPCS150"/>
        <s v="WHSWPLCS017"/>
        <s v="WHSWPLCS042"/>
        <s v="WHSWPLCPCS153"/>
        <s v="WHSWPLCS021"/>
        <s v="WHSWPLCS055"/>
        <s v="WHSWPLCS106"/>
        <s v="WHSWPLCS020"/>
        <s v="WHSWPLCS025"/>
        <s v="WHSWPLCS076"/>
        <s v="WHSWPLCS051"/>
        <s v="WHSWPLCS029"/>
        <s v="WHSWPLCPCS138"/>
        <s v="WHSWPLCS063"/>
        <s v="WHSWPLCS088"/>
        <s v="WHSWPLCS009"/>
        <s v="WHSWPLCS030"/>
        <s v="WHSWPLCPCS152"/>
        <s v="WHSWPLCPCS114"/>
        <s v="WHSWPLCPCS115"/>
        <s v="WHSWPLCS007"/>
        <s v="WHSWPLCS060"/>
        <m/>
      </sharedItems>
    </cacheField>
    <cacheField name="qty" numFmtId="0">
      <sharedItems containsString="0" containsBlank="1" containsNumber="1" containsInteger="1">
        <n v="10.0"/>
        <n v="2.0"/>
        <n v="1.0"/>
        <n v="4.0"/>
        <n v="12.0"/>
        <n v="15.0"/>
        <n v="3.0"/>
        <n v="5.0"/>
        <n v="18.0"/>
        <n v="20.0"/>
        <n v="14.0"/>
        <n v="8.0"/>
        <n v="6.0"/>
        <n v="7.0"/>
        <m/>
      </sharedItems>
    </cacheField>
    <cacheField name="Price" numFmtId="0">
      <sharedItems containsString="0" containsBlank="1" containsNumber="1" containsInteger="1">
        <n v="500.0"/>
        <n v="1000.0"/>
        <n v="7500.0"/>
        <n v="2500.0"/>
        <n v="2000.0"/>
        <n v="1500.0"/>
        <m/>
      </sharedItems>
    </cacheField>
    <cacheField name="Calculated Field 1" numFmtId="0">
      <sharedItems containsString="0" containsBlank="1" containsNumber="1" containsInteger="1">
        <n v="5000.0"/>
        <n v="2000.0"/>
        <n v="500.0"/>
        <n v="30000.0"/>
        <n v="1000.0"/>
        <n v="6000.0"/>
        <n v="37500.0"/>
        <n v="22500.0"/>
        <n v="12500.0"/>
        <n v="10000.0"/>
        <n v="135000.0"/>
        <n v="15000.0"/>
        <n v="20000.0"/>
        <n v="40000.0"/>
        <n v="21000.0"/>
        <n v="90000.0"/>
        <n v="18000.0"/>
        <n v="60000.0"/>
        <n v="7500.0"/>
        <n v="10500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 Table 1" cacheId="0" dataCaption="" rowGrandTotals="0" compact="0" compactData="0">
  <location ref="A1:E204" firstHeaderRow="0" firstDataRow="4" firstDataCol="0"/>
  <pivotFields>
    <pivotField name="sno" compact="0" outline="0" multipleItemSelectionAllowed="1" showAll="0">
      <items>
        <item x="0"/>
        <item t="default"/>
      </items>
    </pivotField>
    <pivotField name="design_code" axis="axisRow" compact="0" outline="0" multipleItemSelectionAllowed="1" showAll="0" sortType="ascending" defaultSubtotal="0">
      <items>
        <item x="0"/>
        <item x="1"/>
        <item x="83"/>
        <item x="21"/>
        <item x="26"/>
        <item x="27"/>
        <item x="16"/>
        <item x="17"/>
        <item x="31"/>
        <item x="32"/>
        <item x="18"/>
        <item x="19"/>
        <item x="34"/>
        <item x="35"/>
        <item x="36"/>
        <item x="37"/>
        <item x="38"/>
        <item x="82"/>
        <item x="2"/>
        <item x="3"/>
        <item x="24"/>
        <item x="25"/>
        <item x="41"/>
        <item x="42"/>
        <item x="28"/>
        <item x="29"/>
        <item x="30"/>
        <item x="49"/>
        <item x="50"/>
        <item x="43"/>
        <item x="44"/>
        <item x="45"/>
        <item x="46"/>
        <item x="47"/>
        <item x="48"/>
        <item x="33"/>
        <item x="39"/>
        <item x="4"/>
        <item x="5"/>
        <item x="40"/>
        <item x="22"/>
        <item x="23"/>
        <item x="51"/>
        <item x="52"/>
        <item x="6"/>
        <item x="7"/>
        <item x="8"/>
        <item x="9"/>
        <item x="10"/>
        <item x="11"/>
        <item x="12"/>
        <item x="13"/>
        <item x="14"/>
        <item x="15"/>
        <item x="20"/>
        <item x="75"/>
        <item x="76"/>
        <item x="77"/>
        <item x="78"/>
        <item x="84"/>
        <item x="85"/>
        <item x="86"/>
        <item x="79"/>
        <item x="80"/>
        <item x="81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53"/>
        <item x="54"/>
        <item x="109"/>
        <item x="110"/>
        <item x="111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</pivotField>
    <pivotField name="material_crm_code" axis="axisRow" compact="0" outline="0" multipleItemSelectionAllowed="1" showAll="0" sortType="ascending" defaultSubtotal="0">
      <items>
        <item x="45"/>
        <item x="50"/>
        <item x="4"/>
        <item x="5"/>
        <item x="6"/>
        <item x="29"/>
        <item x="38"/>
        <item x="28"/>
        <item x="17"/>
        <item x="25"/>
        <item x="24"/>
        <item x="23"/>
        <item x="44"/>
        <item x="27"/>
        <item x="22"/>
        <item x="20"/>
        <item x="26"/>
        <item x="43"/>
        <item x="19"/>
        <item x="37"/>
        <item x="18"/>
        <item x="31"/>
        <item x="21"/>
        <item x="39"/>
        <item x="32"/>
        <item x="30"/>
        <item x="33"/>
        <item x="41"/>
        <item x="48"/>
        <item x="0"/>
        <item x="1"/>
        <item x="8"/>
        <item x="11"/>
        <item x="15"/>
        <item x="49"/>
        <item x="40"/>
        <item x="34"/>
        <item x="36"/>
        <item x="16"/>
        <item x="7"/>
        <item x="14"/>
        <item x="9"/>
        <item x="42"/>
        <item x="46"/>
        <item x="13"/>
        <item x="35"/>
        <item x="3"/>
        <item x="47"/>
        <item x="12"/>
        <item x="2"/>
        <item x="10"/>
      </items>
    </pivotField>
    <pivotField name="material_md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qty" axis="axisRow" compact="0" outline="0" multipleItemSelectionAllowed="1" showAll="0" sortType="ascending" defaultSubtotal="0">
      <items>
        <item h="1" x="14"/>
        <item h="1" x="0"/>
        <item x="2"/>
        <item x="6"/>
        <item x="9"/>
        <item x="10"/>
        <item x="1"/>
        <item x="12"/>
        <item x="13"/>
        <item x="15"/>
        <item x="3"/>
        <item x="7"/>
        <item x="5"/>
        <item x="8"/>
        <item x="11"/>
        <item x="4"/>
      </items>
    </pivotField>
    <pivotField name="Price" axis="axisRow" compact="0" outline="0" multipleItemSelectionAllowed="1" showAll="0" sortType="ascending">
      <items>
        <item x="2"/>
        <item x="4"/>
        <item x="1"/>
        <item x="3"/>
        <item x="0"/>
        <item x="5"/>
        <item x="6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1"/>
    <field x="2"/>
    <field x="4"/>
    <field x="5"/>
  </rowFields>
  <dataFields>
    <dataField name="SUM of Calculated Field 1" fld="6" baseField="0"/>
  </dataFields>
</pivotTableDefinition>
</file>

<file path=xl/pivotTables/pivotTable2.xml><?xml version="1.0" encoding="utf-8"?>
<pivotTableDefinition xmlns="http://schemas.openxmlformats.org/spreadsheetml/2006/main" name="Pivot Table 2" cacheId="1" dataCaption="" rowGrandTotals="0" compact="0" compactData="0">
  <location ref="A1:B114" firstHeaderRow="0" firstDataRow="1" firstDataCol="0"/>
  <pivotFields>
    <pivotField name="design_code" axis="axisRow" compact="0" outline="0" multipleItemSelectionAllowed="1" showAll="0" sortType="ascending">
      <items>
        <item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name="material_crm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alculated Field 1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</pivotFields>
  <rowFields>
    <field x="0"/>
  </rowFields>
  <dataFields>
    <dataField name="SUM of Calculated Field 1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1">
        <v>1.0</v>
      </c>
      <c r="B2" s="2" t="s">
        <v>11</v>
      </c>
      <c r="C2" s="2" t="s">
        <v>11</v>
      </c>
      <c r="D2" s="1" t="s">
        <v>12</v>
      </c>
      <c r="E2" s="1" t="s">
        <v>13</v>
      </c>
      <c r="F2" s="2">
        <f>VLOOKUP(C2, 'Pivot Table 2'!$A$1:$B$113, 2, FALSE)</f>
        <v>5000</v>
      </c>
      <c r="G2" s="1">
        <v>0.0</v>
      </c>
      <c r="H2" s="1">
        <v>0.0</v>
      </c>
      <c r="I2" s="1">
        <v>0.0</v>
      </c>
      <c r="J2" s="1">
        <v>0.0</v>
      </c>
      <c r="K2" s="2">
        <f t="shared" ref="K2:K113" si="1">F2+J2</f>
        <v>5000</v>
      </c>
    </row>
    <row r="3">
      <c r="A3" s="1">
        <v>2.0</v>
      </c>
      <c r="B3" s="2" t="s">
        <v>14</v>
      </c>
      <c r="C3" s="2" t="s">
        <v>14</v>
      </c>
      <c r="D3" s="1" t="s">
        <v>12</v>
      </c>
      <c r="E3" s="1" t="s">
        <v>13</v>
      </c>
      <c r="F3" s="2">
        <f>VLOOKUP(C3, 'Pivot Table 2'!$A$1:$B$113, 2, FALSE)</f>
        <v>5000</v>
      </c>
      <c r="G3" s="1">
        <v>0.0</v>
      </c>
      <c r="H3" s="1">
        <v>0.0</v>
      </c>
      <c r="I3" s="1">
        <v>0.0</v>
      </c>
      <c r="J3" s="1">
        <v>0.0</v>
      </c>
      <c r="K3" s="2">
        <f t="shared" si="1"/>
        <v>5000</v>
      </c>
    </row>
    <row r="4">
      <c r="A4" s="1">
        <v>3.0</v>
      </c>
      <c r="B4" s="2" t="s">
        <v>15</v>
      </c>
      <c r="C4" s="2" t="s">
        <v>15</v>
      </c>
      <c r="D4" s="1" t="s">
        <v>12</v>
      </c>
      <c r="E4" s="1" t="s">
        <v>13</v>
      </c>
      <c r="F4" s="2">
        <f>VLOOKUP(C4, 'Pivot Table 2'!$A$1:$B$113, 2, FALSE)</f>
        <v>5000</v>
      </c>
      <c r="G4" s="1">
        <v>0.0</v>
      </c>
      <c r="H4" s="1">
        <v>0.0</v>
      </c>
      <c r="I4" s="1">
        <v>0.0</v>
      </c>
      <c r="J4" s="1">
        <v>0.0</v>
      </c>
      <c r="K4" s="2">
        <f t="shared" si="1"/>
        <v>5000</v>
      </c>
    </row>
    <row r="5">
      <c r="A5" s="1">
        <v>4.0</v>
      </c>
      <c r="B5" s="2" t="s">
        <v>16</v>
      </c>
      <c r="C5" s="2" t="s">
        <v>16</v>
      </c>
      <c r="D5" s="1" t="s">
        <v>12</v>
      </c>
      <c r="E5" s="1" t="s">
        <v>13</v>
      </c>
      <c r="F5" s="2">
        <f>VLOOKUP(C5, 'Pivot Table 2'!$A$1:$B$113, 2, FALSE)</f>
        <v>5000</v>
      </c>
      <c r="G5" s="1">
        <v>0.0</v>
      </c>
      <c r="H5" s="1">
        <v>0.0</v>
      </c>
      <c r="I5" s="1">
        <v>0.0</v>
      </c>
      <c r="J5" s="1">
        <v>0.0</v>
      </c>
      <c r="K5" s="2">
        <f t="shared" si="1"/>
        <v>5000</v>
      </c>
    </row>
    <row r="6">
      <c r="A6" s="1">
        <v>5.0</v>
      </c>
      <c r="B6" s="2" t="s">
        <v>17</v>
      </c>
      <c r="C6" s="2" t="s">
        <v>17</v>
      </c>
      <c r="D6" s="1" t="s">
        <v>13</v>
      </c>
      <c r="E6" s="1" t="s">
        <v>13</v>
      </c>
      <c r="F6" s="2">
        <f>VLOOKUP(C6, 'Pivot Table 2'!$A$1:$B$113, 2, FALSE)</f>
        <v>19500</v>
      </c>
      <c r="G6" s="1">
        <v>0.0</v>
      </c>
      <c r="H6" s="1">
        <v>0.0</v>
      </c>
      <c r="I6" s="1">
        <v>0.0</v>
      </c>
      <c r="J6" s="1">
        <v>0.0</v>
      </c>
      <c r="K6" s="2">
        <f t="shared" si="1"/>
        <v>19500</v>
      </c>
    </row>
    <row r="7">
      <c r="A7" s="1">
        <v>6.0</v>
      </c>
      <c r="B7" s="2" t="s">
        <v>18</v>
      </c>
      <c r="C7" s="2" t="s">
        <v>18</v>
      </c>
      <c r="D7" s="1" t="s">
        <v>13</v>
      </c>
      <c r="E7" s="1" t="s">
        <v>13</v>
      </c>
      <c r="F7" s="2">
        <f>VLOOKUP(C7, 'Pivot Table 2'!$A$1:$B$113, 2, FALSE)</f>
        <v>17000</v>
      </c>
      <c r="G7" s="1">
        <v>0.0</v>
      </c>
      <c r="H7" s="1">
        <v>0.0</v>
      </c>
      <c r="I7" s="1">
        <v>0.0</v>
      </c>
      <c r="J7" s="1">
        <v>0.0</v>
      </c>
      <c r="K7" s="2">
        <f t="shared" si="1"/>
        <v>17000</v>
      </c>
    </row>
    <row r="8">
      <c r="A8" s="1">
        <v>7.0</v>
      </c>
      <c r="B8" s="2" t="s">
        <v>19</v>
      </c>
      <c r="C8" s="2" t="s">
        <v>19</v>
      </c>
      <c r="D8" s="1" t="s">
        <v>13</v>
      </c>
      <c r="E8" s="1" t="s">
        <v>13</v>
      </c>
      <c r="F8" s="2">
        <f>VLOOKUP(C8, 'Pivot Table 2'!$A$1:$B$113, 2, FALSE)</f>
        <v>22000</v>
      </c>
      <c r="G8" s="1">
        <v>0.0</v>
      </c>
      <c r="H8" s="1">
        <v>0.0</v>
      </c>
      <c r="I8" s="1">
        <v>0.0</v>
      </c>
      <c r="J8" s="1">
        <v>0.0</v>
      </c>
      <c r="K8" s="2">
        <f t="shared" si="1"/>
        <v>22000</v>
      </c>
    </row>
    <row r="9">
      <c r="A9" s="1">
        <v>8.0</v>
      </c>
      <c r="B9" s="2" t="s">
        <v>20</v>
      </c>
      <c r="C9" s="2" t="s">
        <v>20</v>
      </c>
      <c r="D9" s="1" t="s">
        <v>13</v>
      </c>
      <c r="E9" s="1" t="s">
        <v>13</v>
      </c>
      <c r="F9" s="2">
        <f>VLOOKUP(C9, 'Pivot Table 2'!$A$1:$B$113, 2, FALSE)</f>
        <v>27000</v>
      </c>
      <c r="G9" s="1">
        <v>0.0</v>
      </c>
      <c r="H9" s="1">
        <v>0.0</v>
      </c>
      <c r="I9" s="1">
        <v>0.0</v>
      </c>
      <c r="J9" s="1">
        <v>0.0</v>
      </c>
      <c r="K9" s="2">
        <f t="shared" si="1"/>
        <v>27000</v>
      </c>
    </row>
    <row r="10">
      <c r="A10" s="1">
        <v>9.0</v>
      </c>
      <c r="B10" s="2" t="s">
        <v>21</v>
      </c>
      <c r="C10" s="2" t="s">
        <v>21</v>
      </c>
      <c r="D10" s="1" t="s">
        <v>12</v>
      </c>
      <c r="E10" s="1" t="s">
        <v>13</v>
      </c>
      <c r="F10" s="2">
        <f>VLOOKUP(C10, 'Pivot Table 2'!$A$1:$B$113, 2, FALSE)</f>
        <v>15000</v>
      </c>
      <c r="G10" s="1">
        <v>0.0</v>
      </c>
      <c r="H10" s="1">
        <v>0.0</v>
      </c>
      <c r="I10" s="1">
        <v>0.0</v>
      </c>
      <c r="J10" s="1">
        <v>0.0</v>
      </c>
      <c r="K10" s="2">
        <f t="shared" si="1"/>
        <v>15000</v>
      </c>
    </row>
    <row r="11">
      <c r="A11" s="1">
        <v>10.0</v>
      </c>
      <c r="B11" s="2" t="s">
        <v>22</v>
      </c>
      <c r="C11" s="2" t="s">
        <v>22</v>
      </c>
      <c r="D11" s="1" t="s">
        <v>12</v>
      </c>
      <c r="E11" s="1" t="s">
        <v>13</v>
      </c>
      <c r="F11" s="2">
        <f>VLOOKUP(C11, 'Pivot Table 2'!$A$1:$B$113, 2, FALSE)</f>
        <v>35000</v>
      </c>
      <c r="G11" s="1">
        <v>0.0</v>
      </c>
      <c r="H11" s="1">
        <v>0.0</v>
      </c>
      <c r="I11" s="1">
        <v>0.0</v>
      </c>
      <c r="J11" s="1">
        <v>0.0</v>
      </c>
      <c r="K11" s="2">
        <f t="shared" si="1"/>
        <v>35000</v>
      </c>
    </row>
    <row r="12">
      <c r="A12" s="1">
        <v>11.0</v>
      </c>
      <c r="B12" s="2" t="s">
        <v>23</v>
      </c>
      <c r="C12" s="2" t="s">
        <v>23</v>
      </c>
      <c r="D12" s="1" t="s">
        <v>13</v>
      </c>
      <c r="E12" s="1" t="s">
        <v>13</v>
      </c>
      <c r="F12" s="2">
        <f>VLOOKUP(C12, 'Pivot Table 2'!$A$1:$B$113, 2, FALSE)</f>
        <v>47000</v>
      </c>
      <c r="G12" s="1">
        <v>0.0</v>
      </c>
      <c r="H12" s="1">
        <v>0.0</v>
      </c>
      <c r="I12" s="1">
        <v>0.0</v>
      </c>
      <c r="J12" s="1">
        <v>0.0</v>
      </c>
      <c r="K12" s="2">
        <f t="shared" si="1"/>
        <v>47000</v>
      </c>
    </row>
    <row r="13">
      <c r="A13" s="1">
        <v>12.0</v>
      </c>
      <c r="B13" s="2" t="s">
        <v>24</v>
      </c>
      <c r="C13" s="2" t="s">
        <v>24</v>
      </c>
      <c r="D13" s="1" t="s">
        <v>13</v>
      </c>
      <c r="E13" s="1" t="s">
        <v>13</v>
      </c>
      <c r="F13" s="2">
        <f>VLOOKUP(C13, 'Pivot Table 2'!$A$1:$B$113, 2, FALSE)</f>
        <v>17000</v>
      </c>
      <c r="G13" s="1">
        <v>0.0</v>
      </c>
      <c r="H13" s="1">
        <v>0.0</v>
      </c>
      <c r="I13" s="1">
        <v>0.0</v>
      </c>
      <c r="J13" s="1">
        <v>0.0</v>
      </c>
      <c r="K13" s="2">
        <f t="shared" si="1"/>
        <v>17000</v>
      </c>
    </row>
    <row r="14">
      <c r="A14" s="1">
        <v>13.0</v>
      </c>
      <c r="B14" s="2" t="s">
        <v>25</v>
      </c>
      <c r="C14" s="2" t="s">
        <v>25</v>
      </c>
      <c r="D14" s="1" t="s">
        <v>12</v>
      </c>
      <c r="E14" s="1" t="s">
        <v>13</v>
      </c>
      <c r="F14" s="2">
        <f>VLOOKUP(C14, 'Pivot Table 2'!$A$1:$B$113, 2, FALSE)</f>
        <v>35000</v>
      </c>
      <c r="G14" s="1">
        <v>0.0</v>
      </c>
      <c r="H14" s="1">
        <v>0.0</v>
      </c>
      <c r="I14" s="1">
        <v>0.0</v>
      </c>
      <c r="J14" s="1">
        <v>0.0</v>
      </c>
      <c r="K14" s="2">
        <f t="shared" si="1"/>
        <v>35000</v>
      </c>
    </row>
    <row r="15">
      <c r="A15" s="1">
        <v>14.0</v>
      </c>
      <c r="B15" s="2" t="s">
        <v>26</v>
      </c>
      <c r="C15" s="2" t="s">
        <v>26</v>
      </c>
      <c r="D15" s="1" t="s">
        <v>12</v>
      </c>
      <c r="E15" s="1" t="s">
        <v>13</v>
      </c>
      <c r="F15" s="2">
        <f>VLOOKUP(C15, 'Pivot Table 2'!$A$1:$B$113, 2, FALSE)</f>
        <v>35000</v>
      </c>
      <c r="G15" s="1">
        <v>0.0</v>
      </c>
      <c r="H15" s="1">
        <v>0.0</v>
      </c>
      <c r="I15" s="1">
        <v>0.0</v>
      </c>
      <c r="J15" s="1">
        <v>0.0</v>
      </c>
      <c r="K15" s="2">
        <f t="shared" si="1"/>
        <v>35000</v>
      </c>
    </row>
    <row r="16">
      <c r="A16" s="1">
        <v>15.0</v>
      </c>
      <c r="B16" s="2" t="s">
        <v>27</v>
      </c>
      <c r="C16" s="2" t="s">
        <v>27</v>
      </c>
      <c r="D16" s="1" t="s">
        <v>13</v>
      </c>
      <c r="E16" s="1" t="s">
        <v>13</v>
      </c>
      <c r="F16" s="2">
        <f>VLOOKUP(C16, 'Pivot Table 2'!$A$1:$B$113, 2, FALSE)</f>
        <v>30000</v>
      </c>
      <c r="G16" s="1">
        <v>0.0</v>
      </c>
      <c r="H16" s="1">
        <v>0.0</v>
      </c>
      <c r="I16" s="1">
        <v>0.0</v>
      </c>
      <c r="J16" s="1">
        <v>0.0</v>
      </c>
      <c r="K16" s="2">
        <f t="shared" si="1"/>
        <v>30000</v>
      </c>
    </row>
    <row r="17">
      <c r="A17" s="1">
        <v>16.0</v>
      </c>
      <c r="B17" s="2" t="s">
        <v>28</v>
      </c>
      <c r="C17" s="2" t="s">
        <v>28</v>
      </c>
      <c r="D17" s="1" t="s">
        <v>13</v>
      </c>
      <c r="E17" s="1" t="s">
        <v>13</v>
      </c>
      <c r="F17" s="2">
        <f>VLOOKUP(C17, 'Pivot Table 2'!$A$1:$B$113, 2, FALSE)</f>
        <v>30000</v>
      </c>
      <c r="G17" s="1">
        <v>0.0</v>
      </c>
      <c r="H17" s="1">
        <v>0.0</v>
      </c>
      <c r="I17" s="1">
        <v>0.0</v>
      </c>
      <c r="J17" s="1">
        <v>0.0</v>
      </c>
      <c r="K17" s="2">
        <f t="shared" si="1"/>
        <v>30000</v>
      </c>
    </row>
    <row r="18">
      <c r="A18" s="1">
        <v>17.0</v>
      </c>
      <c r="B18" s="2" t="s">
        <v>29</v>
      </c>
      <c r="C18" s="2" t="s">
        <v>29</v>
      </c>
      <c r="D18" s="1" t="s">
        <v>13</v>
      </c>
      <c r="E18" s="1" t="s">
        <v>13</v>
      </c>
      <c r="F18" s="2">
        <f>VLOOKUP(C18, 'Pivot Table 2'!$A$1:$B$113, 2, FALSE)</f>
        <v>15000</v>
      </c>
      <c r="G18" s="1">
        <v>0.0</v>
      </c>
      <c r="H18" s="1">
        <v>0.0</v>
      </c>
      <c r="I18" s="1">
        <v>0.0</v>
      </c>
      <c r="J18" s="1">
        <v>0.0</v>
      </c>
      <c r="K18" s="2">
        <f t="shared" si="1"/>
        <v>15000</v>
      </c>
      <c r="Q18" s="1" t="s">
        <v>30</v>
      </c>
      <c r="R18" s="1">
        <v>4000.0</v>
      </c>
    </row>
    <row r="19">
      <c r="A19" s="1">
        <v>18.0</v>
      </c>
      <c r="B19" s="2" t="s">
        <v>31</v>
      </c>
      <c r="C19" s="2" t="s">
        <v>31</v>
      </c>
      <c r="D19" s="1" t="s">
        <v>12</v>
      </c>
      <c r="E19" s="1" t="s">
        <v>13</v>
      </c>
      <c r="F19" s="2">
        <f>VLOOKUP(C19, 'Pivot Table 2'!$A$1:$B$113, 2, FALSE)</f>
        <v>42500</v>
      </c>
      <c r="G19" s="1">
        <v>0.0</v>
      </c>
      <c r="H19" s="1">
        <v>0.0</v>
      </c>
      <c r="I19" s="1">
        <v>0.0</v>
      </c>
      <c r="J19" s="1">
        <v>0.0</v>
      </c>
      <c r="K19" s="2">
        <f t="shared" si="1"/>
        <v>42500</v>
      </c>
      <c r="Q19" s="1" t="s">
        <v>32</v>
      </c>
      <c r="R19" s="1">
        <v>5000.0</v>
      </c>
    </row>
    <row r="20">
      <c r="A20" s="1">
        <v>19.0</v>
      </c>
      <c r="B20" s="2" t="s">
        <v>33</v>
      </c>
      <c r="C20" s="2" t="s">
        <v>33</v>
      </c>
      <c r="D20" s="1" t="s">
        <v>13</v>
      </c>
      <c r="E20" s="1" t="s">
        <v>13</v>
      </c>
      <c r="F20" s="2">
        <f>VLOOKUP(C20, 'Pivot Table 2'!$A$1:$B$113, 2, FALSE)</f>
        <v>29500</v>
      </c>
      <c r="G20" s="1">
        <v>0.0</v>
      </c>
      <c r="H20" s="1">
        <v>0.0</v>
      </c>
      <c r="I20" s="1">
        <v>0.0</v>
      </c>
      <c r="J20" s="1">
        <v>0.0</v>
      </c>
      <c r="K20" s="2">
        <f t="shared" si="1"/>
        <v>29500</v>
      </c>
      <c r="Q20" s="1" t="s">
        <v>34</v>
      </c>
      <c r="R20" s="1">
        <v>10000.0</v>
      </c>
    </row>
    <row r="21">
      <c r="A21" s="1">
        <v>20.0</v>
      </c>
      <c r="B21" s="2" t="s">
        <v>35</v>
      </c>
      <c r="C21" s="2" t="s">
        <v>35</v>
      </c>
      <c r="D21" s="1" t="s">
        <v>13</v>
      </c>
      <c r="E21" s="1" t="s">
        <v>13</v>
      </c>
      <c r="F21" s="2">
        <f>VLOOKUP(C21, 'Pivot Table 2'!$A$1:$B$113, 2, FALSE)</f>
        <v>29500</v>
      </c>
      <c r="G21" s="1">
        <v>0.0</v>
      </c>
      <c r="H21" s="1">
        <v>0.0</v>
      </c>
      <c r="I21" s="1">
        <v>0.0</v>
      </c>
      <c r="J21" s="1">
        <v>0.0</v>
      </c>
      <c r="K21" s="2">
        <f t="shared" si="1"/>
        <v>29500</v>
      </c>
      <c r="Q21" s="1" t="s">
        <v>36</v>
      </c>
      <c r="R21" s="1">
        <v>3000.0</v>
      </c>
    </row>
    <row r="22">
      <c r="A22" s="1">
        <v>21.0</v>
      </c>
      <c r="B22" s="2" t="s">
        <v>37</v>
      </c>
      <c r="C22" s="2" t="s">
        <v>37</v>
      </c>
      <c r="D22" s="1" t="s">
        <v>12</v>
      </c>
      <c r="E22" s="1" t="s">
        <v>13</v>
      </c>
      <c r="F22" s="2">
        <f>VLOOKUP(C22, 'Pivot Table 2'!$A$1:$B$113, 2, FALSE)</f>
        <v>95000</v>
      </c>
      <c r="G22" s="1">
        <v>0.0</v>
      </c>
      <c r="H22" s="1">
        <v>0.0</v>
      </c>
      <c r="I22" s="1">
        <v>0.0</v>
      </c>
      <c r="J22" s="1">
        <v>0.0</v>
      </c>
      <c r="K22" s="2">
        <f t="shared" si="1"/>
        <v>95000</v>
      </c>
      <c r="Q22" s="1" t="s">
        <v>38</v>
      </c>
      <c r="R22" s="1">
        <v>1000.0</v>
      </c>
    </row>
    <row r="23">
      <c r="A23" s="1">
        <v>22.0</v>
      </c>
      <c r="B23" s="2" t="s">
        <v>39</v>
      </c>
      <c r="C23" s="2" t="s">
        <v>39</v>
      </c>
      <c r="D23" s="1" t="s">
        <v>12</v>
      </c>
      <c r="E23" s="1" t="s">
        <v>13</v>
      </c>
      <c r="F23" s="2">
        <f>VLOOKUP(C23, 'Pivot Table 2'!$A$1:$B$113, 2, FALSE)</f>
        <v>5000</v>
      </c>
      <c r="G23" s="1">
        <v>0.0</v>
      </c>
      <c r="H23" s="1">
        <v>0.0</v>
      </c>
      <c r="I23" s="1">
        <v>0.0</v>
      </c>
      <c r="J23" s="1">
        <v>0.0</v>
      </c>
      <c r="K23" s="2">
        <f t="shared" si="1"/>
        <v>5000</v>
      </c>
      <c r="Q23" s="1" t="s">
        <v>40</v>
      </c>
      <c r="R23" s="1">
        <v>1000.0</v>
      </c>
    </row>
    <row r="24">
      <c r="A24" s="1">
        <v>23.0</v>
      </c>
      <c r="B24" s="2" t="s">
        <v>41</v>
      </c>
      <c r="C24" s="2" t="s">
        <v>41</v>
      </c>
      <c r="D24" s="1" t="s">
        <v>13</v>
      </c>
      <c r="E24" s="1" t="s">
        <v>13</v>
      </c>
      <c r="F24" s="2">
        <f>VLOOKUP(C24, 'Pivot Table 2'!$A$1:$B$113, 2, FALSE)</f>
        <v>5000</v>
      </c>
      <c r="G24" s="1">
        <v>0.0</v>
      </c>
      <c r="H24" s="1">
        <v>0.0</v>
      </c>
      <c r="I24" s="1">
        <v>0.0</v>
      </c>
      <c r="J24" s="1">
        <v>0.0</v>
      </c>
      <c r="K24" s="2">
        <f t="shared" si="1"/>
        <v>5000</v>
      </c>
    </row>
    <row r="25">
      <c r="A25" s="1">
        <v>24.0</v>
      </c>
      <c r="B25" s="2" t="s">
        <v>42</v>
      </c>
      <c r="C25" s="2" t="s">
        <v>42</v>
      </c>
      <c r="D25" s="1" t="s">
        <v>13</v>
      </c>
      <c r="E25" s="1" t="s">
        <v>13</v>
      </c>
      <c r="F25" s="2">
        <f>VLOOKUP(C25, 'Pivot Table 2'!$A$1:$B$113, 2, FALSE)</f>
        <v>37500</v>
      </c>
      <c r="G25" s="1">
        <v>0.0</v>
      </c>
      <c r="H25" s="1">
        <v>0.0</v>
      </c>
      <c r="I25" s="1">
        <v>0.0</v>
      </c>
      <c r="J25" s="1">
        <v>0.0</v>
      </c>
      <c r="K25" s="2">
        <f t="shared" si="1"/>
        <v>37500</v>
      </c>
    </row>
    <row r="26">
      <c r="A26" s="1">
        <v>25.0</v>
      </c>
      <c r="B26" s="2" t="s">
        <v>43</v>
      </c>
      <c r="C26" s="2" t="s">
        <v>43</v>
      </c>
      <c r="D26" s="1" t="s">
        <v>12</v>
      </c>
      <c r="E26" s="1" t="s">
        <v>13</v>
      </c>
      <c r="F26" s="2">
        <f>VLOOKUP(C26, 'Pivot Table 2'!$A$1:$B$113, 2, FALSE)</f>
        <v>140000</v>
      </c>
      <c r="G26" s="1">
        <v>0.0</v>
      </c>
      <c r="H26" s="1">
        <v>0.0</v>
      </c>
      <c r="I26" s="1">
        <v>0.0</v>
      </c>
      <c r="J26" s="1">
        <v>0.0</v>
      </c>
      <c r="K26" s="2">
        <f t="shared" si="1"/>
        <v>140000</v>
      </c>
    </row>
    <row r="27">
      <c r="A27" s="1">
        <v>26.0</v>
      </c>
      <c r="B27" s="2" t="s">
        <v>44</v>
      </c>
      <c r="C27" s="2" t="s">
        <v>44</v>
      </c>
      <c r="D27" s="1" t="s">
        <v>12</v>
      </c>
      <c r="E27" s="1" t="s">
        <v>13</v>
      </c>
      <c r="F27" s="2">
        <f>VLOOKUP(C27, 'Pivot Table 2'!$A$1:$B$113, 2, FALSE)</f>
        <v>140000</v>
      </c>
      <c r="G27" s="1">
        <v>0.0</v>
      </c>
      <c r="H27" s="1">
        <v>0.0</v>
      </c>
      <c r="I27" s="1">
        <v>0.0</v>
      </c>
      <c r="J27" s="1">
        <v>0.0</v>
      </c>
      <c r="K27" s="2">
        <f t="shared" si="1"/>
        <v>140000</v>
      </c>
    </row>
    <row r="28">
      <c r="A28" s="1">
        <v>27.0</v>
      </c>
      <c r="B28" s="2" t="s">
        <v>45</v>
      </c>
      <c r="C28" s="2" t="s">
        <v>45</v>
      </c>
      <c r="D28" s="1" t="s">
        <v>12</v>
      </c>
      <c r="E28" s="1" t="s">
        <v>13</v>
      </c>
      <c r="F28" s="2">
        <f>VLOOKUP(C28, 'Pivot Table 2'!$A$1:$B$113, 2, FALSE)</f>
        <v>5000</v>
      </c>
      <c r="G28" s="1">
        <v>0.0</v>
      </c>
      <c r="H28" s="1">
        <v>0.0</v>
      </c>
      <c r="I28" s="1">
        <v>0.0</v>
      </c>
      <c r="J28" s="1">
        <v>0.0</v>
      </c>
      <c r="K28" s="2">
        <f t="shared" si="1"/>
        <v>5000</v>
      </c>
    </row>
    <row r="29">
      <c r="A29" s="1">
        <v>28.0</v>
      </c>
      <c r="B29" s="2" t="s">
        <v>46</v>
      </c>
      <c r="C29" s="2" t="s">
        <v>46</v>
      </c>
      <c r="D29" s="1" t="s">
        <v>12</v>
      </c>
      <c r="E29" s="1" t="s">
        <v>13</v>
      </c>
      <c r="F29" s="2">
        <f>VLOOKUP(C29, 'Pivot Table 2'!$A$1:$B$113, 2, FALSE)</f>
        <v>5000</v>
      </c>
      <c r="G29" s="1">
        <v>0.0</v>
      </c>
      <c r="H29" s="1">
        <v>0.0</v>
      </c>
      <c r="I29" s="1">
        <v>0.0</v>
      </c>
      <c r="J29" s="1">
        <v>0.0</v>
      </c>
      <c r="K29" s="2">
        <f t="shared" si="1"/>
        <v>5000</v>
      </c>
    </row>
    <row r="30">
      <c r="A30" s="1">
        <v>29.0</v>
      </c>
      <c r="B30" s="2" t="s">
        <v>47</v>
      </c>
      <c r="C30" s="2" t="s">
        <v>47</v>
      </c>
      <c r="D30" s="1" t="s">
        <v>12</v>
      </c>
      <c r="E30" s="1" t="s">
        <v>13</v>
      </c>
      <c r="F30" s="2">
        <f>VLOOKUP(C30, 'Pivot Table 2'!$A$1:$B$113, 2, FALSE)</f>
        <v>5000</v>
      </c>
      <c r="G30" s="1">
        <v>0.0</v>
      </c>
      <c r="H30" s="1">
        <v>0.0</v>
      </c>
      <c r="I30" s="1">
        <v>0.0</v>
      </c>
      <c r="J30" s="1">
        <v>0.0</v>
      </c>
      <c r="K30" s="2">
        <f t="shared" si="1"/>
        <v>5000</v>
      </c>
    </row>
    <row r="31">
      <c r="A31" s="1">
        <v>30.0</v>
      </c>
      <c r="B31" s="2" t="s">
        <v>48</v>
      </c>
      <c r="C31" s="2" t="s">
        <v>48</v>
      </c>
      <c r="D31" s="1" t="s">
        <v>12</v>
      </c>
      <c r="E31" s="1" t="s">
        <v>13</v>
      </c>
      <c r="F31" s="2">
        <f>VLOOKUP(C31, 'Pivot Table 2'!$A$1:$B$113, 2, FALSE)</f>
        <v>5000</v>
      </c>
      <c r="G31" s="1">
        <v>0.0</v>
      </c>
      <c r="H31" s="1">
        <v>0.0</v>
      </c>
      <c r="I31" s="1">
        <v>0.0</v>
      </c>
      <c r="J31" s="1">
        <v>0.0</v>
      </c>
      <c r="K31" s="2">
        <f t="shared" si="1"/>
        <v>5000</v>
      </c>
    </row>
    <row r="32">
      <c r="A32" s="1">
        <v>31.0</v>
      </c>
      <c r="B32" s="2" t="s">
        <v>49</v>
      </c>
      <c r="C32" s="2" t="s">
        <v>49</v>
      </c>
      <c r="D32" s="1" t="s">
        <v>12</v>
      </c>
      <c r="E32" s="1" t="s">
        <v>13</v>
      </c>
      <c r="F32" s="2">
        <f>VLOOKUP(C32, 'Pivot Table 2'!$A$1:$B$113, 2, FALSE)</f>
        <v>5000</v>
      </c>
      <c r="G32" s="1">
        <v>0.0</v>
      </c>
      <c r="H32" s="1">
        <v>0.0</v>
      </c>
      <c r="I32" s="1">
        <v>0.0</v>
      </c>
      <c r="J32" s="1">
        <v>0.0</v>
      </c>
      <c r="K32" s="2">
        <f t="shared" si="1"/>
        <v>5000</v>
      </c>
    </row>
    <row r="33">
      <c r="A33" s="1">
        <v>32.0</v>
      </c>
      <c r="B33" s="2" t="s">
        <v>50</v>
      </c>
      <c r="C33" s="2" t="s">
        <v>50</v>
      </c>
      <c r="D33" s="1" t="s">
        <v>12</v>
      </c>
      <c r="E33" s="1" t="s">
        <v>13</v>
      </c>
      <c r="F33" s="2">
        <f>VLOOKUP(C33, 'Pivot Table 2'!$A$1:$B$113, 2, FALSE)</f>
        <v>5000</v>
      </c>
      <c r="G33" s="1">
        <v>0.0</v>
      </c>
      <c r="H33" s="1">
        <v>0.0</v>
      </c>
      <c r="I33" s="1">
        <v>0.0</v>
      </c>
      <c r="J33" s="1">
        <v>0.0</v>
      </c>
      <c r="K33" s="2">
        <f t="shared" si="1"/>
        <v>5000</v>
      </c>
    </row>
    <row r="34">
      <c r="A34" s="1">
        <v>33.0</v>
      </c>
      <c r="B34" s="2" t="s">
        <v>51</v>
      </c>
      <c r="C34" s="2" t="s">
        <v>51</v>
      </c>
      <c r="D34" s="1" t="s">
        <v>12</v>
      </c>
      <c r="E34" s="1" t="s">
        <v>13</v>
      </c>
      <c r="F34" s="2">
        <f>VLOOKUP(C34, 'Pivot Table 2'!$A$1:$B$113, 2, FALSE)</f>
        <v>5000</v>
      </c>
      <c r="G34" s="1">
        <v>0.0</v>
      </c>
      <c r="H34" s="1">
        <v>0.0</v>
      </c>
      <c r="I34" s="1">
        <v>0.0</v>
      </c>
      <c r="J34" s="1">
        <v>0.0</v>
      </c>
      <c r="K34" s="2">
        <f t="shared" si="1"/>
        <v>5000</v>
      </c>
    </row>
    <row r="35">
      <c r="A35" s="1">
        <v>34.0</v>
      </c>
      <c r="B35" s="2" t="s">
        <v>52</v>
      </c>
      <c r="C35" s="2" t="s">
        <v>52</v>
      </c>
      <c r="D35" s="1" t="s">
        <v>12</v>
      </c>
      <c r="E35" s="1" t="s">
        <v>13</v>
      </c>
      <c r="F35" s="2">
        <f>VLOOKUP(C35, 'Pivot Table 2'!$A$1:$B$113, 2, FALSE)</f>
        <v>5000</v>
      </c>
      <c r="G35" s="1">
        <v>0.0</v>
      </c>
      <c r="H35" s="1">
        <v>0.0</v>
      </c>
      <c r="I35" s="1">
        <v>0.0</v>
      </c>
      <c r="J35" s="1">
        <v>0.0</v>
      </c>
      <c r="K35" s="2">
        <f t="shared" si="1"/>
        <v>5000</v>
      </c>
    </row>
    <row r="36">
      <c r="A36" s="1">
        <v>35.0</v>
      </c>
      <c r="B36" s="2" t="s">
        <v>53</v>
      </c>
      <c r="C36" s="2" t="s">
        <v>53</v>
      </c>
      <c r="D36" s="1" t="s">
        <v>12</v>
      </c>
      <c r="E36" s="1" t="s">
        <v>13</v>
      </c>
      <c r="F36" s="2">
        <f>VLOOKUP(C36, 'Pivot Table 2'!$A$1:$B$113, 2, FALSE)</f>
        <v>5000</v>
      </c>
      <c r="G36" s="1">
        <v>0.0</v>
      </c>
      <c r="H36" s="1">
        <v>0.0</v>
      </c>
      <c r="I36" s="1">
        <v>0.0</v>
      </c>
      <c r="J36" s="1">
        <v>0.0</v>
      </c>
      <c r="K36" s="2">
        <f t="shared" si="1"/>
        <v>5000</v>
      </c>
    </row>
    <row r="37">
      <c r="A37" s="1">
        <v>36.0</v>
      </c>
      <c r="B37" s="2" t="s">
        <v>54</v>
      </c>
      <c r="C37" s="2" t="s">
        <v>54</v>
      </c>
      <c r="D37" s="1" t="s">
        <v>12</v>
      </c>
      <c r="E37" s="1" t="s">
        <v>13</v>
      </c>
      <c r="F37" s="2">
        <f>VLOOKUP(C37, 'Pivot Table 2'!$A$1:$B$113, 2, FALSE)</f>
        <v>5000</v>
      </c>
      <c r="G37" s="1">
        <v>0.0</v>
      </c>
      <c r="H37" s="1">
        <v>0.0</v>
      </c>
      <c r="I37" s="1">
        <v>0.0</v>
      </c>
      <c r="J37" s="1">
        <v>0.0</v>
      </c>
      <c r="K37" s="2">
        <f t="shared" si="1"/>
        <v>5000</v>
      </c>
    </row>
    <row r="38">
      <c r="A38" s="1">
        <v>37.0</v>
      </c>
      <c r="B38" s="2" t="s">
        <v>55</v>
      </c>
      <c r="C38" s="2" t="s">
        <v>55</v>
      </c>
      <c r="D38" s="1" t="s">
        <v>12</v>
      </c>
      <c r="E38" s="1" t="s">
        <v>13</v>
      </c>
      <c r="F38" s="2">
        <f>VLOOKUP(C38, 'Pivot Table 2'!$A$1:$B$113, 2, FALSE)</f>
        <v>5000</v>
      </c>
      <c r="G38" s="1">
        <v>0.0</v>
      </c>
      <c r="H38" s="1">
        <v>0.0</v>
      </c>
      <c r="I38" s="1">
        <v>0.0</v>
      </c>
      <c r="J38" s="1">
        <v>0.0</v>
      </c>
      <c r="K38" s="2">
        <f t="shared" si="1"/>
        <v>5000</v>
      </c>
    </row>
    <row r="39">
      <c r="A39" s="1">
        <v>38.0</v>
      </c>
      <c r="B39" s="2" t="s">
        <v>56</v>
      </c>
      <c r="C39" s="2" t="s">
        <v>56</v>
      </c>
      <c r="D39" s="1" t="s">
        <v>12</v>
      </c>
      <c r="E39" s="1" t="s">
        <v>13</v>
      </c>
      <c r="F39" s="2">
        <f>VLOOKUP(C39, 'Pivot Table 2'!$A$1:$B$113, 2, FALSE)</f>
        <v>5000</v>
      </c>
      <c r="G39" s="1">
        <v>0.0</v>
      </c>
      <c r="H39" s="1">
        <v>0.0</v>
      </c>
      <c r="I39" s="1">
        <v>0.0</v>
      </c>
      <c r="J39" s="1">
        <v>0.0</v>
      </c>
      <c r="K39" s="2">
        <f t="shared" si="1"/>
        <v>5000</v>
      </c>
    </row>
    <row r="40">
      <c r="A40" s="1">
        <v>39.0</v>
      </c>
      <c r="B40" s="2" t="s">
        <v>57</v>
      </c>
      <c r="C40" s="2" t="s">
        <v>57</v>
      </c>
      <c r="D40" s="1" t="s">
        <v>12</v>
      </c>
      <c r="E40" s="1" t="s">
        <v>13</v>
      </c>
      <c r="F40" s="2">
        <f>VLOOKUP(C40, 'Pivot Table 2'!$A$1:$B$113, 2, FALSE)</f>
        <v>5000</v>
      </c>
      <c r="G40" s="1">
        <v>0.0</v>
      </c>
      <c r="H40" s="1">
        <v>0.0</v>
      </c>
      <c r="I40" s="1">
        <v>0.0</v>
      </c>
      <c r="J40" s="1">
        <v>0.0</v>
      </c>
      <c r="K40" s="2">
        <f t="shared" si="1"/>
        <v>5000</v>
      </c>
    </row>
    <row r="41">
      <c r="A41" s="1">
        <v>40.0</v>
      </c>
      <c r="B41" s="2" t="s">
        <v>58</v>
      </c>
      <c r="C41" s="2" t="s">
        <v>58</v>
      </c>
      <c r="D41" s="1" t="s">
        <v>12</v>
      </c>
      <c r="E41" s="1" t="s">
        <v>13</v>
      </c>
      <c r="F41" s="2">
        <f>VLOOKUP(C41, 'Pivot Table 2'!$A$1:$B$113, 2, FALSE)</f>
        <v>5000</v>
      </c>
      <c r="G41" s="1">
        <v>0.0</v>
      </c>
      <c r="H41" s="1">
        <v>0.0</v>
      </c>
      <c r="I41" s="1">
        <v>0.0</v>
      </c>
      <c r="J41" s="1">
        <v>0.0</v>
      </c>
      <c r="K41" s="2">
        <f t="shared" si="1"/>
        <v>5000</v>
      </c>
    </row>
    <row r="42">
      <c r="A42" s="1">
        <v>41.0</v>
      </c>
      <c r="B42" s="2" t="s">
        <v>59</v>
      </c>
      <c r="C42" s="2" t="s">
        <v>59</v>
      </c>
      <c r="D42" s="1" t="s">
        <v>12</v>
      </c>
      <c r="E42" s="1" t="s">
        <v>13</v>
      </c>
      <c r="F42" s="2">
        <f>VLOOKUP(C42, 'Pivot Table 2'!$A$1:$B$113, 2, FALSE)</f>
        <v>5000</v>
      </c>
      <c r="G42" s="1">
        <v>0.0</v>
      </c>
      <c r="H42" s="1">
        <v>0.0</v>
      </c>
      <c r="I42" s="1">
        <v>0.0</v>
      </c>
      <c r="J42" s="1">
        <v>0.0</v>
      </c>
      <c r="K42" s="2">
        <f t="shared" si="1"/>
        <v>5000</v>
      </c>
    </row>
    <row r="43">
      <c r="A43" s="1">
        <v>42.0</v>
      </c>
      <c r="B43" s="2" t="s">
        <v>60</v>
      </c>
      <c r="C43" s="2" t="s">
        <v>60</v>
      </c>
      <c r="D43" s="1" t="s">
        <v>12</v>
      </c>
      <c r="E43" s="1" t="s">
        <v>13</v>
      </c>
      <c r="F43" s="2">
        <f>VLOOKUP(C43, 'Pivot Table 2'!$A$1:$B$113, 2, FALSE)</f>
        <v>5000</v>
      </c>
      <c r="G43" s="1">
        <v>0.0</v>
      </c>
      <c r="H43" s="1">
        <v>0.0</v>
      </c>
      <c r="I43" s="1">
        <v>0.0</v>
      </c>
      <c r="J43" s="1">
        <v>0.0</v>
      </c>
      <c r="K43" s="2">
        <f t="shared" si="1"/>
        <v>5000</v>
      </c>
    </row>
    <row r="44">
      <c r="A44" s="1">
        <v>43.0</v>
      </c>
      <c r="B44" s="2" t="s">
        <v>61</v>
      </c>
      <c r="C44" s="2" t="s">
        <v>61</v>
      </c>
      <c r="D44" s="1" t="s">
        <v>12</v>
      </c>
      <c r="E44" s="1" t="s">
        <v>13</v>
      </c>
      <c r="F44" s="2">
        <f>VLOOKUP(C44, 'Pivot Table 2'!$A$1:$B$113, 2, FALSE)</f>
        <v>5000</v>
      </c>
      <c r="G44" s="1">
        <v>0.0</v>
      </c>
      <c r="H44" s="1">
        <v>0.0</v>
      </c>
      <c r="I44" s="1">
        <v>0.0</v>
      </c>
      <c r="J44" s="1">
        <v>0.0</v>
      </c>
      <c r="K44" s="2">
        <f t="shared" si="1"/>
        <v>5000</v>
      </c>
    </row>
    <row r="45">
      <c r="A45" s="1">
        <v>44.0</v>
      </c>
      <c r="B45" s="2" t="s">
        <v>62</v>
      </c>
      <c r="C45" s="2" t="s">
        <v>62</v>
      </c>
      <c r="D45" s="1" t="s">
        <v>12</v>
      </c>
      <c r="E45" s="1" t="s">
        <v>13</v>
      </c>
      <c r="F45" s="2">
        <f>VLOOKUP(C45, 'Pivot Table 2'!$A$1:$B$113, 2, FALSE)</f>
        <v>5000</v>
      </c>
      <c r="G45" s="1">
        <v>0.0</v>
      </c>
      <c r="H45" s="1">
        <v>0.0</v>
      </c>
      <c r="I45" s="1">
        <v>0.0</v>
      </c>
      <c r="J45" s="1">
        <v>0.0</v>
      </c>
      <c r="K45" s="2">
        <f t="shared" si="1"/>
        <v>5000</v>
      </c>
    </row>
    <row r="46">
      <c r="A46" s="1">
        <v>45.0</v>
      </c>
      <c r="B46" s="2" t="s">
        <v>63</v>
      </c>
      <c r="C46" s="2" t="s">
        <v>63</v>
      </c>
      <c r="D46" s="1" t="s">
        <v>12</v>
      </c>
      <c r="E46" s="1" t="s">
        <v>13</v>
      </c>
      <c r="F46" s="2">
        <f>VLOOKUP(C46, 'Pivot Table 2'!$A$1:$B$113, 2, FALSE)</f>
        <v>5000</v>
      </c>
      <c r="G46" s="1">
        <v>0.0</v>
      </c>
      <c r="H46" s="1">
        <v>0.0</v>
      </c>
      <c r="I46" s="1">
        <v>0.0</v>
      </c>
      <c r="J46" s="1">
        <v>0.0</v>
      </c>
      <c r="K46" s="2">
        <f t="shared" si="1"/>
        <v>5000</v>
      </c>
    </row>
    <row r="47">
      <c r="A47" s="1">
        <v>46.0</v>
      </c>
      <c r="B47" s="2" t="s">
        <v>64</v>
      </c>
      <c r="C47" s="2" t="s">
        <v>64</v>
      </c>
      <c r="D47" s="1" t="s">
        <v>12</v>
      </c>
      <c r="E47" s="1" t="s">
        <v>13</v>
      </c>
      <c r="F47" s="2">
        <f>VLOOKUP(C47, 'Pivot Table 2'!$A$1:$B$113, 2, FALSE)</f>
        <v>5000</v>
      </c>
      <c r="G47" s="1">
        <v>0.0</v>
      </c>
      <c r="H47" s="1">
        <v>0.0</v>
      </c>
      <c r="I47" s="1">
        <v>0.0</v>
      </c>
      <c r="J47" s="1">
        <v>0.0</v>
      </c>
      <c r="K47" s="2">
        <f t="shared" si="1"/>
        <v>5000</v>
      </c>
    </row>
    <row r="48">
      <c r="A48" s="1">
        <v>47.0</v>
      </c>
      <c r="B48" s="2" t="s">
        <v>65</v>
      </c>
      <c r="C48" s="2" t="s">
        <v>65</v>
      </c>
      <c r="D48" s="1" t="s">
        <v>12</v>
      </c>
      <c r="E48" s="1" t="s">
        <v>13</v>
      </c>
      <c r="F48" s="2">
        <f>VLOOKUP(C48, 'Pivot Table 2'!$A$1:$B$113, 2, FALSE)</f>
        <v>5000</v>
      </c>
      <c r="G48" s="1">
        <v>0.0</v>
      </c>
      <c r="H48" s="1">
        <v>0.0</v>
      </c>
      <c r="I48" s="1">
        <v>0.0</v>
      </c>
      <c r="J48" s="1">
        <v>0.0</v>
      </c>
      <c r="K48" s="2">
        <f t="shared" si="1"/>
        <v>5000</v>
      </c>
    </row>
    <row r="49">
      <c r="A49" s="1">
        <v>48.0</v>
      </c>
      <c r="B49" s="2" t="s">
        <v>66</v>
      </c>
      <c r="C49" s="2" t="s">
        <v>66</v>
      </c>
      <c r="D49" s="1" t="s">
        <v>12</v>
      </c>
      <c r="E49" s="1" t="s">
        <v>13</v>
      </c>
      <c r="F49" s="2">
        <f>VLOOKUP(C49, 'Pivot Table 2'!$A$1:$B$113, 2, FALSE)</f>
        <v>5000</v>
      </c>
      <c r="G49" s="1">
        <v>0.0</v>
      </c>
      <c r="H49" s="1">
        <v>0.0</v>
      </c>
      <c r="I49" s="1">
        <v>0.0</v>
      </c>
      <c r="J49" s="1">
        <v>0.0</v>
      </c>
      <c r="K49" s="2">
        <f t="shared" si="1"/>
        <v>5000</v>
      </c>
    </row>
    <row r="50">
      <c r="A50" s="1">
        <v>49.0</v>
      </c>
      <c r="B50" s="2" t="s">
        <v>67</v>
      </c>
      <c r="C50" s="2" t="s">
        <v>67</v>
      </c>
      <c r="D50" s="1" t="s">
        <v>12</v>
      </c>
      <c r="E50" s="1" t="s">
        <v>13</v>
      </c>
      <c r="F50" s="2">
        <f>VLOOKUP(C50, 'Pivot Table 2'!$A$1:$B$113, 2, FALSE)</f>
        <v>5000</v>
      </c>
      <c r="G50" s="1">
        <v>0.0</v>
      </c>
      <c r="H50" s="1">
        <v>0.0</v>
      </c>
      <c r="I50" s="1">
        <v>0.0</v>
      </c>
      <c r="J50" s="1">
        <v>0.0</v>
      </c>
      <c r="K50" s="2">
        <f t="shared" si="1"/>
        <v>5000</v>
      </c>
    </row>
    <row r="51">
      <c r="A51" s="1">
        <v>50.0</v>
      </c>
      <c r="B51" s="2" t="s">
        <v>68</v>
      </c>
      <c r="C51" s="2" t="s">
        <v>68</v>
      </c>
      <c r="D51" s="1" t="s">
        <v>12</v>
      </c>
      <c r="E51" s="1" t="s">
        <v>13</v>
      </c>
      <c r="F51" s="2">
        <f>VLOOKUP(C51, 'Pivot Table 2'!$A$1:$B$113, 2, FALSE)</f>
        <v>5000</v>
      </c>
      <c r="G51" s="1">
        <v>0.0</v>
      </c>
      <c r="H51" s="1">
        <v>0.0</v>
      </c>
      <c r="I51" s="1">
        <v>0.0</v>
      </c>
      <c r="J51" s="1">
        <v>0.0</v>
      </c>
      <c r="K51" s="2">
        <f t="shared" si="1"/>
        <v>5000</v>
      </c>
    </row>
    <row r="52">
      <c r="A52" s="1">
        <v>51.0</v>
      </c>
      <c r="B52" s="2" t="s">
        <v>69</v>
      </c>
      <c r="C52" s="2" t="s">
        <v>69</v>
      </c>
      <c r="D52" s="1" t="s">
        <v>12</v>
      </c>
      <c r="E52" s="1" t="s">
        <v>13</v>
      </c>
      <c r="F52" s="2">
        <f>VLOOKUP(C52, 'Pivot Table 2'!$A$1:$B$113, 2, FALSE)</f>
        <v>5000</v>
      </c>
      <c r="G52" s="1">
        <v>0.0</v>
      </c>
      <c r="H52" s="1">
        <v>0.0</v>
      </c>
      <c r="I52" s="1">
        <v>0.0</v>
      </c>
      <c r="J52" s="1">
        <v>0.0</v>
      </c>
      <c r="K52" s="2">
        <f t="shared" si="1"/>
        <v>5000</v>
      </c>
    </row>
    <row r="53">
      <c r="A53" s="1">
        <v>52.0</v>
      </c>
      <c r="B53" s="2" t="s">
        <v>70</v>
      </c>
      <c r="C53" s="2" t="s">
        <v>70</v>
      </c>
      <c r="D53" s="1" t="s">
        <v>12</v>
      </c>
      <c r="E53" s="1" t="s">
        <v>13</v>
      </c>
      <c r="F53" s="2">
        <f>VLOOKUP(C53, 'Pivot Table 2'!$A$1:$B$113, 2, FALSE)</f>
        <v>5000</v>
      </c>
      <c r="G53" s="1">
        <v>0.0</v>
      </c>
      <c r="H53" s="1">
        <v>0.0</v>
      </c>
      <c r="I53" s="1">
        <v>0.0</v>
      </c>
      <c r="J53" s="1">
        <v>0.0</v>
      </c>
      <c r="K53" s="2">
        <f t="shared" si="1"/>
        <v>5000</v>
      </c>
    </row>
    <row r="54">
      <c r="A54" s="1">
        <v>53.0</v>
      </c>
      <c r="B54" s="2" t="s">
        <v>71</v>
      </c>
      <c r="C54" s="2" t="s">
        <v>71</v>
      </c>
      <c r="D54" s="1" t="s">
        <v>12</v>
      </c>
      <c r="E54" s="1" t="s">
        <v>13</v>
      </c>
      <c r="F54" s="2">
        <f>VLOOKUP(C54, 'Pivot Table 2'!$A$1:$B$113, 2, FALSE)</f>
        <v>5000</v>
      </c>
      <c r="G54" s="1">
        <v>0.0</v>
      </c>
      <c r="H54" s="1">
        <v>0.0</v>
      </c>
      <c r="I54" s="1">
        <v>0.0</v>
      </c>
      <c r="J54" s="1">
        <v>0.0</v>
      </c>
      <c r="K54" s="2">
        <f t="shared" si="1"/>
        <v>5000</v>
      </c>
    </row>
    <row r="55">
      <c r="A55" s="1">
        <v>54.0</v>
      </c>
      <c r="B55" s="2" t="s">
        <v>72</v>
      </c>
      <c r="C55" s="2" t="s">
        <v>72</v>
      </c>
      <c r="D55" s="1" t="s">
        <v>12</v>
      </c>
      <c r="E55" s="1" t="s">
        <v>13</v>
      </c>
      <c r="F55" s="2">
        <f>VLOOKUP(C55, 'Pivot Table 2'!$A$1:$B$113, 2, FALSE)</f>
        <v>5000</v>
      </c>
      <c r="G55" s="1">
        <v>0.0</v>
      </c>
      <c r="H55" s="1">
        <v>0.0</v>
      </c>
      <c r="I55" s="1">
        <v>0.0</v>
      </c>
      <c r="J55" s="1">
        <v>0.0</v>
      </c>
      <c r="K55" s="2">
        <f t="shared" si="1"/>
        <v>5000</v>
      </c>
    </row>
    <row r="56">
      <c r="A56" s="1">
        <v>55.0</v>
      </c>
      <c r="B56" s="2" t="s">
        <v>73</v>
      </c>
      <c r="C56" s="2" t="s">
        <v>73</v>
      </c>
      <c r="D56" s="1" t="s">
        <v>12</v>
      </c>
      <c r="E56" s="1" t="s">
        <v>13</v>
      </c>
      <c r="F56" s="2">
        <f>VLOOKUP(C56, 'Pivot Table 2'!$A$1:$B$113, 2, FALSE)</f>
        <v>5000</v>
      </c>
      <c r="G56" s="1">
        <v>0.0</v>
      </c>
      <c r="H56" s="1">
        <v>0.0</v>
      </c>
      <c r="I56" s="1">
        <v>0.0</v>
      </c>
      <c r="J56" s="1">
        <v>0.0</v>
      </c>
      <c r="K56" s="2">
        <f t="shared" si="1"/>
        <v>5000</v>
      </c>
    </row>
    <row r="57">
      <c r="A57" s="1">
        <v>56.0</v>
      </c>
      <c r="B57" s="2" t="s">
        <v>74</v>
      </c>
      <c r="C57" s="2" t="s">
        <v>74</v>
      </c>
      <c r="D57" s="1" t="s">
        <v>13</v>
      </c>
      <c r="E57" s="1" t="s">
        <v>13</v>
      </c>
      <c r="F57" s="2">
        <f>VLOOKUP(C57, 'Pivot Table 2'!$A$1:$B$113, 2, FALSE)</f>
        <v>27000</v>
      </c>
      <c r="G57" s="1">
        <v>0.0</v>
      </c>
      <c r="H57" s="1">
        <v>0.0</v>
      </c>
      <c r="I57" s="1">
        <v>0.0</v>
      </c>
      <c r="J57" s="1">
        <v>0.0</v>
      </c>
      <c r="K57" s="2">
        <f t="shared" si="1"/>
        <v>27000</v>
      </c>
    </row>
    <row r="58">
      <c r="A58" s="1">
        <v>57.0</v>
      </c>
      <c r="B58" s="2" t="s">
        <v>75</v>
      </c>
      <c r="C58" s="2" t="s">
        <v>75</v>
      </c>
      <c r="D58" s="1" t="s">
        <v>13</v>
      </c>
      <c r="E58" s="1" t="s">
        <v>13</v>
      </c>
      <c r="F58" s="2">
        <f>VLOOKUP(C58, 'Pivot Table 2'!$A$1:$B$113, 2, FALSE)</f>
        <v>27000</v>
      </c>
      <c r="G58" s="1">
        <v>0.0</v>
      </c>
      <c r="H58" s="1">
        <v>0.0</v>
      </c>
      <c r="I58" s="1">
        <v>0.0</v>
      </c>
      <c r="J58" s="1">
        <v>0.0</v>
      </c>
      <c r="K58" s="2">
        <f t="shared" si="1"/>
        <v>27000</v>
      </c>
    </row>
    <row r="59">
      <c r="A59" s="1">
        <v>58.0</v>
      </c>
      <c r="B59" s="2" t="s">
        <v>76</v>
      </c>
      <c r="C59" s="2" t="s">
        <v>76</v>
      </c>
      <c r="D59" s="1" t="s">
        <v>13</v>
      </c>
      <c r="E59" s="1" t="s">
        <v>13</v>
      </c>
      <c r="F59" s="2">
        <f>VLOOKUP(C59, 'Pivot Table 2'!$A$1:$B$113, 2, FALSE)</f>
        <v>14000</v>
      </c>
      <c r="G59" s="1">
        <v>0.0</v>
      </c>
      <c r="H59" s="1">
        <v>0.0</v>
      </c>
      <c r="I59" s="1">
        <v>0.0</v>
      </c>
      <c r="J59" s="1">
        <v>0.0</v>
      </c>
      <c r="K59" s="2">
        <f t="shared" si="1"/>
        <v>14000</v>
      </c>
    </row>
    <row r="60">
      <c r="A60" s="1">
        <v>59.0</v>
      </c>
      <c r="B60" s="1" t="s">
        <v>77</v>
      </c>
      <c r="C60" s="1" t="s">
        <v>77</v>
      </c>
      <c r="D60" s="1" t="s">
        <v>13</v>
      </c>
      <c r="E60" s="1" t="s">
        <v>13</v>
      </c>
      <c r="F60" s="2">
        <f>VLOOKUP(C60, 'Pivot Table 2'!$A$1:$B$113, 2, FALSE)</f>
        <v>24000</v>
      </c>
      <c r="G60" s="1">
        <v>0.0</v>
      </c>
      <c r="H60" s="1">
        <v>0.0</v>
      </c>
      <c r="I60" s="1">
        <v>0.0</v>
      </c>
      <c r="J60" s="1">
        <v>0.0</v>
      </c>
      <c r="K60" s="2">
        <f t="shared" si="1"/>
        <v>24000</v>
      </c>
    </row>
    <row r="61">
      <c r="A61" s="1">
        <v>60.0</v>
      </c>
      <c r="B61" s="2" t="s">
        <v>78</v>
      </c>
      <c r="C61" s="2" t="s">
        <v>78</v>
      </c>
      <c r="D61" s="1" t="s">
        <v>12</v>
      </c>
      <c r="E61" s="1" t="s">
        <v>13</v>
      </c>
      <c r="F61" s="2">
        <f>VLOOKUP(C61, 'Pivot Table 2'!$A$1:$B$113, 2, FALSE)</f>
        <v>5000</v>
      </c>
      <c r="G61" s="1">
        <v>0.0</v>
      </c>
      <c r="H61" s="1">
        <v>0.0</v>
      </c>
      <c r="I61" s="1">
        <v>0.0</v>
      </c>
      <c r="J61" s="1">
        <v>0.0</v>
      </c>
      <c r="K61" s="2">
        <f t="shared" si="1"/>
        <v>5000</v>
      </c>
    </row>
    <row r="62">
      <c r="A62" s="1">
        <v>61.0</v>
      </c>
      <c r="B62" s="2" t="s">
        <v>79</v>
      </c>
      <c r="C62" s="2" t="s">
        <v>79</v>
      </c>
      <c r="D62" s="1" t="s">
        <v>13</v>
      </c>
      <c r="E62" s="1" t="s">
        <v>13</v>
      </c>
      <c r="F62" s="2">
        <f>VLOOKUP(C62, 'Pivot Table 2'!$A$1:$B$113, 2, FALSE)</f>
        <v>65000</v>
      </c>
      <c r="G62" s="1">
        <v>0.0</v>
      </c>
      <c r="H62" s="1">
        <v>0.0</v>
      </c>
      <c r="I62" s="1">
        <v>0.0</v>
      </c>
      <c r="J62" s="1">
        <v>0.0</v>
      </c>
      <c r="K62" s="2">
        <f t="shared" si="1"/>
        <v>65000</v>
      </c>
    </row>
    <row r="63">
      <c r="A63" s="1">
        <v>62.0</v>
      </c>
      <c r="B63" s="2" t="s">
        <v>80</v>
      </c>
      <c r="C63" s="2" t="s">
        <v>80</v>
      </c>
      <c r="D63" s="1" t="s">
        <v>13</v>
      </c>
      <c r="E63" s="1" t="s">
        <v>13</v>
      </c>
      <c r="F63" s="2">
        <f>VLOOKUP(C63, 'Pivot Table 2'!$A$1:$B$113, 2, FALSE)</f>
        <v>20000</v>
      </c>
      <c r="G63" s="1">
        <v>0.0</v>
      </c>
      <c r="H63" s="1">
        <v>0.0</v>
      </c>
      <c r="I63" s="1">
        <v>0.0</v>
      </c>
      <c r="J63" s="1">
        <v>0.0</v>
      </c>
      <c r="K63" s="2">
        <f t="shared" si="1"/>
        <v>20000</v>
      </c>
    </row>
    <row r="64">
      <c r="A64" s="1">
        <v>63.0</v>
      </c>
      <c r="B64" s="2" t="s">
        <v>81</v>
      </c>
      <c r="C64" s="2" t="s">
        <v>81</v>
      </c>
      <c r="D64" s="1" t="s">
        <v>12</v>
      </c>
      <c r="E64" s="1" t="s">
        <v>13</v>
      </c>
      <c r="F64" s="2">
        <f>VLOOKUP(C64, 'Pivot Table 2'!$A$1:$B$113, 2, FALSE)</f>
        <v>5000</v>
      </c>
      <c r="G64" s="1">
        <v>0.0</v>
      </c>
      <c r="H64" s="1">
        <v>0.0</v>
      </c>
      <c r="I64" s="1">
        <v>0.0</v>
      </c>
      <c r="J64" s="1">
        <v>0.0</v>
      </c>
      <c r="K64" s="2">
        <f t="shared" si="1"/>
        <v>5000</v>
      </c>
    </row>
    <row r="65">
      <c r="A65" s="1">
        <v>64.0</v>
      </c>
      <c r="B65" s="2" t="s">
        <v>82</v>
      </c>
      <c r="C65" s="2" t="s">
        <v>82</v>
      </c>
      <c r="D65" s="1" t="s">
        <v>12</v>
      </c>
      <c r="E65" s="1" t="s">
        <v>13</v>
      </c>
      <c r="F65" s="2">
        <f>VLOOKUP(C65, 'Pivot Table 2'!$A$1:$B$113, 2, FALSE)</f>
        <v>5000</v>
      </c>
      <c r="G65" s="1">
        <v>0.0</v>
      </c>
      <c r="H65" s="1">
        <v>0.0</v>
      </c>
      <c r="I65" s="1">
        <v>0.0</v>
      </c>
      <c r="J65" s="1">
        <v>0.0</v>
      </c>
      <c r="K65" s="2">
        <f t="shared" si="1"/>
        <v>5000</v>
      </c>
    </row>
    <row r="66">
      <c r="A66" s="1">
        <v>65.0</v>
      </c>
      <c r="B66" s="2" t="s">
        <v>83</v>
      </c>
      <c r="C66" s="2" t="s">
        <v>83</v>
      </c>
      <c r="D66" s="1" t="s">
        <v>13</v>
      </c>
      <c r="E66" s="1" t="s">
        <v>13</v>
      </c>
      <c r="F66" s="2">
        <f>VLOOKUP(C66, 'Pivot Table 2'!$A$1:$B$113, 2, FALSE)</f>
        <v>37000</v>
      </c>
      <c r="G66" s="1">
        <v>0.0</v>
      </c>
      <c r="H66" s="1">
        <v>0.0</v>
      </c>
      <c r="I66" s="1">
        <v>0.0</v>
      </c>
      <c r="J66" s="1">
        <v>0.0</v>
      </c>
      <c r="K66" s="2">
        <f t="shared" si="1"/>
        <v>37000</v>
      </c>
    </row>
    <row r="67">
      <c r="A67" s="1">
        <v>66.0</v>
      </c>
      <c r="B67" s="2" t="s">
        <v>84</v>
      </c>
      <c r="C67" s="2" t="s">
        <v>84</v>
      </c>
      <c r="D67" s="1" t="s">
        <v>13</v>
      </c>
      <c r="E67" s="1" t="s">
        <v>13</v>
      </c>
      <c r="F67" s="2">
        <f>VLOOKUP(C67, 'Pivot Table 2'!$A$1:$B$113, 2, FALSE)</f>
        <v>5000</v>
      </c>
      <c r="G67" s="1">
        <v>0.0</v>
      </c>
      <c r="H67" s="1">
        <v>0.0</v>
      </c>
      <c r="I67" s="1">
        <v>0.0</v>
      </c>
      <c r="J67" s="1">
        <v>0.0</v>
      </c>
      <c r="K67" s="2">
        <f t="shared" si="1"/>
        <v>5000</v>
      </c>
    </row>
    <row r="68">
      <c r="A68" s="1">
        <v>67.0</v>
      </c>
      <c r="B68" s="2" t="s">
        <v>85</v>
      </c>
      <c r="C68" s="2" t="s">
        <v>85</v>
      </c>
      <c r="D68" s="1" t="s">
        <v>12</v>
      </c>
      <c r="E68" s="1" t="s">
        <v>13</v>
      </c>
      <c r="F68" s="2">
        <f>VLOOKUP(C68, 'Pivot Table 2'!$A$1:$B$113, 2, FALSE)</f>
        <v>5000</v>
      </c>
      <c r="G68" s="1">
        <v>0.0</v>
      </c>
      <c r="H68" s="1">
        <v>0.0</v>
      </c>
      <c r="I68" s="1">
        <v>0.0</v>
      </c>
      <c r="J68" s="1">
        <v>0.0</v>
      </c>
      <c r="K68" s="2">
        <f t="shared" si="1"/>
        <v>5000</v>
      </c>
    </row>
    <row r="69">
      <c r="A69" s="1">
        <v>68.0</v>
      </c>
      <c r="B69" s="2" t="s">
        <v>86</v>
      </c>
      <c r="C69" s="2" t="s">
        <v>86</v>
      </c>
      <c r="D69" s="1" t="s">
        <v>12</v>
      </c>
      <c r="E69" s="1" t="s">
        <v>13</v>
      </c>
      <c r="F69" s="2">
        <f>VLOOKUP(C69, 'Pivot Table 2'!$A$1:$B$113, 2, FALSE)</f>
        <v>5000</v>
      </c>
      <c r="G69" s="1">
        <v>0.0</v>
      </c>
      <c r="H69" s="1">
        <v>0.0</v>
      </c>
      <c r="I69" s="1">
        <v>0.0</v>
      </c>
      <c r="J69" s="1">
        <v>0.0</v>
      </c>
      <c r="K69" s="2">
        <f t="shared" si="1"/>
        <v>5000</v>
      </c>
    </row>
    <row r="70">
      <c r="A70" s="1">
        <v>69.0</v>
      </c>
      <c r="B70" s="2" t="s">
        <v>87</v>
      </c>
      <c r="C70" s="2" t="s">
        <v>87</v>
      </c>
      <c r="D70" s="1" t="s">
        <v>12</v>
      </c>
      <c r="E70" s="1" t="s">
        <v>13</v>
      </c>
      <c r="F70" s="2">
        <f>VLOOKUP(C70, 'Pivot Table 2'!$A$1:$B$113, 2, FALSE)</f>
        <v>5000</v>
      </c>
      <c r="G70" s="1">
        <v>0.0</v>
      </c>
      <c r="H70" s="1">
        <v>0.0</v>
      </c>
      <c r="I70" s="1">
        <v>0.0</v>
      </c>
      <c r="J70" s="1">
        <v>0.0</v>
      </c>
      <c r="K70" s="2">
        <f t="shared" si="1"/>
        <v>5000</v>
      </c>
    </row>
    <row r="71">
      <c r="A71" s="1">
        <v>70.0</v>
      </c>
      <c r="B71" s="2" t="s">
        <v>88</v>
      </c>
      <c r="C71" s="2" t="s">
        <v>88</v>
      </c>
      <c r="D71" s="1" t="s">
        <v>12</v>
      </c>
      <c r="E71" s="1" t="s">
        <v>13</v>
      </c>
      <c r="F71" s="2">
        <f>VLOOKUP(C71, 'Pivot Table 2'!$A$1:$B$113, 2, FALSE)</f>
        <v>5000</v>
      </c>
      <c r="G71" s="1">
        <v>0.0</v>
      </c>
      <c r="H71" s="1">
        <v>0.0</v>
      </c>
      <c r="I71" s="1">
        <v>0.0</v>
      </c>
      <c r="J71" s="1">
        <v>0.0</v>
      </c>
      <c r="K71" s="2">
        <f t="shared" si="1"/>
        <v>5000</v>
      </c>
    </row>
    <row r="72">
      <c r="A72" s="1">
        <v>71.0</v>
      </c>
      <c r="B72" s="2" t="s">
        <v>89</v>
      </c>
      <c r="C72" s="2" t="s">
        <v>89</v>
      </c>
      <c r="D72" s="1" t="s">
        <v>12</v>
      </c>
      <c r="E72" s="1" t="s">
        <v>13</v>
      </c>
      <c r="F72" s="2">
        <f>VLOOKUP(C72, 'Pivot Table 2'!$A$1:$B$113, 2, FALSE)</f>
        <v>5000</v>
      </c>
      <c r="G72" s="1">
        <v>0.0</v>
      </c>
      <c r="H72" s="1">
        <v>0.0</v>
      </c>
      <c r="I72" s="1">
        <v>0.0</v>
      </c>
      <c r="J72" s="1">
        <v>0.0</v>
      </c>
      <c r="K72" s="2">
        <f t="shared" si="1"/>
        <v>5000</v>
      </c>
    </row>
    <row r="73">
      <c r="A73" s="1">
        <v>72.0</v>
      </c>
      <c r="B73" s="2" t="s">
        <v>90</v>
      </c>
      <c r="C73" s="2" t="s">
        <v>90</v>
      </c>
      <c r="D73" s="1" t="s">
        <v>12</v>
      </c>
      <c r="E73" s="1" t="s">
        <v>13</v>
      </c>
      <c r="F73" s="2">
        <f>VLOOKUP(C73, 'Pivot Table 2'!$A$1:$B$113, 2, FALSE)</f>
        <v>5000</v>
      </c>
      <c r="G73" s="1">
        <v>0.0</v>
      </c>
      <c r="H73" s="1">
        <v>0.0</v>
      </c>
      <c r="I73" s="1">
        <v>0.0</v>
      </c>
      <c r="J73" s="1">
        <v>0.0</v>
      </c>
      <c r="K73" s="2">
        <f t="shared" si="1"/>
        <v>5000</v>
      </c>
    </row>
    <row r="74">
      <c r="A74" s="1">
        <v>73.0</v>
      </c>
      <c r="B74" s="2" t="s">
        <v>91</v>
      </c>
      <c r="C74" s="2" t="s">
        <v>91</v>
      </c>
      <c r="D74" s="1" t="s">
        <v>12</v>
      </c>
      <c r="E74" s="1" t="s">
        <v>13</v>
      </c>
      <c r="F74" s="2">
        <f>VLOOKUP(C74, 'Pivot Table 2'!$A$1:$B$113, 2, FALSE)</f>
        <v>5000</v>
      </c>
      <c r="G74" s="1">
        <v>0.0</v>
      </c>
      <c r="H74" s="1">
        <v>0.0</v>
      </c>
      <c r="I74" s="1">
        <v>0.0</v>
      </c>
      <c r="J74" s="1">
        <v>0.0</v>
      </c>
      <c r="K74" s="2">
        <f t="shared" si="1"/>
        <v>5000</v>
      </c>
    </row>
    <row r="75">
      <c r="A75" s="1">
        <v>74.0</v>
      </c>
      <c r="B75" s="2" t="s">
        <v>92</v>
      </c>
      <c r="C75" s="2" t="s">
        <v>92</v>
      </c>
      <c r="D75" s="1" t="s">
        <v>12</v>
      </c>
      <c r="E75" s="1" t="s">
        <v>13</v>
      </c>
      <c r="F75" s="2">
        <f>VLOOKUP(C75, 'Pivot Table 2'!$A$1:$B$113, 2, FALSE)</f>
        <v>5000</v>
      </c>
      <c r="G75" s="1">
        <v>0.0</v>
      </c>
      <c r="H75" s="1">
        <v>0.0</v>
      </c>
      <c r="I75" s="1">
        <v>0.0</v>
      </c>
      <c r="J75" s="1">
        <v>0.0</v>
      </c>
      <c r="K75" s="2">
        <f t="shared" si="1"/>
        <v>5000</v>
      </c>
    </row>
    <row r="76">
      <c r="A76" s="1">
        <v>75.0</v>
      </c>
      <c r="B76" s="2" t="s">
        <v>93</v>
      </c>
      <c r="C76" s="2" t="s">
        <v>93</v>
      </c>
      <c r="D76" s="1" t="s">
        <v>12</v>
      </c>
      <c r="E76" s="1" t="s">
        <v>13</v>
      </c>
      <c r="F76" s="2">
        <f>VLOOKUP(C76, 'Pivot Table 2'!$A$1:$B$113, 2, FALSE)</f>
        <v>5000</v>
      </c>
      <c r="G76" s="1">
        <v>0.0</v>
      </c>
      <c r="H76" s="1">
        <v>0.0</v>
      </c>
      <c r="I76" s="1">
        <v>0.0</v>
      </c>
      <c r="J76" s="1">
        <v>0.0</v>
      </c>
      <c r="K76" s="2">
        <f t="shared" si="1"/>
        <v>5000</v>
      </c>
    </row>
    <row r="77">
      <c r="A77" s="1">
        <v>76.0</v>
      </c>
      <c r="B77" s="2" t="s">
        <v>94</v>
      </c>
      <c r="C77" s="2" t="s">
        <v>94</v>
      </c>
      <c r="D77" s="1" t="s">
        <v>12</v>
      </c>
      <c r="E77" s="1" t="s">
        <v>13</v>
      </c>
      <c r="F77" s="2">
        <f>VLOOKUP(C77, 'Pivot Table 2'!$A$1:$B$113, 2, FALSE)</f>
        <v>5000</v>
      </c>
      <c r="G77" s="1">
        <v>0.0</v>
      </c>
      <c r="H77" s="1">
        <v>0.0</v>
      </c>
      <c r="I77" s="1">
        <v>0.0</v>
      </c>
      <c r="J77" s="1">
        <v>0.0</v>
      </c>
      <c r="K77" s="2">
        <f t="shared" si="1"/>
        <v>5000</v>
      </c>
    </row>
    <row r="78">
      <c r="A78" s="1">
        <v>77.0</v>
      </c>
      <c r="B78" s="2" t="s">
        <v>95</v>
      </c>
      <c r="C78" s="2" t="s">
        <v>95</v>
      </c>
      <c r="D78" s="1" t="s">
        <v>12</v>
      </c>
      <c r="E78" s="1" t="s">
        <v>13</v>
      </c>
      <c r="F78" s="2">
        <f>VLOOKUP(C78, 'Pivot Table 2'!$A$1:$B$113, 2, FALSE)</f>
        <v>5000</v>
      </c>
      <c r="G78" s="1">
        <v>0.0</v>
      </c>
      <c r="H78" s="1">
        <v>0.0</v>
      </c>
      <c r="I78" s="1">
        <v>0.0</v>
      </c>
      <c r="J78" s="1">
        <v>0.0</v>
      </c>
      <c r="K78" s="2">
        <f t="shared" si="1"/>
        <v>5000</v>
      </c>
    </row>
    <row r="79">
      <c r="A79" s="1">
        <v>78.0</v>
      </c>
      <c r="B79" s="2" t="s">
        <v>96</v>
      </c>
      <c r="C79" s="2" t="s">
        <v>96</v>
      </c>
      <c r="D79" s="1" t="s">
        <v>12</v>
      </c>
      <c r="E79" s="1" t="s">
        <v>13</v>
      </c>
      <c r="F79" s="2">
        <f>VLOOKUP(C79, 'Pivot Table 2'!$A$1:$B$113, 2, FALSE)</f>
        <v>5000</v>
      </c>
      <c r="G79" s="1">
        <v>0.0</v>
      </c>
      <c r="H79" s="1">
        <v>0.0</v>
      </c>
      <c r="I79" s="1">
        <v>0.0</v>
      </c>
      <c r="J79" s="1">
        <v>0.0</v>
      </c>
      <c r="K79" s="2">
        <f t="shared" si="1"/>
        <v>5000</v>
      </c>
    </row>
    <row r="80">
      <c r="A80" s="1">
        <v>79.0</v>
      </c>
      <c r="B80" s="2" t="s">
        <v>97</v>
      </c>
      <c r="C80" s="2" t="s">
        <v>97</v>
      </c>
      <c r="D80" s="1" t="s">
        <v>12</v>
      </c>
      <c r="E80" s="1" t="s">
        <v>13</v>
      </c>
      <c r="F80" s="2">
        <f>VLOOKUP(C80, 'Pivot Table 2'!$A$1:$B$113, 2, FALSE)</f>
        <v>5000</v>
      </c>
      <c r="G80" s="1">
        <v>0.0</v>
      </c>
      <c r="H80" s="1">
        <v>0.0</v>
      </c>
      <c r="I80" s="1">
        <v>0.0</v>
      </c>
      <c r="J80" s="1">
        <v>0.0</v>
      </c>
      <c r="K80" s="2">
        <f t="shared" si="1"/>
        <v>5000</v>
      </c>
    </row>
    <row r="81">
      <c r="A81" s="1">
        <v>80.0</v>
      </c>
      <c r="B81" s="2" t="s">
        <v>98</v>
      </c>
      <c r="C81" s="2" t="s">
        <v>98</v>
      </c>
      <c r="D81" s="1" t="s">
        <v>12</v>
      </c>
      <c r="E81" s="1" t="s">
        <v>13</v>
      </c>
      <c r="F81" s="2">
        <f>VLOOKUP(C81, 'Pivot Table 2'!$A$1:$B$113, 2, FALSE)</f>
        <v>5000</v>
      </c>
      <c r="G81" s="1">
        <v>0.0</v>
      </c>
      <c r="H81" s="1">
        <v>0.0</v>
      </c>
      <c r="I81" s="1">
        <v>0.0</v>
      </c>
      <c r="J81" s="1">
        <v>0.0</v>
      </c>
      <c r="K81" s="2">
        <f t="shared" si="1"/>
        <v>5000</v>
      </c>
    </row>
    <row r="82">
      <c r="A82" s="1">
        <v>81.0</v>
      </c>
      <c r="B82" s="2" t="s">
        <v>99</v>
      </c>
      <c r="C82" s="2" t="s">
        <v>99</v>
      </c>
      <c r="D82" s="1" t="s">
        <v>12</v>
      </c>
      <c r="E82" s="1" t="s">
        <v>13</v>
      </c>
      <c r="F82" s="2">
        <f>VLOOKUP(C82, 'Pivot Table 2'!$A$1:$B$113, 2, FALSE)</f>
        <v>5000</v>
      </c>
      <c r="G82" s="1">
        <v>0.0</v>
      </c>
      <c r="H82" s="1">
        <v>0.0</v>
      </c>
      <c r="I82" s="1">
        <v>0.0</v>
      </c>
      <c r="J82" s="1">
        <v>0.0</v>
      </c>
      <c r="K82" s="2">
        <f t="shared" si="1"/>
        <v>5000</v>
      </c>
    </row>
    <row r="83">
      <c r="A83" s="1">
        <v>82.0</v>
      </c>
      <c r="B83" s="2" t="s">
        <v>100</v>
      </c>
      <c r="C83" s="2" t="s">
        <v>100</v>
      </c>
      <c r="D83" s="1" t="s">
        <v>12</v>
      </c>
      <c r="E83" s="1" t="s">
        <v>13</v>
      </c>
      <c r="F83" s="2">
        <f>VLOOKUP(C83, 'Pivot Table 2'!$A$1:$B$113, 2, FALSE)</f>
        <v>5000</v>
      </c>
      <c r="G83" s="1">
        <v>0.0</v>
      </c>
      <c r="H83" s="1">
        <v>0.0</v>
      </c>
      <c r="I83" s="1">
        <v>0.0</v>
      </c>
      <c r="J83" s="1">
        <v>0.0</v>
      </c>
      <c r="K83" s="2">
        <f t="shared" si="1"/>
        <v>5000</v>
      </c>
    </row>
    <row r="84">
      <c r="A84" s="1">
        <v>83.0</v>
      </c>
      <c r="B84" s="2" t="s">
        <v>101</v>
      </c>
      <c r="C84" s="2" t="s">
        <v>101</v>
      </c>
      <c r="D84" s="1" t="s">
        <v>12</v>
      </c>
      <c r="E84" s="1" t="s">
        <v>13</v>
      </c>
      <c r="F84" s="2">
        <f>VLOOKUP(C84, 'Pivot Table 2'!$A$1:$B$113, 2, FALSE)</f>
        <v>5000</v>
      </c>
      <c r="G84" s="1">
        <v>0.0</v>
      </c>
      <c r="H84" s="1">
        <v>0.0</v>
      </c>
      <c r="I84" s="1">
        <v>0.0</v>
      </c>
      <c r="J84" s="1">
        <v>0.0</v>
      </c>
      <c r="K84" s="2">
        <f t="shared" si="1"/>
        <v>5000</v>
      </c>
    </row>
    <row r="85">
      <c r="A85" s="1">
        <v>84.0</v>
      </c>
      <c r="B85" s="2" t="s">
        <v>102</v>
      </c>
      <c r="C85" s="2" t="s">
        <v>102</v>
      </c>
      <c r="D85" s="1" t="s">
        <v>12</v>
      </c>
      <c r="E85" s="1" t="s">
        <v>13</v>
      </c>
      <c r="F85" s="2">
        <f>VLOOKUP(C85, 'Pivot Table 2'!$A$1:$B$113, 2, FALSE)</f>
        <v>5000</v>
      </c>
      <c r="G85" s="1">
        <v>0.0</v>
      </c>
      <c r="H85" s="1">
        <v>0.0</v>
      </c>
      <c r="I85" s="1">
        <v>0.0</v>
      </c>
      <c r="J85" s="1">
        <v>0.0</v>
      </c>
      <c r="K85" s="2">
        <f t="shared" si="1"/>
        <v>5000</v>
      </c>
    </row>
    <row r="86">
      <c r="A86" s="1">
        <v>85.0</v>
      </c>
      <c r="B86" s="2" t="s">
        <v>103</v>
      </c>
      <c r="C86" s="2" t="s">
        <v>103</v>
      </c>
      <c r="D86" s="1" t="s">
        <v>12</v>
      </c>
      <c r="E86" s="1" t="s">
        <v>13</v>
      </c>
      <c r="F86" s="2">
        <f>VLOOKUP(C86, 'Pivot Table 2'!$A$1:$B$113, 2, FALSE)</f>
        <v>5000</v>
      </c>
      <c r="G86" s="1">
        <v>0.0</v>
      </c>
      <c r="H86" s="1">
        <v>0.0</v>
      </c>
      <c r="I86" s="1">
        <v>0.0</v>
      </c>
      <c r="J86" s="1">
        <v>0.0</v>
      </c>
      <c r="K86" s="2">
        <f t="shared" si="1"/>
        <v>5000</v>
      </c>
    </row>
    <row r="87">
      <c r="A87" s="1">
        <v>86.0</v>
      </c>
      <c r="B87" s="2" t="s">
        <v>104</v>
      </c>
      <c r="C87" s="2" t="s">
        <v>104</v>
      </c>
      <c r="D87" s="1" t="s">
        <v>12</v>
      </c>
      <c r="E87" s="1" t="s">
        <v>13</v>
      </c>
      <c r="F87" s="2">
        <f>VLOOKUP(C87, 'Pivot Table 2'!$A$1:$B$113, 2, FALSE)</f>
        <v>5000</v>
      </c>
      <c r="G87" s="1">
        <v>0.0</v>
      </c>
      <c r="H87" s="1">
        <v>0.0</v>
      </c>
      <c r="I87" s="1">
        <v>0.0</v>
      </c>
      <c r="J87" s="1">
        <v>0.0</v>
      </c>
      <c r="K87" s="2">
        <f t="shared" si="1"/>
        <v>5000</v>
      </c>
    </row>
    <row r="88">
      <c r="A88" s="1">
        <v>87.0</v>
      </c>
      <c r="B88" s="2" t="s">
        <v>105</v>
      </c>
      <c r="C88" s="2" t="s">
        <v>105</v>
      </c>
      <c r="D88" s="1" t="s">
        <v>12</v>
      </c>
      <c r="E88" s="1" t="s">
        <v>13</v>
      </c>
      <c r="F88" s="2">
        <f>VLOOKUP(C88, 'Pivot Table 2'!$A$1:$B$113, 2, FALSE)</f>
        <v>5000</v>
      </c>
      <c r="G88" s="1">
        <v>0.0</v>
      </c>
      <c r="H88" s="1">
        <v>0.0</v>
      </c>
      <c r="I88" s="1">
        <v>0.0</v>
      </c>
      <c r="J88" s="1">
        <v>0.0</v>
      </c>
      <c r="K88" s="2">
        <f t="shared" si="1"/>
        <v>5000</v>
      </c>
    </row>
    <row r="89">
      <c r="A89" s="1">
        <v>88.0</v>
      </c>
      <c r="B89" s="2" t="s">
        <v>106</v>
      </c>
      <c r="C89" s="2" t="s">
        <v>106</v>
      </c>
      <c r="D89" s="1" t="s">
        <v>12</v>
      </c>
      <c r="E89" s="1" t="s">
        <v>13</v>
      </c>
      <c r="F89" s="2">
        <f>VLOOKUP(C89, 'Pivot Table 2'!$A$1:$B$113, 2, FALSE)</f>
        <v>5000</v>
      </c>
      <c r="G89" s="1">
        <v>0.0</v>
      </c>
      <c r="H89" s="1">
        <v>0.0</v>
      </c>
      <c r="I89" s="1">
        <v>0.0</v>
      </c>
      <c r="J89" s="1">
        <v>0.0</v>
      </c>
      <c r="K89" s="2">
        <f t="shared" si="1"/>
        <v>5000</v>
      </c>
    </row>
    <row r="90">
      <c r="A90" s="1">
        <v>89.0</v>
      </c>
      <c r="B90" s="2" t="s">
        <v>107</v>
      </c>
      <c r="C90" s="2" t="s">
        <v>107</v>
      </c>
      <c r="D90" s="1" t="s">
        <v>12</v>
      </c>
      <c r="E90" s="1" t="s">
        <v>13</v>
      </c>
      <c r="F90" s="2">
        <f>VLOOKUP(C90, 'Pivot Table 2'!$A$1:$B$113, 2, FALSE)</f>
        <v>5000</v>
      </c>
      <c r="G90" s="1">
        <v>0.0</v>
      </c>
      <c r="H90" s="1">
        <v>0.0</v>
      </c>
      <c r="I90" s="1">
        <v>0.0</v>
      </c>
      <c r="J90" s="1">
        <v>0.0</v>
      </c>
      <c r="K90" s="2">
        <f t="shared" si="1"/>
        <v>5000</v>
      </c>
    </row>
    <row r="91">
      <c r="A91" s="1">
        <v>90.0</v>
      </c>
      <c r="B91" s="2" t="s">
        <v>108</v>
      </c>
      <c r="C91" s="2" t="s">
        <v>108</v>
      </c>
      <c r="D91" s="1" t="s">
        <v>12</v>
      </c>
      <c r="E91" s="1" t="s">
        <v>13</v>
      </c>
      <c r="F91" s="2">
        <f>VLOOKUP(C91, 'Pivot Table 2'!$A$1:$B$113, 2, FALSE)</f>
        <v>5000</v>
      </c>
      <c r="G91" s="1">
        <v>0.0</v>
      </c>
      <c r="H91" s="1">
        <v>0.0</v>
      </c>
      <c r="I91" s="1">
        <v>0.0</v>
      </c>
      <c r="J91" s="1">
        <v>0.0</v>
      </c>
      <c r="K91" s="2">
        <f t="shared" si="1"/>
        <v>5000</v>
      </c>
    </row>
    <row r="92">
      <c r="A92" s="1">
        <v>91.0</v>
      </c>
      <c r="B92" s="2" t="s">
        <v>109</v>
      </c>
      <c r="C92" s="2" t="s">
        <v>109</v>
      </c>
      <c r="D92" s="1" t="s">
        <v>12</v>
      </c>
      <c r="E92" s="1" t="s">
        <v>13</v>
      </c>
      <c r="F92" s="2">
        <f>VLOOKUP(C92, 'Pivot Table 2'!$A$1:$B$113, 2, FALSE)</f>
        <v>5000</v>
      </c>
      <c r="G92" s="1">
        <v>0.0</v>
      </c>
      <c r="H92" s="1">
        <v>0.0</v>
      </c>
      <c r="I92" s="1">
        <v>0.0</v>
      </c>
      <c r="J92" s="1">
        <v>0.0</v>
      </c>
      <c r="K92" s="2">
        <f t="shared" si="1"/>
        <v>5000</v>
      </c>
    </row>
    <row r="93">
      <c r="A93" s="1">
        <v>92.0</v>
      </c>
      <c r="B93" s="2" t="s">
        <v>110</v>
      </c>
      <c r="C93" s="2" t="s">
        <v>110</v>
      </c>
      <c r="D93" s="1" t="s">
        <v>12</v>
      </c>
      <c r="E93" s="1" t="s">
        <v>13</v>
      </c>
      <c r="F93" s="2">
        <f>VLOOKUP(C93, 'Pivot Table 2'!$A$1:$B$113, 2, FALSE)</f>
        <v>5000</v>
      </c>
      <c r="G93" s="1">
        <v>0.0</v>
      </c>
      <c r="H93" s="1">
        <v>0.0</v>
      </c>
      <c r="I93" s="1">
        <v>0.0</v>
      </c>
      <c r="J93" s="1">
        <v>0.0</v>
      </c>
      <c r="K93" s="2">
        <f t="shared" si="1"/>
        <v>5000</v>
      </c>
    </row>
    <row r="94">
      <c r="A94" s="1">
        <v>93.0</v>
      </c>
      <c r="B94" s="2" t="s">
        <v>111</v>
      </c>
      <c r="C94" s="2" t="s">
        <v>111</v>
      </c>
      <c r="D94" s="1" t="s">
        <v>13</v>
      </c>
      <c r="E94" s="1" t="s">
        <v>13</v>
      </c>
      <c r="F94" s="2">
        <f>VLOOKUP(C94, 'Pivot Table 2'!$A$1:$B$113, 2, FALSE)</f>
        <v>20000</v>
      </c>
      <c r="G94" s="1">
        <v>0.0</v>
      </c>
      <c r="H94" s="1">
        <v>0.0</v>
      </c>
      <c r="I94" s="1">
        <v>0.0</v>
      </c>
      <c r="J94" s="1">
        <v>0.0</v>
      </c>
      <c r="K94" s="2">
        <f t="shared" si="1"/>
        <v>20000</v>
      </c>
    </row>
    <row r="95">
      <c r="A95" s="1">
        <v>94.0</v>
      </c>
      <c r="B95" s="2" t="s">
        <v>112</v>
      </c>
      <c r="C95" s="2" t="s">
        <v>112</v>
      </c>
      <c r="D95" s="1" t="s">
        <v>13</v>
      </c>
      <c r="E95" s="1" t="s">
        <v>13</v>
      </c>
      <c r="F95" s="2">
        <f>VLOOKUP(C95, 'Pivot Table 2'!$A$1:$B$113, 2, FALSE)</f>
        <v>59500</v>
      </c>
      <c r="G95" s="1">
        <v>0.0</v>
      </c>
      <c r="H95" s="1">
        <v>0.0</v>
      </c>
      <c r="I95" s="1">
        <v>0.0</v>
      </c>
      <c r="J95" s="1">
        <v>0.0</v>
      </c>
      <c r="K95" s="2">
        <f t="shared" si="1"/>
        <v>59500</v>
      </c>
    </row>
    <row r="96">
      <c r="A96" s="1">
        <v>95.0</v>
      </c>
      <c r="B96" s="2" t="s">
        <v>113</v>
      </c>
      <c r="C96" s="2" t="s">
        <v>113</v>
      </c>
      <c r="D96" s="1" t="s">
        <v>12</v>
      </c>
      <c r="E96" s="1" t="s">
        <v>13</v>
      </c>
      <c r="F96" s="2">
        <f>VLOOKUP(C96, 'Pivot Table 2'!$A$1:$B$113, 2, FALSE)</f>
        <v>5000</v>
      </c>
      <c r="G96" s="1">
        <v>0.0</v>
      </c>
      <c r="H96" s="1">
        <v>0.0</v>
      </c>
      <c r="I96" s="1">
        <v>0.0</v>
      </c>
      <c r="J96" s="1">
        <v>0.0</v>
      </c>
      <c r="K96" s="2">
        <f t="shared" si="1"/>
        <v>5000</v>
      </c>
    </row>
    <row r="97">
      <c r="A97" s="1">
        <v>96.0</v>
      </c>
      <c r="B97" s="2" t="s">
        <v>114</v>
      </c>
      <c r="C97" s="2" t="s">
        <v>114</v>
      </c>
      <c r="D97" s="1" t="s">
        <v>13</v>
      </c>
      <c r="E97" s="1" t="s">
        <v>13</v>
      </c>
      <c r="F97" s="2">
        <f>VLOOKUP(C97, 'Pivot Table 2'!$A$1:$B$113, 2, FALSE)</f>
        <v>50000</v>
      </c>
      <c r="G97" s="1">
        <v>0.0</v>
      </c>
      <c r="H97" s="1">
        <v>0.0</v>
      </c>
      <c r="I97" s="1">
        <v>0.0</v>
      </c>
      <c r="J97" s="1">
        <v>0.0</v>
      </c>
      <c r="K97" s="2">
        <f t="shared" si="1"/>
        <v>50000</v>
      </c>
    </row>
    <row r="98">
      <c r="A98" s="1">
        <v>97.0</v>
      </c>
      <c r="B98" s="2" t="s">
        <v>115</v>
      </c>
      <c r="C98" s="2" t="s">
        <v>115</v>
      </c>
      <c r="D98" s="1" t="s">
        <v>12</v>
      </c>
      <c r="E98" s="1" t="s">
        <v>13</v>
      </c>
      <c r="F98" s="2">
        <f>VLOOKUP(C98, 'Pivot Table 2'!$A$1:$B$113, 2, FALSE)</f>
        <v>5000</v>
      </c>
      <c r="G98" s="1">
        <v>0.0</v>
      </c>
      <c r="H98" s="1">
        <v>0.0</v>
      </c>
      <c r="I98" s="1">
        <v>0.0</v>
      </c>
      <c r="J98" s="1">
        <v>0.0</v>
      </c>
      <c r="K98" s="2">
        <f t="shared" si="1"/>
        <v>5000</v>
      </c>
    </row>
    <row r="99">
      <c r="A99" s="1">
        <v>98.0</v>
      </c>
      <c r="B99" s="2" t="s">
        <v>116</v>
      </c>
      <c r="C99" s="2" t="s">
        <v>116</v>
      </c>
      <c r="D99" s="1" t="s">
        <v>13</v>
      </c>
      <c r="E99" s="1" t="s">
        <v>13</v>
      </c>
      <c r="F99" s="2">
        <f>VLOOKUP(C99, 'Pivot Table 2'!$A$1:$B$113, 2, FALSE)</f>
        <v>5000</v>
      </c>
      <c r="G99" s="1">
        <v>0.0</v>
      </c>
      <c r="H99" s="1">
        <v>0.0</v>
      </c>
      <c r="I99" s="1">
        <v>0.0</v>
      </c>
      <c r="J99" s="1">
        <v>0.0</v>
      </c>
      <c r="K99" s="2">
        <f t="shared" si="1"/>
        <v>5000</v>
      </c>
    </row>
    <row r="100">
      <c r="A100" s="1">
        <v>99.0</v>
      </c>
      <c r="B100" s="2" t="s">
        <v>117</v>
      </c>
      <c r="C100" s="2" t="s">
        <v>117</v>
      </c>
      <c r="D100" s="1" t="s">
        <v>13</v>
      </c>
      <c r="E100" s="1" t="s">
        <v>13</v>
      </c>
      <c r="F100" s="2">
        <f>VLOOKUP(C100, 'Pivot Table 2'!$A$1:$B$113, 2, FALSE)</f>
        <v>27500</v>
      </c>
      <c r="G100" s="1">
        <v>0.0</v>
      </c>
      <c r="H100" s="1">
        <v>0.0</v>
      </c>
      <c r="I100" s="1">
        <v>0.0</v>
      </c>
      <c r="J100" s="1">
        <v>0.0</v>
      </c>
      <c r="K100" s="2">
        <f t="shared" si="1"/>
        <v>27500</v>
      </c>
    </row>
    <row r="101">
      <c r="A101" s="1">
        <v>100.0</v>
      </c>
      <c r="B101" s="2" t="s">
        <v>118</v>
      </c>
      <c r="C101" s="2" t="s">
        <v>118</v>
      </c>
      <c r="D101" s="1" t="s">
        <v>13</v>
      </c>
      <c r="E101" s="1" t="s">
        <v>13</v>
      </c>
      <c r="F101" s="2">
        <f>VLOOKUP(C101, 'Pivot Table 2'!$A$1:$B$113, 2, FALSE)</f>
        <v>55000</v>
      </c>
      <c r="G101" s="1">
        <v>0.0</v>
      </c>
      <c r="H101" s="1">
        <v>0.0</v>
      </c>
      <c r="I101" s="1">
        <v>0.0</v>
      </c>
      <c r="J101" s="1">
        <v>0.0</v>
      </c>
      <c r="K101" s="2">
        <f t="shared" si="1"/>
        <v>55000</v>
      </c>
    </row>
    <row r="102">
      <c r="A102" s="1">
        <v>101.0</v>
      </c>
      <c r="B102" s="2" t="s">
        <v>119</v>
      </c>
      <c r="C102" s="2" t="s">
        <v>119</v>
      </c>
      <c r="D102" s="1" t="s">
        <v>12</v>
      </c>
      <c r="E102" s="1" t="s">
        <v>13</v>
      </c>
      <c r="F102" s="2">
        <f>VLOOKUP(C102, 'Pivot Table 2'!$A$1:$B$113, 2, FALSE)</f>
        <v>5000</v>
      </c>
      <c r="G102" s="1">
        <v>0.0</v>
      </c>
      <c r="H102" s="1">
        <v>0.0</v>
      </c>
      <c r="I102" s="1">
        <v>0.0</v>
      </c>
      <c r="J102" s="1">
        <v>0.0</v>
      </c>
      <c r="K102" s="2">
        <f t="shared" si="1"/>
        <v>5000</v>
      </c>
    </row>
    <row r="103">
      <c r="A103" s="1">
        <v>102.0</v>
      </c>
      <c r="B103" s="2" t="s">
        <v>120</v>
      </c>
      <c r="C103" s="2" t="s">
        <v>120</v>
      </c>
      <c r="D103" s="1" t="s">
        <v>12</v>
      </c>
      <c r="E103" s="1" t="s">
        <v>13</v>
      </c>
      <c r="F103" s="2">
        <f>VLOOKUP(C103, 'Pivot Table 2'!$A$1:$B$113, 2, FALSE)</f>
        <v>5000</v>
      </c>
      <c r="G103" s="1">
        <v>0.0</v>
      </c>
      <c r="H103" s="1">
        <v>0.0</v>
      </c>
      <c r="I103" s="1">
        <v>0.0</v>
      </c>
      <c r="J103" s="1">
        <v>0.0</v>
      </c>
      <c r="K103" s="2">
        <f t="shared" si="1"/>
        <v>5000</v>
      </c>
    </row>
    <row r="104">
      <c r="A104" s="1">
        <v>103.0</v>
      </c>
      <c r="B104" s="2" t="s">
        <v>121</v>
      </c>
      <c r="C104" s="2" t="s">
        <v>121</v>
      </c>
      <c r="D104" s="1" t="s">
        <v>12</v>
      </c>
      <c r="E104" s="1" t="s">
        <v>13</v>
      </c>
      <c r="F104" s="2">
        <f>VLOOKUP(C104, 'Pivot Table 2'!$A$1:$B$113, 2, FALSE)</f>
        <v>5000</v>
      </c>
      <c r="G104" s="1">
        <v>0.0</v>
      </c>
      <c r="H104" s="1">
        <v>0.0</v>
      </c>
      <c r="I104" s="1">
        <v>0.0</v>
      </c>
      <c r="J104" s="1">
        <v>0.0</v>
      </c>
      <c r="K104" s="2">
        <f t="shared" si="1"/>
        <v>5000</v>
      </c>
    </row>
    <row r="105">
      <c r="A105" s="1">
        <v>104.0</v>
      </c>
      <c r="B105" s="2" t="s">
        <v>122</v>
      </c>
      <c r="C105" s="2" t="s">
        <v>122</v>
      </c>
      <c r="D105" s="1" t="s">
        <v>12</v>
      </c>
      <c r="E105" s="1" t="s">
        <v>13</v>
      </c>
      <c r="F105" s="2">
        <f>VLOOKUP(C105, 'Pivot Table 2'!$A$1:$B$113, 2, FALSE)</f>
        <v>5000</v>
      </c>
      <c r="G105" s="1">
        <v>0.0</v>
      </c>
      <c r="H105" s="1">
        <v>0.0</v>
      </c>
      <c r="I105" s="1">
        <v>0.0</v>
      </c>
      <c r="J105" s="1">
        <v>0.0</v>
      </c>
      <c r="K105" s="2">
        <f t="shared" si="1"/>
        <v>5000</v>
      </c>
    </row>
    <row r="106">
      <c r="A106" s="1">
        <v>105.0</v>
      </c>
      <c r="B106" s="2" t="s">
        <v>123</v>
      </c>
      <c r="C106" s="2" t="s">
        <v>123</v>
      </c>
      <c r="D106" s="1" t="s">
        <v>12</v>
      </c>
      <c r="E106" s="1" t="s">
        <v>13</v>
      </c>
      <c r="F106" s="2">
        <f>VLOOKUP(C106, 'Pivot Table 2'!$A$1:$B$113, 2, FALSE)</f>
        <v>5000</v>
      </c>
      <c r="G106" s="1">
        <v>0.0</v>
      </c>
      <c r="H106" s="1">
        <v>0.0</v>
      </c>
      <c r="I106" s="1">
        <v>0.0</v>
      </c>
      <c r="J106" s="1">
        <v>0.0</v>
      </c>
      <c r="K106" s="2">
        <f t="shared" si="1"/>
        <v>5000</v>
      </c>
    </row>
    <row r="107">
      <c r="A107" s="1">
        <v>106.0</v>
      </c>
      <c r="B107" s="2" t="s">
        <v>124</v>
      </c>
      <c r="C107" s="2" t="s">
        <v>124</v>
      </c>
      <c r="D107" s="1" t="s">
        <v>12</v>
      </c>
      <c r="E107" s="1" t="s">
        <v>13</v>
      </c>
      <c r="F107" s="2">
        <f>VLOOKUP(C107, 'Pivot Table 2'!$A$1:$B$113, 2, FALSE)</f>
        <v>5000</v>
      </c>
      <c r="G107" s="1">
        <v>0.0</v>
      </c>
      <c r="H107" s="1">
        <v>0.0</v>
      </c>
      <c r="I107" s="1">
        <v>0.0</v>
      </c>
      <c r="J107" s="1">
        <v>0.0</v>
      </c>
      <c r="K107" s="2">
        <f t="shared" si="1"/>
        <v>5000</v>
      </c>
    </row>
    <row r="108">
      <c r="A108" s="1">
        <v>107.0</v>
      </c>
      <c r="B108" s="2" t="s">
        <v>125</v>
      </c>
      <c r="C108" s="2" t="s">
        <v>125</v>
      </c>
      <c r="D108" s="1" t="s">
        <v>12</v>
      </c>
      <c r="E108" s="1" t="s">
        <v>13</v>
      </c>
      <c r="F108" s="2">
        <f>VLOOKUP(C108, 'Pivot Table 2'!$A$1:$B$113, 2, FALSE)</f>
        <v>5000</v>
      </c>
      <c r="G108" s="1">
        <v>0.0</v>
      </c>
      <c r="H108" s="1">
        <v>0.0</v>
      </c>
      <c r="I108" s="1">
        <v>0.0</v>
      </c>
      <c r="J108" s="1">
        <v>0.0</v>
      </c>
      <c r="K108" s="2">
        <f t="shared" si="1"/>
        <v>5000</v>
      </c>
    </row>
    <row r="109">
      <c r="A109" s="1">
        <v>108.0</v>
      </c>
      <c r="B109" s="2" t="s">
        <v>126</v>
      </c>
      <c r="C109" s="2" t="s">
        <v>126</v>
      </c>
      <c r="D109" s="1" t="s">
        <v>12</v>
      </c>
      <c r="E109" s="1" t="s">
        <v>13</v>
      </c>
      <c r="F109" s="2">
        <f>VLOOKUP(C109, 'Pivot Table 2'!$A$1:$B$113, 2, FALSE)</f>
        <v>5000</v>
      </c>
      <c r="G109" s="1">
        <v>0.0</v>
      </c>
      <c r="H109" s="1">
        <v>0.0</v>
      </c>
      <c r="I109" s="1">
        <v>0.0</v>
      </c>
      <c r="J109" s="1">
        <v>0.0</v>
      </c>
      <c r="K109" s="2">
        <f t="shared" si="1"/>
        <v>5000</v>
      </c>
    </row>
    <row r="110">
      <c r="A110" s="1">
        <v>109.0</v>
      </c>
      <c r="B110" s="2" t="s">
        <v>127</v>
      </c>
      <c r="C110" s="2" t="s">
        <v>127</v>
      </c>
      <c r="D110" s="1" t="s">
        <v>12</v>
      </c>
      <c r="E110" s="1" t="s">
        <v>13</v>
      </c>
      <c r="F110" s="2">
        <f>VLOOKUP(C110, 'Pivot Table 2'!$A$1:$B$113, 2, FALSE)</f>
        <v>5000</v>
      </c>
      <c r="G110" s="1">
        <v>0.0</v>
      </c>
      <c r="H110" s="1">
        <v>0.0</v>
      </c>
      <c r="I110" s="1">
        <v>0.0</v>
      </c>
      <c r="J110" s="1">
        <v>0.0</v>
      </c>
      <c r="K110" s="2">
        <f t="shared" si="1"/>
        <v>5000</v>
      </c>
    </row>
    <row r="111">
      <c r="A111" s="1">
        <v>110.0</v>
      </c>
      <c r="B111" s="2" t="s">
        <v>128</v>
      </c>
      <c r="C111" s="2" t="s">
        <v>128</v>
      </c>
      <c r="D111" s="1" t="s">
        <v>12</v>
      </c>
      <c r="E111" s="1" t="s">
        <v>13</v>
      </c>
      <c r="F111" s="2">
        <f>VLOOKUP(C111, 'Pivot Table 2'!$A$1:$B$113, 2, FALSE)</f>
        <v>5000</v>
      </c>
      <c r="G111" s="1">
        <v>0.0</v>
      </c>
      <c r="H111" s="1">
        <v>0.0</v>
      </c>
      <c r="I111" s="1">
        <v>0.0</v>
      </c>
      <c r="J111" s="1">
        <v>0.0</v>
      </c>
      <c r="K111" s="2">
        <f t="shared" si="1"/>
        <v>5000</v>
      </c>
    </row>
    <row r="112">
      <c r="A112" s="1">
        <v>111.0</v>
      </c>
      <c r="B112" s="2" t="s">
        <v>129</v>
      </c>
      <c r="C112" s="2" t="s">
        <v>129</v>
      </c>
      <c r="D112" s="1" t="s">
        <v>12</v>
      </c>
      <c r="E112" s="1" t="s">
        <v>13</v>
      </c>
      <c r="F112" s="2">
        <f>VLOOKUP(C112, 'Pivot Table 2'!$A$1:$B$113, 2, FALSE)</f>
        <v>5000</v>
      </c>
      <c r="G112" s="1">
        <v>0.0</v>
      </c>
      <c r="H112" s="1">
        <v>0.0</v>
      </c>
      <c r="I112" s="1">
        <v>0.0</v>
      </c>
      <c r="J112" s="1">
        <v>0.0</v>
      </c>
      <c r="K112" s="2">
        <f t="shared" si="1"/>
        <v>5000</v>
      </c>
    </row>
    <row r="113">
      <c r="A113" s="1">
        <v>112.0</v>
      </c>
      <c r="B113" s="2" t="s">
        <v>130</v>
      </c>
      <c r="C113" s="2" t="s">
        <v>130</v>
      </c>
      <c r="D113" s="1" t="s">
        <v>12</v>
      </c>
      <c r="E113" s="1" t="s">
        <v>13</v>
      </c>
      <c r="F113" s="2" t="str">
        <f>VLOOKUP(C113, 'Pivot Table 2'!$A$1:$B$113, 2, FALSE)</f>
        <v>#N/A</v>
      </c>
      <c r="G113" s="1">
        <v>0.0</v>
      </c>
      <c r="H113" s="1">
        <v>0.0</v>
      </c>
      <c r="I113" s="1">
        <v>0.0</v>
      </c>
      <c r="J113" s="1">
        <v>0.0</v>
      </c>
      <c r="K113" s="2" t="str">
        <f t="shared" si="1"/>
        <v>#N/A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35.0"/>
    <col customWidth="1" min="3" max="4" width="17.0"/>
    <col customWidth="1" min="5" max="5" width="16.88"/>
    <col customWidth="1" min="6" max="6" width="8.13"/>
  </cols>
  <sheetData>
    <row r="1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>
      <c r="A2" s="1">
        <v>1.0</v>
      </c>
      <c r="B2" s="1" t="str">
        <f>VLOOKUP(D2,SAP!G$1:H$169,2)</f>
        <v>Charcoal PS-Cream-Matte-PN 06167</v>
      </c>
      <c r="C2" s="1" t="s">
        <v>137</v>
      </c>
      <c r="D2" s="2" t="str">
        <f t="array" ref="D2:D52">unique(Mapping!C2:C284)</f>
        <v>WHSWPLCS017</v>
      </c>
      <c r="E2" s="1" t="str">
        <f t="shared" ref="E2:E41" si="1">D2</f>
        <v>WHSWPLCS017</v>
      </c>
      <c r="F2" s="3">
        <f>vlookup(E2,SAP!G$1:U$169,13)</f>
        <v>2500</v>
      </c>
    </row>
    <row r="3">
      <c r="A3" s="1">
        <v>2.0</v>
      </c>
      <c r="B3" s="1" t="str">
        <f>VLOOKUP(D3,SAP!G$1:H$169,2)</f>
        <v>Charcoal PS-Pine-Wood Grain-PN 03221</v>
      </c>
      <c r="C3" s="1" t="s">
        <v>137</v>
      </c>
      <c r="D3" s="2" t="s">
        <v>138</v>
      </c>
      <c r="E3" s="1" t="str">
        <f t="shared" si="1"/>
        <v>WHSWPLCS020</v>
      </c>
      <c r="F3" s="3">
        <f>vlookup(E3,SAP!G$1:U$169,13)</f>
        <v>1500</v>
      </c>
    </row>
    <row r="4">
      <c r="A4" s="1">
        <v>3.0</v>
      </c>
      <c r="B4" s="1" t="str">
        <f>VLOOKUP(D4,SAP!G$1:H$169,2)</f>
        <v>Silicon sealant glue nail free</v>
      </c>
      <c r="C4" s="1" t="s">
        <v>137</v>
      </c>
      <c r="D4" s="2" t="s">
        <v>139</v>
      </c>
      <c r="E4" s="1" t="str">
        <f t="shared" si="1"/>
        <v>WHSWPLCS103</v>
      </c>
      <c r="F4" s="3">
        <f>vlookup(E4,SAP!G$1:U$169,13)</f>
        <v>500</v>
      </c>
    </row>
    <row r="5">
      <c r="A5" s="1">
        <v>4.0</v>
      </c>
      <c r="B5" s="1" t="str">
        <f>VLOOKUP(D5,SAP!G$1:H$169,2)</f>
        <v>Charcoal PS-Brown-Wood Grain-PN 03399</v>
      </c>
      <c r="C5" s="1" t="s">
        <v>137</v>
      </c>
      <c r="D5" s="2" t="s">
        <v>140</v>
      </c>
      <c r="E5" s="1" t="str">
        <f t="shared" si="1"/>
        <v>WHSWPLCS079</v>
      </c>
      <c r="F5" s="3">
        <f>vlookup(E5,SAP!G$1:U$169,13)</f>
        <v>2000</v>
      </c>
    </row>
    <row r="6">
      <c r="A6" s="1">
        <v>5.0</v>
      </c>
      <c r="B6" s="1" t="str">
        <f>VLOOKUP(D6,SAP!G$1:H$169,2)</f>
        <v>Child Product Name</v>
      </c>
      <c r="C6" s="1" t="s">
        <v>137</v>
      </c>
      <c r="D6" s="2" t="s">
        <v>141</v>
      </c>
      <c r="E6" s="1" t="str">
        <f t="shared" si="1"/>
        <v>WHSWLTLEDS163</v>
      </c>
      <c r="F6" s="3">
        <v>1000.0</v>
      </c>
    </row>
    <row r="7">
      <c r="A7" s="1">
        <v>6.0</v>
      </c>
      <c r="B7" s="1" t="str">
        <f>VLOOKUP(D7,SAP!G$1:H$169,2)</f>
        <v>Child Product Name</v>
      </c>
      <c r="C7" s="1" t="s">
        <v>137</v>
      </c>
      <c r="D7" s="2" t="s">
        <v>142</v>
      </c>
      <c r="E7" s="1" t="str">
        <f t="shared" si="1"/>
        <v>WHSWLTLEDS165</v>
      </c>
      <c r="F7" s="3">
        <v>500.0</v>
      </c>
    </row>
    <row r="8">
      <c r="A8" s="1">
        <v>7.0</v>
      </c>
      <c r="B8" s="1" t="str">
        <f>VLOOKUP(D8,SAP!G$1:H$169,2)</f>
        <v>Child Product Name</v>
      </c>
      <c r="C8" s="1" t="s">
        <v>137</v>
      </c>
      <c r="D8" s="2" t="s">
        <v>143</v>
      </c>
      <c r="E8" s="1" t="str">
        <f t="shared" si="1"/>
        <v>WHSWLTLEDS166</v>
      </c>
      <c r="F8" s="3">
        <v>500.0</v>
      </c>
    </row>
    <row r="9">
      <c r="A9" s="1">
        <v>8.0</v>
      </c>
      <c r="B9" s="1" t="str">
        <f>VLOOKUP(D9,SAP!G$1:H$169,2)</f>
        <v>Charcoal PS-Dark-Wood Grain-PN 02746</v>
      </c>
      <c r="C9" s="1" t="s">
        <v>137</v>
      </c>
      <c r="D9" s="2" t="s">
        <v>144</v>
      </c>
      <c r="E9" s="1" t="str">
        <f t="shared" si="1"/>
        <v>WHSWPLCS042</v>
      </c>
      <c r="F9" s="3">
        <f>vlookup(E9,SAP!G$1:U$169,13)</f>
        <v>2000</v>
      </c>
    </row>
    <row r="10">
      <c r="A10" s="1">
        <v>9.0</v>
      </c>
      <c r="B10" s="1" t="str">
        <f>VLOOKUP(D10,SAP!G$1:H$169,2)</f>
        <v>Charcoal PS-Walnut-Wood Grain-PN 03223</v>
      </c>
      <c r="C10" s="1" t="s">
        <v>137</v>
      </c>
      <c r="D10" s="2" t="s">
        <v>145</v>
      </c>
      <c r="E10" s="1" t="str">
        <f t="shared" si="1"/>
        <v>WHSWPLCS021</v>
      </c>
      <c r="F10" s="3">
        <f>vlookup(E10,SAP!G$1:U$169,13)</f>
        <v>1500</v>
      </c>
    </row>
    <row r="11">
      <c r="A11" s="1">
        <v>10.0</v>
      </c>
      <c r="B11" s="1" t="str">
        <f>VLOOKUP(D11,SAP!G$1:H$169,2)</f>
        <v>Charcoal PS-Medium-Wood Grain-PN 05656</v>
      </c>
      <c r="C11" s="1" t="s">
        <v>137</v>
      </c>
      <c r="D11" s="2" t="s">
        <v>146</v>
      </c>
      <c r="E11" s="1" t="str">
        <f t="shared" si="1"/>
        <v>WHSWPLCS055</v>
      </c>
      <c r="F11" s="3">
        <f>vlookup(E11,SAP!G$1:U$169,13)</f>
        <v>2000</v>
      </c>
    </row>
    <row r="12">
      <c r="A12" s="1">
        <v>11.0</v>
      </c>
      <c r="B12" s="1" t="str">
        <f>VLOOKUP(D12,SAP!G$1:H$169,2)</f>
        <v>Silicon sealant glue nail free</v>
      </c>
      <c r="C12" s="1" t="s">
        <v>137</v>
      </c>
      <c r="D12" s="2" t="s">
        <v>147</v>
      </c>
      <c r="E12" s="1" t="str">
        <f t="shared" si="1"/>
        <v>WHSWPLCS106</v>
      </c>
      <c r="F12" s="3">
        <f>vlookup(E12,SAP!G$1:U$169,13)</f>
        <v>500</v>
      </c>
    </row>
    <row r="13">
      <c r="A13" s="1">
        <v>12.0</v>
      </c>
      <c r="B13" s="1" t="str">
        <f>VLOOKUP(D13,SAP!G$1:H$169,2)</f>
        <v>Charcoal PS-Dark Grey-Matte-PN 00545</v>
      </c>
      <c r="C13" s="1" t="s">
        <v>137</v>
      </c>
      <c r="D13" s="2" t="s">
        <v>148</v>
      </c>
      <c r="E13" s="1" t="str">
        <f t="shared" si="1"/>
        <v>WHSWPLCS025</v>
      </c>
      <c r="F13" s="3">
        <f>vlookup(E13,SAP!G$1:U$169,13)</f>
        <v>2000</v>
      </c>
    </row>
    <row r="14">
      <c r="A14" s="1">
        <v>13.0</v>
      </c>
      <c r="B14" s="1" t="str">
        <f>VLOOKUP(D14,SAP!G$1:H$169,2)</f>
        <v>Silicon sealant glue nail free</v>
      </c>
      <c r="C14" s="1" t="s">
        <v>137</v>
      </c>
      <c r="D14" s="2" t="s">
        <v>149</v>
      </c>
      <c r="E14" s="1" t="str">
        <f t="shared" si="1"/>
        <v>WHSWPLCS102</v>
      </c>
      <c r="F14" s="3">
        <f>vlookup(E14,SAP!G$1:U$169,13)</f>
        <v>500</v>
      </c>
    </row>
    <row r="15">
      <c r="A15" s="1">
        <v>14.0</v>
      </c>
      <c r="B15" s="1" t="str">
        <f>VLOOKUP(D15,SAP!G$1:H$169,2)</f>
        <v>Charcoal PS-Dark-Wood Grain-PN 03027</v>
      </c>
      <c r="C15" s="1" t="s">
        <v>137</v>
      </c>
      <c r="D15" s="2" t="s">
        <v>150</v>
      </c>
      <c r="E15" s="1" t="str">
        <f t="shared" si="1"/>
        <v>WHSWPLCS076</v>
      </c>
      <c r="F15" s="3">
        <f>vlookup(E15,SAP!G$1:U$169,13)</f>
        <v>1500</v>
      </c>
    </row>
    <row r="16">
      <c r="A16" s="1">
        <v>15.0</v>
      </c>
      <c r="B16" s="1" t="str">
        <f>VLOOKUP(D16,SAP!G$1:H$169,2)</f>
        <v>Charcoal PS-Walnut-Wood Grain-PN 00149</v>
      </c>
      <c r="C16" s="1" t="s">
        <v>137</v>
      </c>
      <c r="D16" s="2" t="s">
        <v>151</v>
      </c>
      <c r="E16" s="1" t="str">
        <f t="shared" si="1"/>
        <v>WHSWPLCS051</v>
      </c>
      <c r="F16" s="3">
        <f>vlookup(E16,SAP!G$1:U$169,13)</f>
        <v>1500</v>
      </c>
    </row>
    <row r="17">
      <c r="A17" s="1">
        <v>16.0</v>
      </c>
      <c r="B17" s="1" t="str">
        <f>VLOOKUP(D17,SAP!G$1:H$169,2)</f>
        <v>Charcoal PS-White-Matte-PN 00155</v>
      </c>
      <c r="C17" s="1" t="s">
        <v>137</v>
      </c>
      <c r="D17" s="2" t="s">
        <v>152</v>
      </c>
      <c r="E17" s="1" t="str">
        <f t="shared" si="1"/>
        <v>WHSWPLCS029</v>
      </c>
      <c r="F17" s="3">
        <f>vlookup(E17,SAP!G$1:U$169,13)</f>
        <v>1500</v>
      </c>
    </row>
    <row r="18">
      <c r="A18" s="1">
        <v>17.0</v>
      </c>
      <c r="B18" s="1" t="str">
        <f>VLOOKUP(D18,SAP!G$1:H$169,2)</f>
        <v>Charcoal PS-Walnut-Wood Grain-PN 02347</v>
      </c>
      <c r="C18" s="1" t="s">
        <v>137</v>
      </c>
      <c r="D18" s="2" t="s">
        <v>153</v>
      </c>
      <c r="E18" s="1" t="str">
        <f t="shared" si="1"/>
        <v>WHSWPLCS036</v>
      </c>
      <c r="F18" s="3">
        <f>vlookup(E18,SAP!G$1:U$169,13)</f>
        <v>2500</v>
      </c>
    </row>
    <row r="19">
      <c r="A19" s="1">
        <v>18.0</v>
      </c>
      <c r="B19" s="4" t="s">
        <v>154</v>
      </c>
      <c r="C19" s="1" t="s">
        <v>137</v>
      </c>
      <c r="D19" s="2" t="s">
        <v>155</v>
      </c>
      <c r="E19" s="1" t="str">
        <f t="shared" si="1"/>
        <v>WHSWPLCPCS118</v>
      </c>
      <c r="F19" s="3">
        <v>7500.0</v>
      </c>
    </row>
    <row r="20">
      <c r="A20" s="1">
        <v>19.0</v>
      </c>
      <c r="B20" s="4" t="s">
        <v>156</v>
      </c>
      <c r="C20" s="1" t="s">
        <v>137</v>
      </c>
      <c r="D20" s="2" t="s">
        <v>157</v>
      </c>
      <c r="E20" s="1" t="str">
        <f t="shared" si="1"/>
        <v>WHSWPLCPCS150</v>
      </c>
      <c r="F20" s="3">
        <v>7500.0</v>
      </c>
    </row>
    <row r="21">
      <c r="A21" s="1">
        <v>20.0</v>
      </c>
      <c r="B21" s="4" t="s">
        <v>158</v>
      </c>
      <c r="C21" s="1" t="s">
        <v>137</v>
      </c>
      <c r="D21" s="2" t="s">
        <v>159</v>
      </c>
      <c r="E21" s="1" t="str">
        <f t="shared" si="1"/>
        <v>WHSWPLCPCS138</v>
      </c>
      <c r="F21" s="3">
        <v>7500.0</v>
      </c>
    </row>
    <row r="22">
      <c r="A22" s="1">
        <v>21.0</v>
      </c>
      <c r="B22" s="4" t="s">
        <v>160</v>
      </c>
      <c r="C22" s="1" t="s">
        <v>137</v>
      </c>
      <c r="D22" s="2" t="s">
        <v>161</v>
      </c>
      <c r="E22" s="1" t="str">
        <f t="shared" si="1"/>
        <v>WHSWPLCPCS132</v>
      </c>
      <c r="F22" s="3">
        <v>7500.0</v>
      </c>
    </row>
    <row r="23">
      <c r="A23" s="1">
        <v>22.0</v>
      </c>
      <c r="B23" s="4" t="s">
        <v>162</v>
      </c>
      <c r="C23" s="1" t="s">
        <v>137</v>
      </c>
      <c r="D23" s="2" t="s">
        <v>163</v>
      </c>
      <c r="E23" s="1" t="str">
        <f t="shared" si="1"/>
        <v>WHSWPLCPCS153</v>
      </c>
      <c r="F23" s="3">
        <v>7500.0</v>
      </c>
    </row>
    <row r="24">
      <c r="A24" s="1">
        <v>23.0</v>
      </c>
      <c r="B24" s="4" t="s">
        <v>164</v>
      </c>
      <c r="C24" s="1" t="s">
        <v>137</v>
      </c>
      <c r="D24" s="2" t="s">
        <v>165</v>
      </c>
      <c r="E24" s="1" t="str">
        <f t="shared" si="1"/>
        <v>WHSWPLCPCS131</v>
      </c>
      <c r="F24" s="1">
        <f t="shared" ref="F24:F27" si="2">7500</f>
        <v>7500</v>
      </c>
    </row>
    <row r="25">
      <c r="A25" s="1">
        <v>24.0</v>
      </c>
      <c r="B25" s="4" t="s">
        <v>166</v>
      </c>
      <c r="C25" s="1" t="s">
        <v>137</v>
      </c>
      <c r="D25" s="2" t="s">
        <v>167</v>
      </c>
      <c r="E25" s="1" t="str">
        <f t="shared" si="1"/>
        <v>WHSWPLCPCS128</v>
      </c>
      <c r="F25" s="1">
        <f t="shared" si="2"/>
        <v>7500</v>
      </c>
    </row>
    <row r="26">
      <c r="A26" s="1">
        <v>25.0</v>
      </c>
      <c r="B26" s="4" t="s">
        <v>168</v>
      </c>
      <c r="C26" s="1" t="s">
        <v>137</v>
      </c>
      <c r="D26" s="2" t="s">
        <v>169</v>
      </c>
      <c r="E26" s="1" t="str">
        <f t="shared" si="1"/>
        <v>WHSWPLCPCS127</v>
      </c>
      <c r="F26" s="1">
        <f t="shared" si="2"/>
        <v>7500</v>
      </c>
    </row>
    <row r="27">
      <c r="A27" s="1">
        <v>26.0</v>
      </c>
      <c r="B27" s="4" t="s">
        <v>170</v>
      </c>
      <c r="C27" s="1" t="s">
        <v>137</v>
      </c>
      <c r="D27" s="2" t="s">
        <v>171</v>
      </c>
      <c r="E27" s="1" t="str">
        <f t="shared" si="1"/>
        <v>WHSWPLCPCS124</v>
      </c>
      <c r="F27" s="1">
        <f t="shared" si="2"/>
        <v>7500</v>
      </c>
    </row>
    <row r="28">
      <c r="A28" s="1">
        <v>27.0</v>
      </c>
      <c r="B28" s="4" t="s">
        <v>172</v>
      </c>
      <c r="C28" s="1" t="s">
        <v>137</v>
      </c>
      <c r="D28" s="2" t="s">
        <v>173</v>
      </c>
      <c r="E28" s="1" t="str">
        <f t="shared" si="1"/>
        <v>WHSWPLCPCS133</v>
      </c>
      <c r="F28" s="3">
        <v>2500.0</v>
      </c>
    </row>
    <row r="29">
      <c r="A29" s="1">
        <v>28.0</v>
      </c>
      <c r="B29" s="4" t="s">
        <v>174</v>
      </c>
      <c r="C29" s="1" t="s">
        <v>137</v>
      </c>
      <c r="D29" s="2" t="s">
        <v>175</v>
      </c>
      <c r="E29" s="1" t="str">
        <f t="shared" si="1"/>
        <v>WHSWPLCPCS130</v>
      </c>
      <c r="F29" s="3">
        <v>2500.0</v>
      </c>
    </row>
    <row r="30">
      <c r="A30" s="1">
        <v>29.0</v>
      </c>
      <c r="B30" s="4" t="s">
        <v>176</v>
      </c>
      <c r="C30" s="1" t="s">
        <v>137</v>
      </c>
      <c r="D30" s="2" t="s">
        <v>177</v>
      </c>
      <c r="E30" s="1" t="str">
        <f t="shared" si="1"/>
        <v>WHSWPLCPCS115</v>
      </c>
      <c r="F30" s="1">
        <f t="shared" ref="F30:F34" si="3">7500</f>
        <v>7500</v>
      </c>
    </row>
    <row r="31">
      <c r="A31" s="1">
        <v>30.0</v>
      </c>
      <c r="B31" s="4" t="s">
        <v>178</v>
      </c>
      <c r="C31" s="1" t="s">
        <v>137</v>
      </c>
      <c r="D31" s="2" t="s">
        <v>179</v>
      </c>
      <c r="E31" s="1" t="str">
        <f t="shared" si="1"/>
        <v>WHSWPLCPCS112</v>
      </c>
      <c r="F31" s="1">
        <f t="shared" si="3"/>
        <v>7500</v>
      </c>
    </row>
    <row r="32">
      <c r="A32" s="1">
        <v>31.0</v>
      </c>
      <c r="B32" s="4" t="s">
        <v>180</v>
      </c>
      <c r="C32" s="1" t="s">
        <v>137</v>
      </c>
      <c r="D32" s="2" t="s">
        <v>181</v>
      </c>
      <c r="E32" s="1" t="str">
        <f t="shared" si="1"/>
        <v>WHSWPLCPCS159</v>
      </c>
      <c r="F32" s="1">
        <f t="shared" si="3"/>
        <v>7500</v>
      </c>
    </row>
    <row r="33">
      <c r="A33" s="1">
        <v>32.0</v>
      </c>
      <c r="B33" s="4" t="s">
        <v>182</v>
      </c>
      <c r="C33" s="1" t="s">
        <v>137</v>
      </c>
      <c r="D33" s="2" t="s">
        <v>183</v>
      </c>
      <c r="E33" s="1" t="str">
        <f t="shared" si="1"/>
        <v>WHSWPLCPCS152</v>
      </c>
      <c r="F33" s="1">
        <f t="shared" si="3"/>
        <v>7500</v>
      </c>
    </row>
    <row r="34">
      <c r="A34" s="1">
        <v>33.0</v>
      </c>
      <c r="B34" s="4" t="s">
        <v>184</v>
      </c>
      <c r="C34" s="1" t="s">
        <v>137</v>
      </c>
      <c r="D34" s="2" t="s">
        <v>185</v>
      </c>
      <c r="E34" s="1" t="str">
        <f t="shared" si="1"/>
        <v>WHSWPLCPCS155</v>
      </c>
      <c r="F34" s="1">
        <f t="shared" si="3"/>
        <v>7500</v>
      </c>
    </row>
    <row r="35">
      <c r="A35" s="1">
        <v>34.0</v>
      </c>
      <c r="B35" s="1" t="s">
        <v>186</v>
      </c>
      <c r="C35" s="1" t="s">
        <v>137</v>
      </c>
      <c r="D35" s="2" t="s">
        <v>187</v>
      </c>
      <c r="E35" s="1" t="str">
        <f t="shared" si="1"/>
        <v>WHSWPLCS006</v>
      </c>
      <c r="F35" s="3">
        <v>1500.0</v>
      </c>
    </row>
    <row r="36">
      <c r="A36" s="1">
        <v>35.0</v>
      </c>
      <c r="B36" s="1" t="str">
        <f>VLOOKUP(D36,SAP!G$1:H$169,2)</f>
        <v>Charcoal PS-Pine-Wood Grain-PN 00147</v>
      </c>
      <c r="C36" s="1" t="s">
        <v>137</v>
      </c>
      <c r="D36" s="2" t="s">
        <v>188</v>
      </c>
      <c r="E36" s="1" t="str">
        <f t="shared" si="1"/>
        <v>WHSWPLCS033</v>
      </c>
      <c r="F36" s="3">
        <f>vlookup(E36,SAP!G$1:U$169,13)</f>
        <v>1500</v>
      </c>
    </row>
    <row r="37">
      <c r="A37" s="1">
        <v>36.0</v>
      </c>
      <c r="B37" s="1" t="str">
        <f>VLOOKUP(D37,SAP!G$1:H$169,2)</f>
        <v>Charcoal PS-Brown-Wood Grain-PN 05755</v>
      </c>
      <c r="C37" s="1" t="s">
        <v>137</v>
      </c>
      <c r="D37" s="2" t="s">
        <v>189</v>
      </c>
      <c r="E37" s="1" t="str">
        <f t="shared" si="1"/>
        <v>WHSWPLCS078</v>
      </c>
      <c r="F37" s="3">
        <f>vlookup(E37,SAP!G$1:U$169,13)</f>
        <v>2500</v>
      </c>
    </row>
    <row r="38">
      <c r="A38" s="1">
        <v>37.0</v>
      </c>
      <c r="B38" s="1" t="str">
        <f>VLOOKUP(D38,SAP!G$1:H$169,2)</f>
        <v>Charcoal PS-Teak-Wood Grain-PN 02343</v>
      </c>
      <c r="C38" s="1" t="s">
        <v>137</v>
      </c>
      <c r="D38" s="2" t="s">
        <v>190</v>
      </c>
      <c r="E38" s="1" t="str">
        <f t="shared" si="1"/>
        <v>WHSWPLCS035</v>
      </c>
      <c r="F38" s="3">
        <f>vlookup(E38,SAP!G$1:U$169,13)</f>
        <v>2500</v>
      </c>
    </row>
    <row r="39">
      <c r="A39" s="1">
        <v>38.0</v>
      </c>
      <c r="B39" s="4" t="s">
        <v>191</v>
      </c>
      <c r="C39" s="1" t="s">
        <v>137</v>
      </c>
      <c r="D39" s="2" t="s">
        <v>192</v>
      </c>
      <c r="E39" s="1" t="str">
        <f t="shared" si="1"/>
        <v>WHSWPLCPCS140</v>
      </c>
      <c r="F39" s="3">
        <v>2500.0</v>
      </c>
    </row>
    <row r="40">
      <c r="A40" s="1">
        <v>39.0</v>
      </c>
      <c r="B40" s="4" t="s">
        <v>193</v>
      </c>
      <c r="C40" s="1" t="s">
        <v>137</v>
      </c>
      <c r="D40" s="2" t="s">
        <v>194</v>
      </c>
      <c r="E40" s="1" t="str">
        <f t="shared" si="1"/>
        <v>WHSWPLCPCS114</v>
      </c>
      <c r="F40" s="3">
        <v>2500.0</v>
      </c>
    </row>
    <row r="41">
      <c r="A41" s="1">
        <v>40.0</v>
      </c>
      <c r="B41" s="4" t="s">
        <v>195</v>
      </c>
      <c r="C41" s="1" t="s">
        <v>137</v>
      </c>
      <c r="D41" s="2" t="s">
        <v>196</v>
      </c>
      <c r="E41" s="1" t="str">
        <f t="shared" si="1"/>
        <v>WHSWPLCPCS154</v>
      </c>
      <c r="F41" s="3">
        <v>2500.0</v>
      </c>
    </row>
    <row r="42">
      <c r="A42" s="1">
        <v>41.0</v>
      </c>
      <c r="B42" s="1" t="str">
        <f>VLOOKUP(D42,SAP!G$1:H$169,2)</f>
        <v>Charcoal PS-Dark-Wood Grain-PN 05484</v>
      </c>
      <c r="C42" s="1" t="s">
        <v>137</v>
      </c>
      <c r="D42" s="2" t="s">
        <v>197</v>
      </c>
      <c r="E42" s="2" t="s">
        <v>197</v>
      </c>
      <c r="F42" s="3">
        <f>vlookup(E42,SAP!G$1:U$169,13)</f>
        <v>1500</v>
      </c>
    </row>
    <row r="43">
      <c r="A43" s="1">
        <v>42.0</v>
      </c>
      <c r="B43" s="1" t="s">
        <v>198</v>
      </c>
      <c r="C43" s="1" t="s">
        <v>137</v>
      </c>
      <c r="D43" s="2" t="s">
        <v>199</v>
      </c>
      <c r="E43" s="5" t="str">
        <f t="shared" ref="E43:E52" si="4">D43</f>
        <v>WHSWPLCS007</v>
      </c>
      <c r="F43" s="3">
        <f>1500</f>
        <v>1500</v>
      </c>
    </row>
    <row r="44">
      <c r="A44" s="1">
        <v>43.0</v>
      </c>
      <c r="B44" s="1" t="str">
        <f>VLOOKUP(D44,SAP!G$1:H$169,2)</f>
        <v>Charcoal PS-Pine-Wood Grain-PN 04073</v>
      </c>
      <c r="C44" s="1" t="s">
        <v>137</v>
      </c>
      <c r="D44" s="2" t="s">
        <v>200</v>
      </c>
      <c r="E44" s="2" t="str">
        <f t="shared" si="4"/>
        <v>WHSWPLCS060</v>
      </c>
      <c r="F44" s="3">
        <f>vlookup(E44,SAP!G$1:U$169,13)</f>
        <v>1500</v>
      </c>
    </row>
    <row r="45">
      <c r="A45" s="1">
        <v>44.0</v>
      </c>
      <c r="B45" s="4" t="s">
        <v>201</v>
      </c>
      <c r="C45" s="1" t="s">
        <v>137</v>
      </c>
      <c r="D45" s="2" t="s">
        <v>202</v>
      </c>
      <c r="E45" s="2" t="str">
        <f t="shared" si="4"/>
        <v>WHSWPLCPCS136</v>
      </c>
      <c r="F45" s="3">
        <v>2500.0</v>
      </c>
    </row>
    <row r="46">
      <c r="A46" s="1">
        <v>45.0</v>
      </c>
      <c r="B46" s="4" t="s">
        <v>203</v>
      </c>
      <c r="C46" s="1" t="s">
        <v>137</v>
      </c>
      <c r="D46" s="2" t="s">
        <v>204</v>
      </c>
      <c r="E46" s="2" t="str">
        <f t="shared" si="4"/>
        <v>WHSWPLCPCS129</v>
      </c>
      <c r="F46" s="3">
        <v>2500.0</v>
      </c>
    </row>
    <row r="47">
      <c r="A47" s="1">
        <v>46.0</v>
      </c>
      <c r="B47" s="1" t="str">
        <f>VLOOKUP(D47,SAP!G$1:H$169,2)</f>
        <v>#N/A</v>
      </c>
      <c r="D47" s="2"/>
      <c r="E47" s="2" t="str">
        <f t="shared" si="4"/>
        <v/>
      </c>
      <c r="F47" s="3" t="str">
        <f>vlookup(E47,SAP!G$1:U$169,13)</f>
        <v>#N/A</v>
      </c>
    </row>
    <row r="48">
      <c r="A48" s="1">
        <v>47.0</v>
      </c>
      <c r="B48" s="1" t="str">
        <f>VLOOKUP(D48,SAP!G$1:H$169,2)</f>
        <v>Charcoal PS-Medium-Wood Grain-PN 03214</v>
      </c>
      <c r="C48" s="1" t="s">
        <v>137</v>
      </c>
      <c r="D48" s="2" t="s">
        <v>205</v>
      </c>
      <c r="E48" s="2" t="str">
        <f t="shared" si="4"/>
        <v>WHSWPLCS063</v>
      </c>
      <c r="F48" s="3">
        <f>vlookup(E48,SAP!G$1:U$169,13)</f>
        <v>1500</v>
      </c>
    </row>
    <row r="49">
      <c r="A49" s="1">
        <v>48.0</v>
      </c>
      <c r="B49" s="1" t="str">
        <f>VLOOKUP(D49,SAP!G$1:H$169,2)</f>
        <v>Silicon sealant glue nail free</v>
      </c>
      <c r="C49" s="1" t="s">
        <v>137</v>
      </c>
      <c r="D49" s="2" t="s">
        <v>206</v>
      </c>
      <c r="E49" s="2" t="str">
        <f t="shared" si="4"/>
        <v>WHSWPLCS088</v>
      </c>
      <c r="F49" s="3">
        <f>vlookup(E49,SAP!G$1:U$169,13)</f>
        <v>500</v>
      </c>
    </row>
    <row r="50">
      <c r="A50" s="1">
        <v>49.0</v>
      </c>
      <c r="B50" s="1" t="s">
        <v>207</v>
      </c>
      <c r="C50" s="1" t="s">
        <v>137</v>
      </c>
      <c r="D50" s="2" t="s">
        <v>208</v>
      </c>
      <c r="E50" s="2" t="str">
        <f t="shared" si="4"/>
        <v>WHSWPLCS009</v>
      </c>
      <c r="F50" s="3">
        <f>2000</f>
        <v>2000</v>
      </c>
    </row>
    <row r="51">
      <c r="A51" s="1">
        <v>50.0</v>
      </c>
      <c r="B51" s="1" t="str">
        <f>VLOOKUP(D51,SAP!G$1:H$169,2)</f>
        <v>Charcoal PS-Medium-Wood Grain-PN 05514</v>
      </c>
      <c r="C51" s="1" t="s">
        <v>137</v>
      </c>
      <c r="D51" s="2" t="s">
        <v>209</v>
      </c>
      <c r="E51" s="2" t="str">
        <f t="shared" si="4"/>
        <v>WHSWPLCS030</v>
      </c>
      <c r="F51" s="3">
        <f>vlookup(E51,SAP!G$1:U$169,13)</f>
        <v>1500</v>
      </c>
    </row>
    <row r="52">
      <c r="A52" s="1">
        <v>51.0</v>
      </c>
      <c r="B52" s="1" t="s">
        <v>210</v>
      </c>
      <c r="C52" s="1" t="s">
        <v>137</v>
      </c>
      <c r="D52" s="2" t="s">
        <v>211</v>
      </c>
      <c r="E52" s="2" t="str">
        <f t="shared" si="4"/>
        <v>WHSWGLSS168</v>
      </c>
      <c r="F52" s="1">
        <v>500.0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0.5"/>
    <col customWidth="1" min="3" max="3" width="17.0"/>
    <col customWidth="1" min="4" max="4" width="14.75"/>
  </cols>
  <sheetData>
    <row r="1">
      <c r="A1" s="1" t="s">
        <v>131</v>
      </c>
      <c r="B1" s="1" t="s">
        <v>2</v>
      </c>
      <c r="C1" s="1" t="s">
        <v>134</v>
      </c>
      <c r="D1" s="6" t="s">
        <v>212</v>
      </c>
      <c r="E1" s="7" t="s">
        <v>213</v>
      </c>
      <c r="F1" s="1" t="s">
        <v>214</v>
      </c>
    </row>
    <row r="2">
      <c r="B2" s="2" t="s">
        <v>11</v>
      </c>
      <c r="C2" s="5" t="s">
        <v>215</v>
      </c>
      <c r="D2" s="8">
        <v>6167.0</v>
      </c>
      <c r="E2" s="7">
        <v>0.0</v>
      </c>
      <c r="F2" s="2">
        <f>VLOOKUP(C2, Material!$D$2:$F$52, 3, FALSE)</f>
        <v>2500</v>
      </c>
    </row>
    <row r="3">
      <c r="B3" s="2" t="s">
        <v>14</v>
      </c>
      <c r="C3" s="5" t="s">
        <v>138</v>
      </c>
      <c r="D3" s="8">
        <v>3221.0</v>
      </c>
      <c r="E3" s="7">
        <v>0.0</v>
      </c>
      <c r="F3" s="2">
        <f>VLOOKUP(C3, Material!$D$2:$F$52, 3, FALSE)</f>
        <v>1500</v>
      </c>
    </row>
    <row r="4">
      <c r="B4" s="2" t="s">
        <v>15</v>
      </c>
      <c r="C4" s="5" t="s">
        <v>139</v>
      </c>
      <c r="D4" s="8">
        <v>6277.0</v>
      </c>
      <c r="E4" s="7">
        <v>0.0</v>
      </c>
      <c r="F4" s="2">
        <f>VLOOKUP(C4, Material!$D$2:$F$52, 3, FALSE)</f>
        <v>500</v>
      </c>
    </row>
    <row r="5">
      <c r="B5" s="2" t="s">
        <v>16</v>
      </c>
      <c r="C5" s="5" t="s">
        <v>140</v>
      </c>
      <c r="D5" s="8">
        <v>3399.0</v>
      </c>
      <c r="E5" s="7">
        <v>0.0</v>
      </c>
      <c r="F5" s="2">
        <f>VLOOKUP(C5, Material!$D$2:$F$52, 3, FALSE)</f>
        <v>2000</v>
      </c>
    </row>
    <row r="6">
      <c r="B6" s="2" t="s">
        <v>17</v>
      </c>
      <c r="C6" s="5" t="s">
        <v>215</v>
      </c>
      <c r="D6" s="8">
        <v>6167.0</v>
      </c>
      <c r="E6" s="7">
        <v>5.0</v>
      </c>
      <c r="F6" s="2">
        <f>VLOOKUP(C6, Material!$D$2:$F$52, 3, FALSE)</f>
        <v>2500</v>
      </c>
    </row>
    <row r="7">
      <c r="B7" s="2" t="s">
        <v>17</v>
      </c>
      <c r="C7" s="5" t="s">
        <v>141</v>
      </c>
      <c r="D7" s="6" t="s">
        <v>216</v>
      </c>
      <c r="E7" s="7">
        <v>1.0</v>
      </c>
      <c r="F7" s="2">
        <f>VLOOKUP(C7, Material!$D$2:$F$52, 3, FALSE)</f>
        <v>1000</v>
      </c>
    </row>
    <row r="8">
      <c r="B8" s="2" t="s">
        <v>17</v>
      </c>
      <c r="C8" s="5" t="s">
        <v>142</v>
      </c>
      <c r="D8" s="6" t="s">
        <v>217</v>
      </c>
      <c r="E8" s="7">
        <v>1.0</v>
      </c>
      <c r="F8" s="2">
        <f>VLOOKUP(C8, Material!$D$2:$F$52, 3, FALSE)</f>
        <v>500</v>
      </c>
    </row>
    <row r="9">
      <c r="B9" s="2" t="s">
        <v>17</v>
      </c>
      <c r="C9" s="5" t="s">
        <v>143</v>
      </c>
      <c r="D9" s="6" t="s">
        <v>218</v>
      </c>
      <c r="E9" s="7">
        <v>1.0</v>
      </c>
      <c r="F9" s="2">
        <f>VLOOKUP(C9, Material!$D$2:$F$52, 3, FALSE)</f>
        <v>500</v>
      </c>
    </row>
    <row r="10">
      <c r="B10" s="2" t="s">
        <v>18</v>
      </c>
      <c r="C10" s="5" t="s">
        <v>144</v>
      </c>
      <c r="D10" s="8">
        <v>2746.0</v>
      </c>
      <c r="E10" s="7">
        <v>5.0</v>
      </c>
      <c r="F10" s="2">
        <f>VLOOKUP(C10, Material!$D$2:$F$52, 3, FALSE)</f>
        <v>2000</v>
      </c>
    </row>
    <row r="11">
      <c r="B11" s="2" t="s">
        <v>18</v>
      </c>
      <c r="C11" s="5" t="s">
        <v>141</v>
      </c>
      <c r="D11" s="6" t="s">
        <v>216</v>
      </c>
      <c r="E11" s="7">
        <v>1.0</v>
      </c>
      <c r="F11" s="2">
        <f>VLOOKUP(C11, Material!$D$2:$F$52, 3, FALSE)</f>
        <v>1000</v>
      </c>
    </row>
    <row r="12">
      <c r="B12" s="2" t="s">
        <v>18</v>
      </c>
      <c r="C12" s="5" t="s">
        <v>142</v>
      </c>
      <c r="D12" s="6" t="s">
        <v>217</v>
      </c>
      <c r="E12" s="7">
        <v>1.0</v>
      </c>
      <c r="F12" s="2">
        <f>VLOOKUP(C12, Material!$D$2:$F$52, 3, FALSE)</f>
        <v>500</v>
      </c>
    </row>
    <row r="13">
      <c r="B13" s="2" t="s">
        <v>18</v>
      </c>
      <c r="C13" s="5" t="s">
        <v>143</v>
      </c>
      <c r="D13" s="6" t="s">
        <v>218</v>
      </c>
      <c r="E13" s="7">
        <v>1.0</v>
      </c>
      <c r="F13" s="2">
        <f>VLOOKUP(C13, Material!$D$2:$F$52, 3, FALSE)</f>
        <v>500</v>
      </c>
    </row>
    <row r="14">
      <c r="B14" s="2" t="s">
        <v>19</v>
      </c>
      <c r="C14" s="5" t="s">
        <v>145</v>
      </c>
      <c r="D14" s="8">
        <v>3223.0</v>
      </c>
      <c r="E14" s="7">
        <v>10.0</v>
      </c>
      <c r="F14" s="2">
        <f>VLOOKUP(C14, Material!$D$2:$F$52, 3, FALSE)</f>
        <v>1500</v>
      </c>
    </row>
    <row r="15">
      <c r="B15" s="2" t="s">
        <v>19</v>
      </c>
      <c r="C15" s="5" t="s">
        <v>141</v>
      </c>
      <c r="D15" s="6" t="s">
        <v>216</v>
      </c>
      <c r="E15" s="7">
        <v>1.0</v>
      </c>
      <c r="F15" s="2">
        <f>VLOOKUP(C15, Material!$D$2:$F$52, 3, FALSE)</f>
        <v>1000</v>
      </c>
    </row>
    <row r="16">
      <c r="B16" s="2" t="s">
        <v>19</v>
      </c>
      <c r="C16" s="5" t="s">
        <v>142</v>
      </c>
      <c r="D16" s="6" t="s">
        <v>217</v>
      </c>
      <c r="E16" s="7">
        <v>1.0</v>
      </c>
      <c r="F16" s="2">
        <f>VLOOKUP(C16, Material!$D$2:$F$52, 3, FALSE)</f>
        <v>500</v>
      </c>
    </row>
    <row r="17">
      <c r="B17" s="2" t="s">
        <v>19</v>
      </c>
      <c r="C17" s="5" t="s">
        <v>143</v>
      </c>
      <c r="D17" s="6" t="s">
        <v>218</v>
      </c>
      <c r="E17" s="7">
        <v>1.0</v>
      </c>
      <c r="F17" s="2">
        <f>VLOOKUP(C17, Material!$D$2:$F$52, 3, FALSE)</f>
        <v>500</v>
      </c>
    </row>
    <row r="18">
      <c r="B18" s="2" t="s">
        <v>20</v>
      </c>
      <c r="C18" s="5" t="s">
        <v>146</v>
      </c>
      <c r="D18" s="8">
        <v>5656.0</v>
      </c>
      <c r="E18" s="7">
        <v>10.0</v>
      </c>
      <c r="F18" s="2">
        <f>VLOOKUP(C18, Material!$D$2:$F$52, 3, FALSE)</f>
        <v>2000</v>
      </c>
    </row>
    <row r="19">
      <c r="B19" s="2" t="s">
        <v>20</v>
      </c>
      <c r="C19" s="5" t="s">
        <v>141</v>
      </c>
      <c r="D19" s="6" t="s">
        <v>216</v>
      </c>
      <c r="E19" s="7">
        <v>1.0</v>
      </c>
      <c r="F19" s="2">
        <f>VLOOKUP(C19, Material!$D$2:$F$52, 3, FALSE)</f>
        <v>1000</v>
      </c>
    </row>
    <row r="20">
      <c r="B20" s="2" t="s">
        <v>20</v>
      </c>
      <c r="C20" s="5" t="s">
        <v>142</v>
      </c>
      <c r="D20" s="6" t="s">
        <v>217</v>
      </c>
      <c r="E20" s="7">
        <v>1.0</v>
      </c>
      <c r="F20" s="2">
        <f>VLOOKUP(C20, Material!$D$2:$F$52, 3, FALSE)</f>
        <v>500</v>
      </c>
    </row>
    <row r="21">
      <c r="B21" s="2" t="s">
        <v>20</v>
      </c>
      <c r="C21" s="5" t="s">
        <v>143</v>
      </c>
      <c r="D21" s="6" t="s">
        <v>218</v>
      </c>
      <c r="E21" s="7">
        <v>1.0</v>
      </c>
      <c r="F21" s="2">
        <f>VLOOKUP(C21, Material!$D$2:$F$52, 3, FALSE)</f>
        <v>500</v>
      </c>
    </row>
    <row r="22">
      <c r="B22" s="2" t="s">
        <v>21</v>
      </c>
      <c r="C22" s="5" t="s">
        <v>147</v>
      </c>
      <c r="D22" s="8">
        <v>3889.0</v>
      </c>
      <c r="E22" s="7">
        <v>20.0</v>
      </c>
      <c r="F22" s="2">
        <f>VLOOKUP(C22, Material!$D$2:$F$52, 3, FALSE)</f>
        <v>500</v>
      </c>
    </row>
    <row r="23">
      <c r="B23" s="2" t="s">
        <v>22</v>
      </c>
      <c r="C23" s="5" t="s">
        <v>138</v>
      </c>
      <c r="D23" s="8">
        <v>3221.0</v>
      </c>
      <c r="E23" s="7">
        <v>20.0</v>
      </c>
      <c r="F23" s="2">
        <f>VLOOKUP(C23, Material!$D$2:$F$52, 3, FALSE)</f>
        <v>1500</v>
      </c>
    </row>
    <row r="24">
      <c r="B24" s="2" t="s">
        <v>23</v>
      </c>
      <c r="C24" s="5" t="s">
        <v>148</v>
      </c>
      <c r="D24" s="8">
        <v>545.0</v>
      </c>
      <c r="E24" s="7">
        <v>20.0</v>
      </c>
      <c r="F24" s="2">
        <f>VLOOKUP(C24, Material!$D$2:$F$52, 3, FALSE)</f>
        <v>2000</v>
      </c>
    </row>
    <row r="25">
      <c r="B25" s="2" t="s">
        <v>23</v>
      </c>
      <c r="C25" s="5" t="s">
        <v>141</v>
      </c>
      <c r="D25" s="6" t="s">
        <v>216</v>
      </c>
      <c r="E25" s="7">
        <v>1.0</v>
      </c>
      <c r="F25" s="2">
        <f>VLOOKUP(C25, Material!$D$2:$F$52, 3, FALSE)</f>
        <v>1000</v>
      </c>
    </row>
    <row r="26">
      <c r="B26" s="2" t="s">
        <v>23</v>
      </c>
      <c r="C26" s="5" t="s">
        <v>142</v>
      </c>
      <c r="D26" s="6" t="s">
        <v>217</v>
      </c>
      <c r="E26" s="7">
        <v>1.0</v>
      </c>
      <c r="F26" s="2">
        <f>VLOOKUP(C26, Material!$D$2:$F$52, 3, FALSE)</f>
        <v>500</v>
      </c>
    </row>
    <row r="27">
      <c r="B27" s="2" t="s">
        <v>23</v>
      </c>
      <c r="C27" s="5" t="s">
        <v>143</v>
      </c>
      <c r="D27" s="6" t="s">
        <v>218</v>
      </c>
      <c r="E27" s="7">
        <v>1.0</v>
      </c>
      <c r="F27" s="2">
        <f>VLOOKUP(C27, Material!$D$2:$F$52, 3, FALSE)</f>
        <v>500</v>
      </c>
    </row>
    <row r="28">
      <c r="B28" s="2" t="s">
        <v>24</v>
      </c>
      <c r="C28" s="5" t="s">
        <v>149</v>
      </c>
      <c r="D28" s="8">
        <v>5667.0</v>
      </c>
      <c r="E28" s="7">
        <v>20.0</v>
      </c>
      <c r="F28" s="2">
        <f>VLOOKUP(C28, Material!$D$2:$F$52, 3, FALSE)</f>
        <v>500</v>
      </c>
    </row>
    <row r="29">
      <c r="B29" s="2" t="s">
        <v>24</v>
      </c>
      <c r="C29" s="5" t="s">
        <v>141</v>
      </c>
      <c r="D29" s="6" t="s">
        <v>216</v>
      </c>
      <c r="E29" s="7">
        <v>1.0</v>
      </c>
      <c r="F29" s="2">
        <f>VLOOKUP(C29, Material!$D$2:$F$52, 3, FALSE)</f>
        <v>1000</v>
      </c>
    </row>
    <row r="30">
      <c r="B30" s="2" t="s">
        <v>24</v>
      </c>
      <c r="C30" s="5" t="s">
        <v>142</v>
      </c>
      <c r="D30" s="6" t="s">
        <v>217</v>
      </c>
      <c r="E30" s="7">
        <v>1.0</v>
      </c>
      <c r="F30" s="2">
        <f>VLOOKUP(C30, Material!$D$2:$F$52, 3, FALSE)</f>
        <v>500</v>
      </c>
    </row>
    <row r="31">
      <c r="B31" s="2" t="s">
        <v>24</v>
      </c>
      <c r="C31" s="5" t="s">
        <v>143</v>
      </c>
      <c r="D31" s="6" t="s">
        <v>218</v>
      </c>
      <c r="E31" s="7">
        <v>1.0</v>
      </c>
      <c r="F31" s="2">
        <f>VLOOKUP(C31, Material!$D$2:$F$52, 3, FALSE)</f>
        <v>500</v>
      </c>
    </row>
    <row r="32">
      <c r="B32" s="2" t="s">
        <v>25</v>
      </c>
      <c r="C32" s="5" t="s">
        <v>150</v>
      </c>
      <c r="D32" s="8">
        <v>3027.0</v>
      </c>
      <c r="E32" s="7">
        <v>20.0</v>
      </c>
      <c r="F32" s="2">
        <f>VLOOKUP(C32, Material!$D$2:$F$52, 3, FALSE)</f>
        <v>1500</v>
      </c>
    </row>
    <row r="33">
      <c r="B33" s="2" t="s">
        <v>26</v>
      </c>
      <c r="C33" s="5" t="s">
        <v>151</v>
      </c>
      <c r="D33" s="8">
        <v>149.0</v>
      </c>
      <c r="E33" s="7">
        <v>20.0</v>
      </c>
      <c r="F33" s="2">
        <f>VLOOKUP(C33, Material!$D$2:$F$52, 3, FALSE)</f>
        <v>1500</v>
      </c>
    </row>
    <row r="34">
      <c r="B34" s="2" t="s">
        <v>27</v>
      </c>
      <c r="C34" s="5" t="s">
        <v>152</v>
      </c>
      <c r="D34" s="8">
        <v>155.0</v>
      </c>
      <c r="E34" s="7">
        <v>14.0</v>
      </c>
      <c r="F34" s="1">
        <v>1500.0</v>
      </c>
    </row>
    <row r="35">
      <c r="B35" s="2" t="s">
        <v>27</v>
      </c>
      <c r="C35" s="5" t="s">
        <v>141</v>
      </c>
      <c r="D35" s="6" t="s">
        <v>216</v>
      </c>
      <c r="E35" s="7">
        <v>2.0</v>
      </c>
      <c r="F35" s="2">
        <f>VLOOKUP(C35, Material!$D$2:$F$52, 3, FALSE)</f>
        <v>1000</v>
      </c>
    </row>
    <row r="36">
      <c r="B36" s="2" t="s">
        <v>27</v>
      </c>
      <c r="C36" s="5" t="s">
        <v>142</v>
      </c>
      <c r="D36" s="6" t="s">
        <v>217</v>
      </c>
      <c r="E36" s="7">
        <v>2.0</v>
      </c>
      <c r="F36" s="2">
        <f>VLOOKUP(C36, Material!$D$2:$F$52, 3, FALSE)</f>
        <v>500</v>
      </c>
    </row>
    <row r="37">
      <c r="B37" s="2" t="s">
        <v>27</v>
      </c>
      <c r="C37" s="5" t="s">
        <v>143</v>
      </c>
      <c r="D37" s="6" t="s">
        <v>218</v>
      </c>
      <c r="E37" s="7">
        <v>2.0</v>
      </c>
      <c r="F37" s="2">
        <f>VLOOKUP(C37, Material!$D$2:$F$52, 3, FALSE)</f>
        <v>500</v>
      </c>
    </row>
    <row r="38">
      <c r="B38" s="2" t="s">
        <v>28</v>
      </c>
      <c r="C38" s="5" t="s">
        <v>151</v>
      </c>
      <c r="D38" s="8">
        <v>149.0</v>
      </c>
      <c r="E38" s="7">
        <v>14.0</v>
      </c>
      <c r="F38" s="1">
        <v>1500.0</v>
      </c>
    </row>
    <row r="39">
      <c r="B39" s="2" t="s">
        <v>28</v>
      </c>
      <c r="C39" s="5" t="s">
        <v>141</v>
      </c>
      <c r="D39" s="6" t="s">
        <v>216</v>
      </c>
      <c r="E39" s="7">
        <v>2.0</v>
      </c>
      <c r="F39" s="2">
        <f>VLOOKUP(C39, Material!$D$2:$F$52, 3, FALSE)</f>
        <v>1000</v>
      </c>
    </row>
    <row r="40">
      <c r="B40" s="2" t="s">
        <v>28</v>
      </c>
      <c r="C40" s="5" t="s">
        <v>142</v>
      </c>
      <c r="D40" s="6" t="s">
        <v>217</v>
      </c>
      <c r="E40" s="7">
        <v>2.0</v>
      </c>
      <c r="F40" s="2">
        <f>VLOOKUP(C40, Material!$D$2:$F$52, 3, FALSE)</f>
        <v>500</v>
      </c>
    </row>
    <row r="41">
      <c r="B41" s="2" t="s">
        <v>28</v>
      </c>
      <c r="C41" s="5" t="s">
        <v>143</v>
      </c>
      <c r="D41" s="6" t="s">
        <v>218</v>
      </c>
      <c r="E41" s="7">
        <v>2.0</v>
      </c>
      <c r="F41" s="2">
        <f>VLOOKUP(C41, Material!$D$2:$F$52, 3, FALSE)</f>
        <v>500</v>
      </c>
    </row>
    <row r="42">
      <c r="B42" s="2" t="s">
        <v>29</v>
      </c>
      <c r="C42" s="5" t="s">
        <v>149</v>
      </c>
      <c r="D42" s="8">
        <v>5667.0</v>
      </c>
      <c r="E42" s="7">
        <v>12.0</v>
      </c>
      <c r="F42" s="2">
        <f>VLOOKUP(C42, Material!$D$2:$F$52, 3, FALSE)</f>
        <v>500</v>
      </c>
    </row>
    <row r="43">
      <c r="B43" s="2" t="s">
        <v>29</v>
      </c>
      <c r="C43" s="5" t="s">
        <v>141</v>
      </c>
      <c r="D43" s="6" t="s">
        <v>216</v>
      </c>
      <c r="E43" s="7">
        <v>2.0</v>
      </c>
      <c r="F43" s="2">
        <f>VLOOKUP(C43, Material!$D$2:$F$52, 3, FALSE)</f>
        <v>1000</v>
      </c>
    </row>
    <row r="44">
      <c r="B44" s="2" t="s">
        <v>29</v>
      </c>
      <c r="C44" s="5" t="s">
        <v>142</v>
      </c>
      <c r="D44" s="6" t="s">
        <v>217</v>
      </c>
      <c r="E44" s="7">
        <v>2.0</v>
      </c>
      <c r="F44" s="2">
        <f>VLOOKUP(C44, Material!$D$2:$F$52, 3, FALSE)</f>
        <v>500</v>
      </c>
    </row>
    <row r="45">
      <c r="B45" s="2" t="s">
        <v>29</v>
      </c>
      <c r="C45" s="5" t="s">
        <v>143</v>
      </c>
      <c r="D45" s="6" t="s">
        <v>218</v>
      </c>
      <c r="E45" s="7">
        <v>2.0</v>
      </c>
      <c r="F45" s="2">
        <f>VLOOKUP(C45, Material!$D$2:$F$52, 3, FALSE)</f>
        <v>500</v>
      </c>
    </row>
    <row r="46">
      <c r="B46" s="2" t="s">
        <v>31</v>
      </c>
      <c r="C46" s="5" t="s">
        <v>153</v>
      </c>
      <c r="D46" s="8">
        <v>2347.0</v>
      </c>
      <c r="E46" s="7">
        <v>15.0</v>
      </c>
      <c r="F46" s="2">
        <f>VLOOKUP(C46, Material!$D$2:$F$52, 3, FALSE)</f>
        <v>2500</v>
      </c>
    </row>
    <row r="47">
      <c r="B47" s="2" t="s">
        <v>33</v>
      </c>
      <c r="C47" s="5" t="s">
        <v>155</v>
      </c>
      <c r="D47" s="8">
        <v>2308.0</v>
      </c>
      <c r="E47" s="7">
        <v>3.0</v>
      </c>
      <c r="F47" s="2">
        <f>VLOOKUP(C47, Material!$D$2:$F$52, 3, FALSE)</f>
        <v>7500</v>
      </c>
    </row>
    <row r="48">
      <c r="B48" s="2" t="s">
        <v>33</v>
      </c>
      <c r="C48" s="5" t="s">
        <v>141</v>
      </c>
      <c r="D48" s="6" t="s">
        <v>216</v>
      </c>
      <c r="E48" s="7">
        <v>1.0</v>
      </c>
      <c r="F48" s="2">
        <f>VLOOKUP(C48, Material!$D$2:$F$52, 3, FALSE)</f>
        <v>1000</v>
      </c>
    </row>
    <row r="49">
      <c r="B49" s="2" t="s">
        <v>33</v>
      </c>
      <c r="C49" s="5" t="s">
        <v>142</v>
      </c>
      <c r="D49" s="6" t="s">
        <v>217</v>
      </c>
      <c r="E49" s="7">
        <v>1.0</v>
      </c>
      <c r="F49" s="2">
        <f>VLOOKUP(C49, Material!$D$2:$F$52, 3, FALSE)</f>
        <v>500</v>
      </c>
    </row>
    <row r="50">
      <c r="B50" s="2" t="s">
        <v>33</v>
      </c>
      <c r="C50" s="5" t="s">
        <v>143</v>
      </c>
      <c r="D50" s="6" t="s">
        <v>218</v>
      </c>
      <c r="E50" s="7">
        <v>1.0</v>
      </c>
      <c r="F50" s="2">
        <f>VLOOKUP(C50, Material!$D$2:$F$52, 3, FALSE)</f>
        <v>500</v>
      </c>
    </row>
    <row r="51">
      <c r="B51" s="2" t="s">
        <v>35</v>
      </c>
      <c r="C51" s="5" t="s">
        <v>157</v>
      </c>
      <c r="D51" s="8">
        <v>2327.0</v>
      </c>
      <c r="E51" s="7">
        <v>3.0</v>
      </c>
      <c r="F51" s="2">
        <f>VLOOKUP(C51, Material!$D$2:$F$52, 3, FALSE)</f>
        <v>7500</v>
      </c>
    </row>
    <row r="52">
      <c r="B52" s="2" t="s">
        <v>35</v>
      </c>
      <c r="C52" s="5" t="s">
        <v>141</v>
      </c>
      <c r="D52" s="6" t="s">
        <v>216</v>
      </c>
      <c r="E52" s="7">
        <v>1.0</v>
      </c>
      <c r="F52" s="2">
        <f>VLOOKUP(C52, Material!$D$2:$F$52, 3, FALSE)</f>
        <v>1000</v>
      </c>
    </row>
    <row r="53">
      <c r="B53" s="2" t="s">
        <v>35</v>
      </c>
      <c r="C53" s="5" t="s">
        <v>142</v>
      </c>
      <c r="D53" s="6" t="s">
        <v>217</v>
      </c>
      <c r="E53" s="7">
        <v>1.0</v>
      </c>
      <c r="F53" s="2">
        <f>VLOOKUP(C53, Material!$D$2:$F$52, 3, FALSE)</f>
        <v>500</v>
      </c>
    </row>
    <row r="54">
      <c r="B54" s="2" t="s">
        <v>35</v>
      </c>
      <c r="C54" s="5" t="s">
        <v>143</v>
      </c>
      <c r="D54" s="6" t="s">
        <v>218</v>
      </c>
      <c r="E54" s="7">
        <v>1.0</v>
      </c>
      <c r="F54" s="2">
        <f>VLOOKUP(C54, Material!$D$2:$F$52, 3, FALSE)</f>
        <v>500</v>
      </c>
    </row>
    <row r="55">
      <c r="B55" s="2" t="s">
        <v>37</v>
      </c>
      <c r="C55" s="5" t="s">
        <v>159</v>
      </c>
      <c r="D55" s="8">
        <v>2314.0</v>
      </c>
      <c r="E55" s="7">
        <v>12.0</v>
      </c>
      <c r="F55" s="2">
        <f>VLOOKUP(C55, Material!$D$2:$F$52, 3, FALSE)</f>
        <v>7500</v>
      </c>
    </row>
    <row r="56">
      <c r="B56" s="2" t="s">
        <v>42</v>
      </c>
      <c r="C56" s="5" t="s">
        <v>161</v>
      </c>
      <c r="D56" s="9">
        <v>2307.0</v>
      </c>
      <c r="E56" s="7">
        <v>4.0</v>
      </c>
      <c r="F56" s="2">
        <f>VLOOKUP(C56, Material!$D$2:$F$52, 3, FALSE)</f>
        <v>7500</v>
      </c>
    </row>
    <row r="57">
      <c r="B57" s="2" t="s">
        <v>42</v>
      </c>
      <c r="C57" s="5" t="s">
        <v>141</v>
      </c>
      <c r="D57" s="6" t="s">
        <v>216</v>
      </c>
      <c r="E57" s="7">
        <v>2.0</v>
      </c>
      <c r="F57" s="2">
        <f>VLOOKUP(C57, Material!$D$2:$F$52, 3, FALSE)</f>
        <v>1000</v>
      </c>
    </row>
    <row r="58">
      <c r="B58" s="2" t="s">
        <v>42</v>
      </c>
      <c r="C58" s="5" t="s">
        <v>143</v>
      </c>
      <c r="D58" s="6" t="s">
        <v>218</v>
      </c>
      <c r="E58" s="7">
        <v>1.0</v>
      </c>
      <c r="F58" s="2">
        <f>VLOOKUP(C58, Material!$D$2:$F$52, 3, FALSE)</f>
        <v>500</v>
      </c>
    </row>
    <row r="59">
      <c r="B59" s="2" t="s">
        <v>43</v>
      </c>
      <c r="C59" s="5" t="s">
        <v>161</v>
      </c>
      <c r="D59" s="9">
        <v>2307.0</v>
      </c>
      <c r="E59" s="7">
        <v>18.0</v>
      </c>
      <c r="F59" s="2">
        <f>VLOOKUP(C59, Material!$D$2:$F$52, 3, FALSE)</f>
        <v>7500</v>
      </c>
    </row>
    <row r="60">
      <c r="B60" s="2" t="s">
        <v>44</v>
      </c>
      <c r="C60" s="5" t="s">
        <v>163</v>
      </c>
      <c r="D60" s="8">
        <v>2313.0</v>
      </c>
      <c r="E60" s="7">
        <v>18.0</v>
      </c>
      <c r="F60" s="2">
        <f>VLOOKUP(C60, Material!$D$2:$F$52, 3, FALSE)</f>
        <v>7500</v>
      </c>
    </row>
    <row r="61">
      <c r="B61" s="2" t="s">
        <v>45</v>
      </c>
      <c r="C61" s="5" t="s">
        <v>165</v>
      </c>
      <c r="D61" s="8">
        <v>2305.0</v>
      </c>
      <c r="E61" s="7">
        <v>0.0</v>
      </c>
      <c r="F61" s="2">
        <f>VLOOKUP(C61, Material!$D$2:$F$52, 3, FALSE)</f>
        <v>7500</v>
      </c>
    </row>
    <row r="62">
      <c r="B62" s="2" t="s">
        <v>46</v>
      </c>
      <c r="C62" s="5" t="s">
        <v>167</v>
      </c>
      <c r="D62" s="8">
        <v>2324.0</v>
      </c>
      <c r="E62" s="7">
        <v>0.0</v>
      </c>
      <c r="F62" s="2">
        <f>VLOOKUP(C62, Material!$D$2:$F$52, 3, FALSE)</f>
        <v>7500</v>
      </c>
    </row>
    <row r="63">
      <c r="B63" s="2" t="s">
        <v>47</v>
      </c>
      <c r="C63" s="5" t="s">
        <v>169</v>
      </c>
      <c r="D63" s="8">
        <v>2328.0</v>
      </c>
      <c r="E63" s="7">
        <v>0.0</v>
      </c>
      <c r="F63" s="2">
        <f>VLOOKUP(C63, Material!$D$2:$F$52, 3, FALSE)</f>
        <v>7500</v>
      </c>
    </row>
    <row r="64">
      <c r="B64" s="2" t="s">
        <v>48</v>
      </c>
      <c r="C64" s="5" t="s">
        <v>167</v>
      </c>
      <c r="D64" s="8">
        <v>2324.0</v>
      </c>
      <c r="E64" s="7">
        <v>0.0</v>
      </c>
      <c r="F64" s="2">
        <f>VLOOKUP(C64, Material!$D$2:$F$52, 3, FALSE)</f>
        <v>7500</v>
      </c>
    </row>
    <row r="65">
      <c r="B65" s="2" t="s">
        <v>49</v>
      </c>
      <c r="C65" s="5" t="s">
        <v>165</v>
      </c>
      <c r="D65" s="8">
        <v>2305.0</v>
      </c>
      <c r="E65" s="7">
        <v>0.0</v>
      </c>
      <c r="F65" s="2">
        <f>VLOOKUP(C65, Material!$D$2:$F$52, 3, FALSE)</f>
        <v>7500</v>
      </c>
    </row>
    <row r="66">
      <c r="B66" s="2" t="s">
        <v>50</v>
      </c>
      <c r="C66" s="5" t="s">
        <v>165</v>
      </c>
      <c r="D66" s="8">
        <v>2305.0</v>
      </c>
      <c r="E66" s="7">
        <v>0.0</v>
      </c>
      <c r="F66" s="2">
        <f>VLOOKUP(C66, Material!$D$2:$F$52, 3, FALSE)</f>
        <v>7500</v>
      </c>
    </row>
    <row r="67">
      <c r="B67" s="2" t="s">
        <v>51</v>
      </c>
      <c r="C67" s="5" t="s">
        <v>167</v>
      </c>
      <c r="D67" s="8">
        <v>2324.0</v>
      </c>
      <c r="E67" s="7">
        <v>0.0</v>
      </c>
      <c r="F67" s="2">
        <f>VLOOKUP(C67, Material!$D$2:$F$52, 3, FALSE)</f>
        <v>7500</v>
      </c>
    </row>
    <row r="68">
      <c r="B68" s="2" t="s">
        <v>52</v>
      </c>
      <c r="C68" s="5" t="s">
        <v>159</v>
      </c>
      <c r="D68" s="8">
        <v>2314.0</v>
      </c>
      <c r="E68" s="7">
        <v>0.0</v>
      </c>
      <c r="F68" s="2">
        <f>VLOOKUP(C68, Material!$D$2:$F$52, 3, FALSE)</f>
        <v>7500</v>
      </c>
    </row>
    <row r="69">
      <c r="B69" s="2" t="s">
        <v>53</v>
      </c>
      <c r="C69" s="5" t="s">
        <v>163</v>
      </c>
      <c r="D69" s="8">
        <v>2313.0</v>
      </c>
      <c r="E69" s="7">
        <v>0.0</v>
      </c>
      <c r="F69" s="2">
        <f>VLOOKUP(C69, Material!$D$2:$F$52, 3, FALSE)</f>
        <v>7500</v>
      </c>
    </row>
    <row r="70">
      <c r="B70" s="2" t="s">
        <v>54</v>
      </c>
      <c r="C70" s="5" t="s">
        <v>163</v>
      </c>
      <c r="D70" s="8">
        <v>2313.0</v>
      </c>
      <c r="E70" s="7">
        <v>0.0</v>
      </c>
      <c r="F70" s="2">
        <f>VLOOKUP(C70, Material!$D$2:$F$52, 3, FALSE)</f>
        <v>7500</v>
      </c>
    </row>
    <row r="71">
      <c r="B71" s="2" t="s">
        <v>55</v>
      </c>
      <c r="C71" s="5" t="s">
        <v>163</v>
      </c>
      <c r="D71" s="8">
        <v>2313.0</v>
      </c>
      <c r="E71" s="7">
        <v>0.0</v>
      </c>
      <c r="F71" s="2">
        <f>VLOOKUP(C71, Material!$D$2:$F$52, 3, FALSE)</f>
        <v>7500</v>
      </c>
    </row>
    <row r="72">
      <c r="B72" s="2" t="s">
        <v>56</v>
      </c>
      <c r="C72" s="5" t="s">
        <v>169</v>
      </c>
      <c r="D72" s="8">
        <v>2328.0</v>
      </c>
      <c r="E72" s="7">
        <v>0.0</v>
      </c>
      <c r="F72" s="2">
        <f>VLOOKUP(C72, Material!$D$2:$F$52, 3, FALSE)</f>
        <v>7500</v>
      </c>
    </row>
    <row r="73">
      <c r="B73" s="2" t="s">
        <v>57</v>
      </c>
      <c r="C73" s="5" t="s">
        <v>155</v>
      </c>
      <c r="D73" s="8">
        <v>2308.0</v>
      </c>
      <c r="E73" s="7">
        <v>0.0</v>
      </c>
      <c r="F73" s="2">
        <f>VLOOKUP(C73, Material!$D$2:$F$52, 3, FALSE)</f>
        <v>7500</v>
      </c>
    </row>
    <row r="74">
      <c r="B74" s="2" t="s">
        <v>58</v>
      </c>
      <c r="C74" s="5" t="s">
        <v>161</v>
      </c>
      <c r="D74" s="8">
        <v>2307.0</v>
      </c>
      <c r="E74" s="7">
        <v>0.0</v>
      </c>
      <c r="F74" s="2">
        <f>VLOOKUP(C74, Material!$D$2:$F$52, 3, FALSE)</f>
        <v>7500</v>
      </c>
    </row>
    <row r="75">
      <c r="B75" s="2" t="s">
        <v>59</v>
      </c>
      <c r="C75" s="5" t="s">
        <v>171</v>
      </c>
      <c r="D75" s="8">
        <v>2322.0</v>
      </c>
      <c r="E75" s="7">
        <v>0.0</v>
      </c>
      <c r="F75" s="2">
        <f>VLOOKUP(C75, Material!$D$2:$F$52, 3, FALSE)</f>
        <v>7500</v>
      </c>
    </row>
    <row r="76">
      <c r="B76" s="2" t="s">
        <v>60</v>
      </c>
      <c r="C76" s="5" t="s">
        <v>165</v>
      </c>
      <c r="D76" s="8">
        <v>2305.0</v>
      </c>
      <c r="E76" s="7">
        <v>0.0</v>
      </c>
      <c r="F76" s="2">
        <f>VLOOKUP(C76, Material!$D$2:$F$52, 3, FALSE)</f>
        <v>7500</v>
      </c>
    </row>
    <row r="77">
      <c r="B77" s="2" t="s">
        <v>61</v>
      </c>
      <c r="C77" s="5" t="s">
        <v>165</v>
      </c>
      <c r="D77" s="8">
        <v>2305.0</v>
      </c>
      <c r="E77" s="7">
        <v>0.0</v>
      </c>
      <c r="F77" s="2">
        <f>VLOOKUP(C77, Material!$D$2:$F$52, 3, FALSE)</f>
        <v>7500</v>
      </c>
    </row>
    <row r="78">
      <c r="B78" s="2" t="s">
        <v>62</v>
      </c>
      <c r="C78" s="5" t="s">
        <v>173</v>
      </c>
      <c r="D78" s="8" t="s">
        <v>219</v>
      </c>
      <c r="E78" s="7">
        <v>0.0</v>
      </c>
      <c r="F78" s="2">
        <f>VLOOKUP(C78, Material!$D$2:$F$52, 3, FALSE)</f>
        <v>2500</v>
      </c>
    </row>
    <row r="79">
      <c r="B79" s="2" t="s">
        <v>63</v>
      </c>
      <c r="C79" s="5" t="s">
        <v>175</v>
      </c>
      <c r="D79" s="8" t="s">
        <v>220</v>
      </c>
      <c r="E79" s="7">
        <v>0.0</v>
      </c>
      <c r="F79" s="2">
        <f>VLOOKUP(C79, Material!$D$2:$F$52, 3, FALSE)</f>
        <v>2500</v>
      </c>
    </row>
    <row r="80">
      <c r="B80" s="2" t="s">
        <v>64</v>
      </c>
      <c r="C80" s="5" t="s">
        <v>177</v>
      </c>
      <c r="D80" s="8">
        <v>2325.0</v>
      </c>
      <c r="E80" s="7">
        <v>0.0</v>
      </c>
      <c r="F80" s="2">
        <f>VLOOKUP(C80, Material!$D$2:$F$52, 3, FALSE)</f>
        <v>7500</v>
      </c>
    </row>
    <row r="81">
      <c r="B81" s="2" t="s">
        <v>65</v>
      </c>
      <c r="C81" s="5" t="s">
        <v>179</v>
      </c>
      <c r="D81" s="8">
        <v>2304.0</v>
      </c>
      <c r="E81" s="7">
        <v>0.0</v>
      </c>
      <c r="F81" s="2">
        <f>VLOOKUP(C81, Material!$D$2:$F$52, 3, FALSE)</f>
        <v>7500</v>
      </c>
    </row>
    <row r="82">
      <c r="B82" s="2" t="s">
        <v>66</v>
      </c>
      <c r="C82" s="5" t="s">
        <v>157</v>
      </c>
      <c r="D82" s="8">
        <v>2327.0</v>
      </c>
      <c r="E82" s="7">
        <v>0.0</v>
      </c>
      <c r="F82" s="2">
        <f>VLOOKUP(C82, Material!$D$2:$F$52, 3, FALSE)</f>
        <v>7500</v>
      </c>
    </row>
    <row r="83">
      <c r="B83" s="2" t="s">
        <v>67</v>
      </c>
      <c r="C83" s="5" t="s">
        <v>177</v>
      </c>
      <c r="D83" s="8">
        <v>2325.0</v>
      </c>
      <c r="E83" s="7">
        <v>0.0</v>
      </c>
      <c r="F83" s="2">
        <f>VLOOKUP(C83, Material!$D$2:$F$52, 3, FALSE)</f>
        <v>7500</v>
      </c>
    </row>
    <row r="84">
      <c r="B84" s="2" t="s">
        <v>68</v>
      </c>
      <c r="C84" s="5" t="s">
        <v>161</v>
      </c>
      <c r="D84" s="8">
        <v>2307.0</v>
      </c>
      <c r="E84" s="7">
        <v>0.0</v>
      </c>
      <c r="F84" s="2">
        <f>VLOOKUP(C84, Material!$D$2:$F$52, 3, FALSE)</f>
        <v>7500</v>
      </c>
    </row>
    <row r="85">
      <c r="B85" s="2" t="s">
        <v>69</v>
      </c>
      <c r="C85" s="5" t="s">
        <v>167</v>
      </c>
      <c r="D85" s="8">
        <v>2324.0</v>
      </c>
      <c r="E85" s="7">
        <v>0.0</v>
      </c>
      <c r="F85" s="2">
        <f>VLOOKUP(C85, Material!$D$2:$F$52, 3, FALSE)</f>
        <v>7500</v>
      </c>
    </row>
    <row r="86">
      <c r="B86" s="2" t="s">
        <v>70</v>
      </c>
      <c r="C86" s="5" t="s">
        <v>179</v>
      </c>
      <c r="D86" s="8">
        <v>2304.0</v>
      </c>
      <c r="E86" s="7">
        <v>0.0</v>
      </c>
      <c r="F86" s="2">
        <f>VLOOKUP(C86, Material!$D$2:$F$52, 3, FALSE)</f>
        <v>7500</v>
      </c>
    </row>
    <row r="87">
      <c r="B87" s="2" t="s">
        <v>71</v>
      </c>
      <c r="C87" s="5" t="s">
        <v>159</v>
      </c>
      <c r="D87" s="8">
        <v>2314.0</v>
      </c>
      <c r="E87" s="7">
        <v>0.0</v>
      </c>
      <c r="F87" s="2">
        <f>VLOOKUP(C87, Material!$D$2:$F$52, 3, FALSE)</f>
        <v>7500</v>
      </c>
    </row>
    <row r="88">
      <c r="B88" s="2" t="s">
        <v>72</v>
      </c>
      <c r="C88" s="5" t="s">
        <v>163</v>
      </c>
      <c r="D88" s="8">
        <v>2313.0</v>
      </c>
      <c r="E88" s="7">
        <v>0.0</v>
      </c>
      <c r="F88" s="2">
        <f>VLOOKUP(C88, Material!$D$2:$F$52, 3, FALSE)</f>
        <v>7500</v>
      </c>
    </row>
    <row r="89">
      <c r="B89" s="2" t="s">
        <v>73</v>
      </c>
      <c r="C89" s="5" t="s">
        <v>163</v>
      </c>
      <c r="D89" s="8">
        <v>2313.0</v>
      </c>
      <c r="E89" s="7">
        <v>0.0</v>
      </c>
      <c r="F89" s="2">
        <f>VLOOKUP(C89, Material!$D$2:$F$52, 3, FALSE)</f>
        <v>7500</v>
      </c>
    </row>
    <row r="90">
      <c r="B90" s="2" t="s">
        <v>43</v>
      </c>
      <c r="C90" s="5" t="s">
        <v>159</v>
      </c>
      <c r="D90" s="8">
        <v>2314.0</v>
      </c>
      <c r="E90" s="7">
        <v>0.0</v>
      </c>
      <c r="F90" s="2">
        <f>VLOOKUP(C90, Material!$D$2:$F$52, 3, FALSE)</f>
        <v>7500</v>
      </c>
    </row>
    <row r="91">
      <c r="B91" s="2" t="s">
        <v>46</v>
      </c>
      <c r="C91" s="5" t="s">
        <v>177</v>
      </c>
      <c r="D91" s="8">
        <v>2325.0</v>
      </c>
      <c r="E91" s="7">
        <v>0.0</v>
      </c>
      <c r="F91" s="2">
        <f>VLOOKUP(C91, Material!$D$2:$F$52, 3, FALSE)</f>
        <v>7500</v>
      </c>
    </row>
    <row r="92">
      <c r="B92" s="2" t="s">
        <v>47</v>
      </c>
      <c r="C92" s="5" t="s">
        <v>165</v>
      </c>
      <c r="D92" s="8">
        <v>2305.0</v>
      </c>
      <c r="E92" s="7">
        <v>0.0</v>
      </c>
      <c r="F92" s="2">
        <f>VLOOKUP(C92, Material!$D$2:$F$52, 3, FALSE)</f>
        <v>7500</v>
      </c>
    </row>
    <row r="93">
      <c r="B93" s="2" t="s">
        <v>48</v>
      </c>
      <c r="C93" s="5" t="s">
        <v>159</v>
      </c>
      <c r="D93" s="8">
        <v>2314.0</v>
      </c>
      <c r="E93" s="7">
        <v>0.0</v>
      </c>
      <c r="F93" s="2">
        <f>VLOOKUP(C93, Material!$D$2:$F$52, 3, FALSE)</f>
        <v>7500</v>
      </c>
    </row>
    <row r="94">
      <c r="B94" s="2" t="s">
        <v>49</v>
      </c>
      <c r="C94" s="5" t="s">
        <v>181</v>
      </c>
      <c r="D94" s="8">
        <v>2323.0</v>
      </c>
      <c r="E94" s="7">
        <v>0.0</v>
      </c>
      <c r="F94" s="2">
        <f>VLOOKUP(C94, Material!$D$2:$F$52, 3, FALSE)</f>
        <v>7500</v>
      </c>
    </row>
    <row r="95">
      <c r="B95" s="2" t="s">
        <v>50</v>
      </c>
      <c r="C95" s="5" t="s">
        <v>179</v>
      </c>
      <c r="D95" s="8">
        <v>2304.0</v>
      </c>
      <c r="E95" s="7">
        <v>0.0</v>
      </c>
      <c r="F95" s="2">
        <f>VLOOKUP(C95, Material!$D$2:$F$52, 3, FALSE)</f>
        <v>7500</v>
      </c>
    </row>
    <row r="96">
      <c r="B96" s="2" t="s">
        <v>51</v>
      </c>
      <c r="C96" s="5" t="s">
        <v>177</v>
      </c>
      <c r="D96" s="9">
        <v>2325.0</v>
      </c>
      <c r="E96" s="7">
        <v>0.0</v>
      </c>
      <c r="F96" s="2">
        <f>VLOOKUP(C96, Material!$D$2:$F$52, 3, FALSE)</f>
        <v>7500</v>
      </c>
    </row>
    <row r="97">
      <c r="B97" s="2" t="s">
        <v>53</v>
      </c>
      <c r="C97" s="5" t="s">
        <v>167</v>
      </c>
      <c r="D97" s="9">
        <v>2324.0</v>
      </c>
      <c r="E97" s="7">
        <v>0.0</v>
      </c>
      <c r="F97" s="2">
        <f>VLOOKUP(C97, Material!$D$2:$F$52, 3, FALSE)</f>
        <v>7500</v>
      </c>
    </row>
    <row r="98">
      <c r="B98" s="2" t="s">
        <v>54</v>
      </c>
      <c r="C98" s="5" t="s">
        <v>179</v>
      </c>
      <c r="D98" s="9">
        <v>2304.0</v>
      </c>
      <c r="E98" s="7">
        <v>0.0</v>
      </c>
      <c r="F98" s="2">
        <f>VLOOKUP(C98, Material!$D$2:$F$52, 3, FALSE)</f>
        <v>7500</v>
      </c>
    </row>
    <row r="99">
      <c r="B99" s="2" t="s">
        <v>55</v>
      </c>
      <c r="C99" s="5" t="s">
        <v>159</v>
      </c>
      <c r="D99" s="9">
        <v>2314.0</v>
      </c>
      <c r="E99" s="7">
        <v>0.0</v>
      </c>
      <c r="F99" s="2">
        <f>VLOOKUP(C99, Material!$D$2:$F$52, 3, FALSE)</f>
        <v>7500</v>
      </c>
    </row>
    <row r="100">
      <c r="B100" s="2" t="s">
        <v>56</v>
      </c>
      <c r="C100" s="5" t="s">
        <v>183</v>
      </c>
      <c r="D100" s="9">
        <v>2312.0</v>
      </c>
      <c r="E100" s="7">
        <v>0.0</v>
      </c>
      <c r="F100" s="2">
        <f>VLOOKUP(C100, Material!$D$2:$F$52, 3, FALSE)</f>
        <v>7500</v>
      </c>
    </row>
    <row r="101">
      <c r="B101" s="2" t="s">
        <v>57</v>
      </c>
      <c r="C101" s="5" t="s">
        <v>185</v>
      </c>
      <c r="D101" s="9">
        <v>2309.0</v>
      </c>
      <c r="E101" s="7">
        <v>0.0</v>
      </c>
      <c r="F101" s="2">
        <f>VLOOKUP(C101, Material!$D$2:$F$52, 3, FALSE)</f>
        <v>7500</v>
      </c>
    </row>
    <row r="102">
      <c r="B102" s="2" t="s">
        <v>58</v>
      </c>
      <c r="C102" s="5" t="s">
        <v>159</v>
      </c>
      <c r="D102" s="9">
        <v>2314.0</v>
      </c>
      <c r="E102" s="7">
        <v>0.0</v>
      </c>
      <c r="F102" s="2">
        <f>VLOOKUP(C102, Material!$D$2:$F$52, 3, FALSE)</f>
        <v>7500</v>
      </c>
    </row>
    <row r="103">
      <c r="B103" s="2" t="s">
        <v>59</v>
      </c>
      <c r="C103" s="5" t="s">
        <v>163</v>
      </c>
      <c r="D103" s="9">
        <v>2313.0</v>
      </c>
      <c r="E103" s="7">
        <v>0.0</v>
      </c>
      <c r="F103" s="2">
        <f>VLOOKUP(C103, Material!$D$2:$F$52, 3, FALSE)</f>
        <v>7500</v>
      </c>
    </row>
    <row r="104">
      <c r="B104" s="2" t="s">
        <v>60</v>
      </c>
      <c r="C104" s="5" t="s">
        <v>163</v>
      </c>
      <c r="D104" s="9">
        <v>2313.0</v>
      </c>
      <c r="E104" s="7">
        <v>0.0</v>
      </c>
      <c r="F104" s="2">
        <f>VLOOKUP(C104, Material!$D$2:$F$52, 3, FALSE)</f>
        <v>7500</v>
      </c>
    </row>
    <row r="105">
      <c r="B105" s="2" t="s">
        <v>61</v>
      </c>
      <c r="C105" s="5" t="s">
        <v>179</v>
      </c>
      <c r="D105" s="9">
        <v>2304.0</v>
      </c>
      <c r="E105" s="7">
        <v>0.0</v>
      </c>
      <c r="F105" s="2">
        <f>VLOOKUP(C105, Material!$D$2:$F$52, 3, FALSE)</f>
        <v>7500</v>
      </c>
    </row>
    <row r="106">
      <c r="B106" s="2" t="s">
        <v>62</v>
      </c>
      <c r="C106" s="5" t="s">
        <v>159</v>
      </c>
      <c r="D106" s="9">
        <v>2314.0</v>
      </c>
      <c r="E106" s="7">
        <v>0.0</v>
      </c>
      <c r="F106" s="2">
        <f>VLOOKUP(C106, Material!$D$2:$F$52, 3, FALSE)</f>
        <v>7500</v>
      </c>
    </row>
    <row r="107">
      <c r="B107" s="2" t="s">
        <v>63</v>
      </c>
      <c r="C107" s="5" t="s">
        <v>167</v>
      </c>
      <c r="D107" s="9">
        <v>2324.0</v>
      </c>
      <c r="E107" s="7">
        <v>0.0</v>
      </c>
      <c r="F107" s="2">
        <f>VLOOKUP(C107, Material!$D$2:$F$52, 3, FALSE)</f>
        <v>7500</v>
      </c>
    </row>
    <row r="108">
      <c r="B108" s="2" t="s">
        <v>64</v>
      </c>
      <c r="C108" s="5" t="s">
        <v>187</v>
      </c>
      <c r="D108" s="9">
        <v>3851.0</v>
      </c>
      <c r="E108" s="7">
        <v>0.0</v>
      </c>
      <c r="F108" s="2">
        <f>VLOOKUP(C108, Material!$D$2:$F$52, 3, FALSE)</f>
        <v>1500</v>
      </c>
    </row>
    <row r="109">
      <c r="B109" s="2" t="s">
        <v>65</v>
      </c>
      <c r="C109" s="5" t="s">
        <v>188</v>
      </c>
      <c r="D109" s="9">
        <v>147.0</v>
      </c>
      <c r="E109" s="7">
        <v>0.0</v>
      </c>
      <c r="F109" s="2">
        <f>VLOOKUP(C109, Material!$D$2:$F$52, 3, FALSE)</f>
        <v>1500</v>
      </c>
    </row>
    <row r="110">
      <c r="B110" s="2" t="s">
        <v>66</v>
      </c>
      <c r="C110" s="5" t="s">
        <v>189</v>
      </c>
      <c r="D110" s="9">
        <v>5755.0</v>
      </c>
      <c r="E110" s="7">
        <v>0.0</v>
      </c>
      <c r="F110" s="2">
        <f>VLOOKUP(C110, Material!$D$2:$F$52, 3, FALSE)</f>
        <v>2500</v>
      </c>
    </row>
    <row r="111">
      <c r="B111" s="2" t="s">
        <v>67</v>
      </c>
      <c r="C111" s="5" t="s">
        <v>190</v>
      </c>
      <c r="D111" s="9">
        <v>2343.0</v>
      </c>
      <c r="E111" s="7">
        <v>0.0</v>
      </c>
      <c r="F111" s="2">
        <f>VLOOKUP(C111, Material!$D$2:$F$52, 3, FALSE)</f>
        <v>2500</v>
      </c>
    </row>
    <row r="112">
      <c r="B112" s="2" t="s">
        <v>68</v>
      </c>
      <c r="C112" s="5" t="s">
        <v>153</v>
      </c>
      <c r="D112" s="9">
        <v>2347.0</v>
      </c>
      <c r="E112" s="7">
        <v>0.0</v>
      </c>
      <c r="F112" s="2">
        <f>VLOOKUP(C112, Material!$D$2:$F$52, 3, FALSE)</f>
        <v>2500</v>
      </c>
    </row>
    <row r="113">
      <c r="B113" s="2" t="s">
        <v>69</v>
      </c>
      <c r="C113" s="5" t="s">
        <v>153</v>
      </c>
      <c r="D113" s="9">
        <v>2347.0</v>
      </c>
      <c r="E113" s="7">
        <v>0.0</v>
      </c>
      <c r="F113" s="2">
        <f>VLOOKUP(C113, Material!$D$2:$F$52, 3, FALSE)</f>
        <v>2500</v>
      </c>
    </row>
    <row r="114">
      <c r="B114" s="2" t="s">
        <v>70</v>
      </c>
      <c r="C114" s="5" t="s">
        <v>192</v>
      </c>
      <c r="D114" s="9" t="s">
        <v>221</v>
      </c>
      <c r="E114" s="7">
        <v>0.0</v>
      </c>
      <c r="F114" s="2">
        <f>VLOOKUP(C114, Material!$D$2:$F$52, 3, FALSE)</f>
        <v>2500</v>
      </c>
    </row>
    <row r="115">
      <c r="B115" s="2" t="s">
        <v>71</v>
      </c>
      <c r="C115" s="5" t="s">
        <v>194</v>
      </c>
      <c r="D115" s="9" t="s">
        <v>222</v>
      </c>
      <c r="E115" s="7">
        <v>0.0</v>
      </c>
      <c r="F115" s="2">
        <f>VLOOKUP(C115, Material!$D$2:$F$52, 3, FALSE)</f>
        <v>2500</v>
      </c>
    </row>
    <row r="116">
      <c r="B116" s="2" t="s">
        <v>72</v>
      </c>
      <c r="C116" s="5" t="s">
        <v>196</v>
      </c>
      <c r="D116" s="9" t="s">
        <v>223</v>
      </c>
      <c r="E116" s="7">
        <v>0.0</v>
      </c>
      <c r="F116" s="2">
        <f>VLOOKUP(C116, Material!$D$2:$F$52, 3, FALSE)</f>
        <v>2500</v>
      </c>
    </row>
    <row r="117">
      <c r="B117" s="2" t="s">
        <v>73</v>
      </c>
      <c r="C117" s="5" t="s">
        <v>196</v>
      </c>
      <c r="D117" s="9" t="s">
        <v>223</v>
      </c>
      <c r="E117" s="7">
        <v>0.0</v>
      </c>
      <c r="F117" s="2">
        <f>VLOOKUP(C117, Material!$D$2:$F$52, 3, FALSE)</f>
        <v>2500</v>
      </c>
    </row>
    <row r="118">
      <c r="B118" s="2" t="s">
        <v>72</v>
      </c>
      <c r="C118" s="5" t="s">
        <v>179</v>
      </c>
      <c r="D118" s="9">
        <v>2304.0</v>
      </c>
      <c r="E118" s="7">
        <v>0.0</v>
      </c>
      <c r="F118" s="2">
        <f>VLOOKUP(C118, Material!$D$2:$F$52, 3, FALSE)</f>
        <v>7500</v>
      </c>
    </row>
    <row r="119">
      <c r="B119" s="2" t="s">
        <v>73</v>
      </c>
      <c r="C119" s="5" t="s">
        <v>157</v>
      </c>
      <c r="D119" s="9">
        <v>2327.0</v>
      </c>
      <c r="E119" s="7">
        <v>0.0</v>
      </c>
      <c r="F119" s="2">
        <f>VLOOKUP(C119, Material!$D$2:$F$52, 3, FALSE)</f>
        <v>7500</v>
      </c>
    </row>
    <row r="120">
      <c r="B120" s="2" t="s">
        <v>106</v>
      </c>
      <c r="C120" s="5" t="s">
        <v>177</v>
      </c>
      <c r="D120" s="9">
        <v>2325.0</v>
      </c>
      <c r="E120" s="7">
        <v>0.0</v>
      </c>
      <c r="F120" s="2">
        <f>VLOOKUP(C120, Material!$D$2:$F$52, 3, FALSE)</f>
        <v>7500</v>
      </c>
    </row>
    <row r="121">
      <c r="B121" s="2" t="s">
        <v>107</v>
      </c>
      <c r="C121" s="5" t="s">
        <v>179</v>
      </c>
      <c r="D121" s="9">
        <v>2304.0</v>
      </c>
      <c r="E121" s="7">
        <v>0.0</v>
      </c>
      <c r="F121" s="2">
        <f>VLOOKUP(C121, Material!$D$2:$F$52, 3, FALSE)</f>
        <v>7500</v>
      </c>
    </row>
    <row r="122">
      <c r="B122" s="10" t="s">
        <v>111</v>
      </c>
      <c r="C122" s="5" t="s">
        <v>183</v>
      </c>
      <c r="D122" s="6">
        <v>2312.0</v>
      </c>
      <c r="E122" s="7">
        <v>2.0</v>
      </c>
      <c r="F122" s="2">
        <f>VLOOKUP(C122, Material!$D$2:$F$52, 3, FALSE)</f>
        <v>7500</v>
      </c>
    </row>
    <row r="123">
      <c r="B123" s="10" t="s">
        <v>112</v>
      </c>
      <c r="C123" s="5" t="s">
        <v>215</v>
      </c>
      <c r="D123" s="6">
        <v>6167.0</v>
      </c>
      <c r="E123" s="7">
        <v>6.0</v>
      </c>
      <c r="F123" s="2">
        <f>VLOOKUP(C123, Material!$D$2:$F$52, 3, FALSE)</f>
        <v>2500</v>
      </c>
    </row>
    <row r="124">
      <c r="B124" s="10" t="s">
        <v>112</v>
      </c>
      <c r="C124" s="5" t="s">
        <v>161</v>
      </c>
      <c r="D124" s="1">
        <v>2307.0</v>
      </c>
      <c r="E124" s="7">
        <v>5.0</v>
      </c>
      <c r="F124" s="2">
        <f>VLOOKUP(C124, Material!$D$2:$F$52, 3, FALSE)</f>
        <v>7500</v>
      </c>
    </row>
    <row r="125">
      <c r="B125" s="10" t="s">
        <v>112</v>
      </c>
      <c r="C125" s="5" t="s">
        <v>141</v>
      </c>
      <c r="D125" s="6" t="s">
        <v>216</v>
      </c>
      <c r="E125" s="7">
        <v>1.0</v>
      </c>
      <c r="F125" s="2">
        <f>VLOOKUP(C125, Material!$D$2:$F$52, 3, FALSE)</f>
        <v>1000</v>
      </c>
    </row>
    <row r="126">
      <c r="B126" s="10" t="s">
        <v>112</v>
      </c>
      <c r="C126" s="5" t="s">
        <v>142</v>
      </c>
      <c r="D126" s="6" t="s">
        <v>217</v>
      </c>
      <c r="E126" s="7">
        <v>1.0</v>
      </c>
      <c r="F126" s="2">
        <f>VLOOKUP(C126, Material!$D$2:$F$52, 3, FALSE)</f>
        <v>500</v>
      </c>
    </row>
    <row r="127">
      <c r="B127" s="10" t="s">
        <v>112</v>
      </c>
      <c r="C127" s="5" t="s">
        <v>143</v>
      </c>
      <c r="D127" s="6" t="s">
        <v>218</v>
      </c>
      <c r="E127" s="7">
        <v>1.0</v>
      </c>
      <c r="F127" s="2">
        <f>VLOOKUP(C127, Material!$D$2:$F$52, 3, FALSE)</f>
        <v>500</v>
      </c>
    </row>
    <row r="128">
      <c r="B128" s="10" t="s">
        <v>113</v>
      </c>
      <c r="C128" s="5" t="s">
        <v>197</v>
      </c>
      <c r="D128" s="6">
        <v>5484.0</v>
      </c>
      <c r="E128" s="7">
        <v>0.0</v>
      </c>
      <c r="F128" s="2">
        <f>VLOOKUP(C128, Material!$D$2:$F$52, 3, FALSE)</f>
        <v>1500</v>
      </c>
    </row>
    <row r="129">
      <c r="B129" s="10" t="s">
        <v>114</v>
      </c>
      <c r="C129" s="5" t="s">
        <v>194</v>
      </c>
      <c r="D129" s="7" t="s">
        <v>222</v>
      </c>
      <c r="E129" s="7">
        <v>12.0</v>
      </c>
      <c r="F129" s="2">
        <f>VLOOKUP(C129, Material!$D$2:$F$52, 3, FALSE)</f>
        <v>2500</v>
      </c>
    </row>
    <row r="130">
      <c r="B130" s="10" t="s">
        <v>114</v>
      </c>
      <c r="C130" s="5" t="s">
        <v>177</v>
      </c>
      <c r="D130" s="7">
        <v>2325.0</v>
      </c>
      <c r="E130" s="7">
        <v>2.0</v>
      </c>
      <c r="F130" s="2">
        <f>VLOOKUP(C130, Material!$D$2:$F$52, 3, FALSE)</f>
        <v>7500</v>
      </c>
    </row>
    <row r="131">
      <c r="B131" s="10" t="s">
        <v>115</v>
      </c>
      <c r="C131" s="5" t="s">
        <v>197</v>
      </c>
      <c r="D131" s="6">
        <v>5484.0</v>
      </c>
      <c r="E131" s="7">
        <v>0.0</v>
      </c>
      <c r="F131" s="2">
        <f>VLOOKUP(C131, Material!$D$2:$F$52, 3, FALSE)</f>
        <v>1500</v>
      </c>
    </row>
    <row r="132">
      <c r="B132" s="10" t="s">
        <v>116</v>
      </c>
      <c r="C132" s="5" t="s">
        <v>197</v>
      </c>
      <c r="D132" s="6">
        <v>5484.0</v>
      </c>
      <c r="E132" s="7">
        <v>0.0</v>
      </c>
      <c r="F132" s="2">
        <f>VLOOKUP(C132, Material!$D$2:$F$52, 3, FALSE)</f>
        <v>1500</v>
      </c>
    </row>
    <row r="133">
      <c r="B133" s="10" t="s">
        <v>117</v>
      </c>
      <c r="C133" s="5" t="s">
        <v>159</v>
      </c>
      <c r="D133" s="6">
        <v>2314.0</v>
      </c>
      <c r="E133" s="7">
        <v>1.0</v>
      </c>
      <c r="F133" s="2">
        <f>VLOOKUP(C133, Material!$D$2:$F$52, 3, FALSE)</f>
        <v>7500</v>
      </c>
    </row>
    <row r="134">
      <c r="B134" s="10" t="s">
        <v>117</v>
      </c>
      <c r="C134" s="5" t="s">
        <v>199</v>
      </c>
      <c r="D134" s="7">
        <v>3856.0</v>
      </c>
      <c r="E134" s="7">
        <v>10.0</v>
      </c>
      <c r="F134" s="2">
        <f>VLOOKUP(C134, Material!$D$2:$F$52, 3, FALSE)</f>
        <v>1500</v>
      </c>
    </row>
    <row r="135">
      <c r="B135" s="10" t="s">
        <v>118</v>
      </c>
      <c r="C135" s="5" t="s">
        <v>183</v>
      </c>
      <c r="D135" s="7">
        <v>2312.0</v>
      </c>
      <c r="E135" s="7">
        <v>5.0</v>
      </c>
      <c r="F135" s="2">
        <f>VLOOKUP(C135, Material!$D$2:$F$52, 3, FALSE)</f>
        <v>7500</v>
      </c>
    </row>
    <row r="136">
      <c r="B136" s="10" t="s">
        <v>118</v>
      </c>
      <c r="C136" s="5" t="s">
        <v>200</v>
      </c>
      <c r="D136" s="7">
        <v>4073.0</v>
      </c>
      <c r="E136" s="7">
        <v>7.0</v>
      </c>
      <c r="F136" s="2">
        <f>VLOOKUP(C136, Material!$D$2:$F$52, 3, FALSE)</f>
        <v>1500</v>
      </c>
    </row>
    <row r="137">
      <c r="B137" s="10" t="s">
        <v>118</v>
      </c>
      <c r="C137" s="5" t="s">
        <v>141</v>
      </c>
      <c r="D137" s="6" t="s">
        <v>216</v>
      </c>
      <c r="E137" s="7">
        <v>1.0</v>
      </c>
      <c r="F137" s="2">
        <f>VLOOKUP(C137, Material!$D$2:$F$52, 3, FALSE)</f>
        <v>1000</v>
      </c>
    </row>
    <row r="138">
      <c r="B138" s="10" t="s">
        <v>118</v>
      </c>
      <c r="C138" s="5" t="s">
        <v>142</v>
      </c>
      <c r="D138" s="6" t="s">
        <v>217</v>
      </c>
      <c r="E138" s="7">
        <v>1.0</v>
      </c>
      <c r="F138" s="2">
        <f>VLOOKUP(C138, Material!$D$2:$F$52, 3, FALSE)</f>
        <v>500</v>
      </c>
    </row>
    <row r="139">
      <c r="B139" s="10" t="s">
        <v>118</v>
      </c>
      <c r="C139" s="5" t="s">
        <v>143</v>
      </c>
      <c r="D139" s="6" t="s">
        <v>218</v>
      </c>
      <c r="E139" s="7">
        <v>1.0</v>
      </c>
      <c r="F139" s="2">
        <f>VLOOKUP(C139, Material!$D$2:$F$52, 3, FALSE)</f>
        <v>500</v>
      </c>
    </row>
    <row r="140">
      <c r="B140" s="10" t="s">
        <v>119</v>
      </c>
      <c r="C140" s="5" t="s">
        <v>179</v>
      </c>
      <c r="D140" s="9">
        <v>2304.0</v>
      </c>
      <c r="E140" s="7">
        <v>0.0</v>
      </c>
      <c r="F140" s="2">
        <f>VLOOKUP(C140, Material!$D$2:$F$52, 3, FALSE)</f>
        <v>7500</v>
      </c>
    </row>
    <row r="141">
      <c r="B141" s="10" t="s">
        <v>120</v>
      </c>
      <c r="C141" s="5" t="s">
        <v>179</v>
      </c>
      <c r="D141" s="9">
        <v>2304.0</v>
      </c>
      <c r="E141" s="7">
        <v>0.0</v>
      </c>
      <c r="F141" s="2">
        <f>VLOOKUP(C141, Material!$D$2:$F$52, 3, FALSE)</f>
        <v>7500</v>
      </c>
    </row>
    <row r="142">
      <c r="B142" s="10" t="s">
        <v>121</v>
      </c>
      <c r="C142" s="5" t="s">
        <v>179</v>
      </c>
      <c r="D142" s="9">
        <v>2304.0</v>
      </c>
      <c r="E142" s="7">
        <v>0.0</v>
      </c>
      <c r="F142" s="2">
        <f>VLOOKUP(C142, Material!$D$2:$F$52, 3, FALSE)</f>
        <v>7500</v>
      </c>
    </row>
    <row r="143">
      <c r="B143" s="10" t="s">
        <v>122</v>
      </c>
      <c r="C143" s="5" t="s">
        <v>179</v>
      </c>
      <c r="D143" s="9">
        <v>2304.0</v>
      </c>
      <c r="E143" s="7">
        <v>0.0</v>
      </c>
      <c r="F143" s="2">
        <f>VLOOKUP(C143, Material!$D$2:$F$52, 3, FALSE)</f>
        <v>7500</v>
      </c>
    </row>
    <row r="144">
      <c r="B144" s="10" t="s">
        <v>123</v>
      </c>
      <c r="C144" s="5" t="s">
        <v>179</v>
      </c>
      <c r="D144" s="9">
        <v>2304.0</v>
      </c>
      <c r="E144" s="7">
        <v>0.0</v>
      </c>
      <c r="F144" s="2">
        <f>VLOOKUP(C144, Material!$D$2:$F$52, 3, FALSE)</f>
        <v>7500</v>
      </c>
    </row>
    <row r="145">
      <c r="B145" s="10" t="s">
        <v>124</v>
      </c>
      <c r="C145" s="5" t="s">
        <v>179</v>
      </c>
      <c r="D145" s="9">
        <v>2304.0</v>
      </c>
      <c r="E145" s="7">
        <v>0.0</v>
      </c>
      <c r="F145" s="2">
        <f>VLOOKUP(C145, Material!$D$2:$F$52, 3, FALSE)</f>
        <v>7500</v>
      </c>
    </row>
    <row r="146">
      <c r="B146" s="10" t="s">
        <v>125</v>
      </c>
      <c r="C146" s="5" t="s">
        <v>179</v>
      </c>
      <c r="D146" s="9">
        <v>2304.0</v>
      </c>
      <c r="E146" s="7">
        <v>0.0</v>
      </c>
      <c r="F146" s="2">
        <f>VLOOKUP(C146, Material!$D$2:$F$52, 3, FALSE)</f>
        <v>7500</v>
      </c>
    </row>
    <row r="147">
      <c r="B147" s="10" t="s">
        <v>126</v>
      </c>
      <c r="C147" s="5" t="s">
        <v>179</v>
      </c>
      <c r="D147" s="9">
        <v>2304.0</v>
      </c>
      <c r="E147" s="7">
        <v>0.0</v>
      </c>
      <c r="F147" s="2">
        <f>VLOOKUP(C147, Material!$D$2:$F$52, 3, FALSE)</f>
        <v>7500</v>
      </c>
    </row>
    <row r="148">
      <c r="B148" s="10" t="s">
        <v>127</v>
      </c>
      <c r="C148" s="5" t="s">
        <v>202</v>
      </c>
      <c r="D148" s="9" t="s">
        <v>224</v>
      </c>
      <c r="E148" s="7">
        <v>0.0</v>
      </c>
      <c r="F148" s="2">
        <f>VLOOKUP(C148, Material!$D$2:$F$52, 3, FALSE)</f>
        <v>2500</v>
      </c>
    </row>
    <row r="149">
      <c r="B149" s="10" t="s">
        <v>128</v>
      </c>
      <c r="C149" s="5" t="s">
        <v>204</v>
      </c>
      <c r="D149" s="9" t="s">
        <v>225</v>
      </c>
      <c r="E149" s="7">
        <v>0.0</v>
      </c>
      <c r="F149" s="2">
        <f>VLOOKUP(C149, Material!$D$2:$F$52, 3, FALSE)</f>
        <v>2500</v>
      </c>
    </row>
    <row r="150">
      <c r="B150" s="10" t="s">
        <v>129</v>
      </c>
      <c r="C150" s="5"/>
      <c r="D150" s="9"/>
      <c r="E150" s="7"/>
      <c r="F150" s="2" t="str">
        <f>VLOOKUP(C150, Material!$D$2:$F$52, 3, FALSE)</f>
        <v>#N/A</v>
      </c>
    </row>
    <row r="151">
      <c r="B151" s="10" t="s">
        <v>130</v>
      </c>
      <c r="C151" s="5" t="s">
        <v>194</v>
      </c>
      <c r="D151" s="9" t="s">
        <v>226</v>
      </c>
      <c r="E151" s="7">
        <v>0.0</v>
      </c>
      <c r="F151" s="2">
        <f>VLOOKUP(C151, Material!$D$2:$F$52, 3, FALSE)</f>
        <v>2500</v>
      </c>
    </row>
    <row r="152">
      <c r="B152" s="2" t="s">
        <v>74</v>
      </c>
      <c r="C152" s="5" t="s">
        <v>152</v>
      </c>
      <c r="D152" s="11">
        <v>155.0</v>
      </c>
      <c r="E152" s="7">
        <v>12.0</v>
      </c>
      <c r="F152" s="1">
        <v>1500.0</v>
      </c>
    </row>
    <row r="153">
      <c r="B153" s="2" t="s">
        <v>74</v>
      </c>
      <c r="C153" s="5" t="s">
        <v>141</v>
      </c>
      <c r="D153" s="6" t="s">
        <v>216</v>
      </c>
      <c r="E153" s="7">
        <v>2.0</v>
      </c>
      <c r="F153" s="2">
        <f>VLOOKUP(C153, Material!$D$2:$F$52, 3, FALSE)</f>
        <v>1000</v>
      </c>
    </row>
    <row r="154">
      <c r="B154" s="2" t="s">
        <v>74</v>
      </c>
      <c r="C154" s="5" t="s">
        <v>142</v>
      </c>
      <c r="D154" s="6" t="s">
        <v>217</v>
      </c>
      <c r="E154" s="7">
        <v>2.0</v>
      </c>
      <c r="F154" s="2">
        <f>VLOOKUP(C154, Material!$D$2:$F$52, 3, FALSE)</f>
        <v>500</v>
      </c>
    </row>
    <row r="155">
      <c r="B155" s="2" t="s">
        <v>74</v>
      </c>
      <c r="C155" s="5" t="s">
        <v>143</v>
      </c>
      <c r="D155" s="6" t="s">
        <v>218</v>
      </c>
      <c r="E155" s="7">
        <v>2.0</v>
      </c>
      <c r="F155" s="2">
        <f>VLOOKUP(C155, Material!$D$2:$F$52, 3, FALSE)</f>
        <v>500</v>
      </c>
    </row>
    <row r="156">
      <c r="B156" s="2" t="s">
        <v>75</v>
      </c>
      <c r="C156" s="5" t="s">
        <v>205</v>
      </c>
      <c r="D156" s="12">
        <v>3214.0</v>
      </c>
      <c r="E156" s="7">
        <v>12.0</v>
      </c>
      <c r="F156" s="2">
        <f>VLOOKUP(C156, Material!$D$2:$F$52, 3, FALSE)</f>
        <v>1500</v>
      </c>
    </row>
    <row r="157">
      <c r="B157" s="2" t="s">
        <v>75</v>
      </c>
      <c r="C157" s="5" t="s">
        <v>141</v>
      </c>
      <c r="D157" s="6" t="s">
        <v>216</v>
      </c>
      <c r="E157" s="7">
        <v>2.0</v>
      </c>
      <c r="F157" s="2">
        <f>VLOOKUP(C157, Material!$D$2:$F$52, 3, FALSE)</f>
        <v>1000</v>
      </c>
    </row>
    <row r="158">
      <c r="B158" s="2" t="s">
        <v>75</v>
      </c>
      <c r="C158" s="5" t="s">
        <v>142</v>
      </c>
      <c r="D158" s="6" t="s">
        <v>217</v>
      </c>
      <c r="E158" s="7">
        <v>2.0</v>
      </c>
      <c r="F158" s="2">
        <f>VLOOKUP(C158, Material!$D$2:$F$52, 3, FALSE)</f>
        <v>500</v>
      </c>
    </row>
    <row r="159">
      <c r="B159" s="2" t="s">
        <v>75</v>
      </c>
      <c r="C159" s="5" t="s">
        <v>143</v>
      </c>
      <c r="D159" s="6" t="s">
        <v>218</v>
      </c>
      <c r="E159" s="7">
        <v>2.0</v>
      </c>
      <c r="F159" s="2">
        <f>VLOOKUP(C159, Material!$D$2:$F$52, 3, FALSE)</f>
        <v>500</v>
      </c>
    </row>
    <row r="160">
      <c r="B160" s="2" t="s">
        <v>76</v>
      </c>
      <c r="C160" s="5" t="s">
        <v>206</v>
      </c>
      <c r="D160" s="7">
        <v>4598.0</v>
      </c>
      <c r="E160" s="7">
        <v>10.0</v>
      </c>
      <c r="F160" s="2">
        <f>VLOOKUP(C160, Material!$D$2:$F$52, 3, FALSE)</f>
        <v>500</v>
      </c>
    </row>
    <row r="161">
      <c r="B161" s="2" t="s">
        <v>76</v>
      </c>
      <c r="C161" s="5" t="s">
        <v>141</v>
      </c>
      <c r="D161" s="6" t="s">
        <v>216</v>
      </c>
      <c r="E161" s="7">
        <v>2.0</v>
      </c>
      <c r="F161" s="2">
        <f>VLOOKUP(C161, Material!$D$2:$F$52, 3, FALSE)</f>
        <v>1000</v>
      </c>
    </row>
    <row r="162">
      <c r="B162" s="2" t="s">
        <v>76</v>
      </c>
      <c r="C162" s="5" t="s">
        <v>142</v>
      </c>
      <c r="D162" s="6" t="s">
        <v>217</v>
      </c>
      <c r="E162" s="7">
        <v>2.0</v>
      </c>
      <c r="F162" s="2">
        <f>VLOOKUP(C162, Material!$D$2:$F$52, 3, FALSE)</f>
        <v>500</v>
      </c>
    </row>
    <row r="163">
      <c r="B163" s="2" t="s">
        <v>76</v>
      </c>
      <c r="C163" s="5" t="s">
        <v>143</v>
      </c>
      <c r="D163" s="6" t="s">
        <v>218</v>
      </c>
      <c r="E163" s="7">
        <v>2.0</v>
      </c>
      <c r="F163" s="2">
        <f>VLOOKUP(C163, Material!$D$2:$F$52, 3, FALSE)</f>
        <v>500</v>
      </c>
    </row>
    <row r="164">
      <c r="B164" s="1" t="s">
        <v>77</v>
      </c>
      <c r="C164" s="5" t="s">
        <v>208</v>
      </c>
      <c r="D164" s="7">
        <v>3865.0</v>
      </c>
      <c r="E164" s="7">
        <v>10.0</v>
      </c>
      <c r="F164" s="2">
        <f>VLOOKUP(C164, Material!$D$2:$F$52, 3, FALSE)</f>
        <v>2000</v>
      </c>
    </row>
    <row r="165">
      <c r="B165" s="1" t="s">
        <v>77</v>
      </c>
      <c r="C165" s="5" t="s">
        <v>141</v>
      </c>
      <c r="D165" s="6" t="s">
        <v>216</v>
      </c>
      <c r="E165" s="7">
        <v>2.0</v>
      </c>
      <c r="F165" s="2">
        <f>VLOOKUP(C165, Material!$D$2:$F$52, 3, FALSE)</f>
        <v>1000</v>
      </c>
    </row>
    <row r="166">
      <c r="B166" s="1" t="s">
        <v>77</v>
      </c>
      <c r="C166" s="5" t="s">
        <v>142</v>
      </c>
      <c r="D166" s="6" t="s">
        <v>217</v>
      </c>
      <c r="E166" s="7">
        <v>2.0</v>
      </c>
      <c r="F166" s="2">
        <f>VLOOKUP(C166, Material!$D$2:$F$52, 3, FALSE)</f>
        <v>500</v>
      </c>
    </row>
    <row r="167">
      <c r="B167" s="1" t="s">
        <v>77</v>
      </c>
      <c r="C167" s="5" t="s">
        <v>143</v>
      </c>
      <c r="D167" s="6" t="s">
        <v>218</v>
      </c>
      <c r="E167" s="7">
        <v>2.0</v>
      </c>
      <c r="F167" s="2">
        <f>VLOOKUP(C167, Material!$D$2:$F$52, 3, FALSE)</f>
        <v>500</v>
      </c>
    </row>
    <row r="168">
      <c r="B168" s="2" t="s">
        <v>79</v>
      </c>
      <c r="C168" s="5" t="s">
        <v>161</v>
      </c>
      <c r="D168" s="7">
        <v>2307.0</v>
      </c>
      <c r="E168" s="7">
        <v>8.0</v>
      </c>
      <c r="F168" s="2">
        <f>VLOOKUP(C168, Material!$D$2:$F$52, 3, FALSE)</f>
        <v>7500</v>
      </c>
    </row>
    <row r="169">
      <c r="B169" s="2" t="s">
        <v>80</v>
      </c>
      <c r="C169" s="5" t="s">
        <v>163</v>
      </c>
      <c r="D169" s="7">
        <v>2313.0</v>
      </c>
      <c r="E169" s="7">
        <v>2.0</v>
      </c>
      <c r="F169" s="2">
        <f>VLOOKUP(C169, Material!$D$2:$F$52, 3, FALSE)</f>
        <v>7500</v>
      </c>
    </row>
    <row r="170">
      <c r="B170" s="2" t="s">
        <v>83</v>
      </c>
      <c r="C170" s="5" t="s">
        <v>209</v>
      </c>
      <c r="D170" s="7">
        <v>5514.0</v>
      </c>
      <c r="E170" s="7">
        <v>20.0</v>
      </c>
      <c r="F170" s="2">
        <f>VLOOKUP(C170, Material!$D$2:$F$52, 3, FALSE)</f>
        <v>1500</v>
      </c>
    </row>
    <row r="171">
      <c r="B171" s="2" t="s">
        <v>83</v>
      </c>
      <c r="C171" s="5" t="s">
        <v>141</v>
      </c>
      <c r="D171" s="6" t="s">
        <v>216</v>
      </c>
      <c r="E171" s="7">
        <v>1.0</v>
      </c>
      <c r="F171" s="2">
        <f>VLOOKUP(C171, Material!$D$2:$F$52, 3, FALSE)</f>
        <v>1000</v>
      </c>
    </row>
    <row r="172">
      <c r="B172" s="2" t="s">
        <v>83</v>
      </c>
      <c r="C172" s="5" t="s">
        <v>142</v>
      </c>
      <c r="D172" s="6" t="s">
        <v>217</v>
      </c>
      <c r="E172" s="7">
        <v>1.0</v>
      </c>
      <c r="F172" s="2">
        <f>VLOOKUP(C172, Material!$D$2:$F$52, 3, FALSE)</f>
        <v>500</v>
      </c>
    </row>
    <row r="173">
      <c r="B173" s="2" t="s">
        <v>83</v>
      </c>
      <c r="C173" s="5" t="s">
        <v>143</v>
      </c>
      <c r="D173" s="6" t="s">
        <v>218</v>
      </c>
      <c r="E173" s="7">
        <v>1.0</v>
      </c>
      <c r="F173" s="2">
        <f>VLOOKUP(C173, Material!$D$2:$F$52, 3, FALSE)</f>
        <v>500</v>
      </c>
    </row>
    <row r="174">
      <c r="B174" s="2" t="s">
        <v>11</v>
      </c>
      <c r="C174" s="5" t="s">
        <v>211</v>
      </c>
      <c r="D174" s="9"/>
      <c r="E174" s="7">
        <v>10.0</v>
      </c>
      <c r="F174" s="2">
        <f>VLOOKUP(C174, Material!$D$2:$F$52, 3, FALSE)</f>
        <v>500</v>
      </c>
    </row>
    <row r="175">
      <c r="B175" s="2" t="s">
        <v>14</v>
      </c>
      <c r="C175" s="5" t="s">
        <v>211</v>
      </c>
      <c r="D175" s="9"/>
      <c r="E175" s="7">
        <v>10.0</v>
      </c>
      <c r="F175" s="2">
        <f>VLOOKUP(C175, Material!$D$2:$F$52, 3, FALSE)</f>
        <v>500</v>
      </c>
    </row>
    <row r="176">
      <c r="B176" s="2" t="s">
        <v>15</v>
      </c>
      <c r="C176" s="5" t="s">
        <v>211</v>
      </c>
      <c r="D176" s="9"/>
      <c r="E176" s="7">
        <v>10.0</v>
      </c>
      <c r="F176" s="2">
        <f>VLOOKUP(C176, Material!$D$2:$F$52, 3, FALSE)</f>
        <v>500</v>
      </c>
    </row>
    <row r="177">
      <c r="B177" s="2" t="s">
        <v>16</v>
      </c>
      <c r="C177" s="5" t="s">
        <v>211</v>
      </c>
      <c r="D177" s="9"/>
      <c r="E177" s="7">
        <v>10.0</v>
      </c>
      <c r="F177" s="2">
        <f>VLOOKUP(C177, Material!$D$2:$F$52, 3, FALSE)</f>
        <v>500</v>
      </c>
    </row>
    <row r="178">
      <c r="B178" s="2" t="s">
        <v>17</v>
      </c>
      <c r="C178" s="5" t="s">
        <v>211</v>
      </c>
      <c r="D178" s="9"/>
      <c r="E178" s="7">
        <v>10.0</v>
      </c>
      <c r="F178" s="2">
        <f>VLOOKUP(C178, Material!$D$2:$F$52, 3, FALSE)</f>
        <v>500</v>
      </c>
    </row>
    <row r="179">
      <c r="B179" s="2" t="s">
        <v>18</v>
      </c>
      <c r="C179" s="5" t="s">
        <v>211</v>
      </c>
      <c r="D179" s="9"/>
      <c r="E179" s="7">
        <v>10.0</v>
      </c>
      <c r="F179" s="2">
        <f>VLOOKUP(C179, Material!$D$2:$F$52, 3, FALSE)</f>
        <v>500</v>
      </c>
    </row>
    <row r="180">
      <c r="B180" s="2" t="s">
        <v>19</v>
      </c>
      <c r="C180" s="5" t="s">
        <v>211</v>
      </c>
      <c r="D180" s="9"/>
      <c r="E180" s="7">
        <v>10.0</v>
      </c>
      <c r="F180" s="2">
        <f>VLOOKUP(C180, Material!$D$2:$F$52, 3, FALSE)</f>
        <v>500</v>
      </c>
    </row>
    <row r="181">
      <c r="B181" s="2" t="s">
        <v>20</v>
      </c>
      <c r="C181" s="5" t="s">
        <v>211</v>
      </c>
      <c r="D181" s="9"/>
      <c r="E181" s="7">
        <v>10.0</v>
      </c>
      <c r="F181" s="2">
        <f>VLOOKUP(C181, Material!$D$2:$F$52, 3, FALSE)</f>
        <v>500</v>
      </c>
    </row>
    <row r="182">
      <c r="B182" s="2" t="s">
        <v>21</v>
      </c>
      <c r="C182" s="5" t="s">
        <v>211</v>
      </c>
      <c r="D182" s="9"/>
      <c r="E182" s="7">
        <v>10.0</v>
      </c>
      <c r="F182" s="2">
        <f>VLOOKUP(C182, Material!$D$2:$F$52, 3, FALSE)</f>
        <v>500</v>
      </c>
    </row>
    <row r="183">
      <c r="B183" s="2" t="s">
        <v>22</v>
      </c>
      <c r="C183" s="5" t="s">
        <v>211</v>
      </c>
      <c r="D183" s="9"/>
      <c r="E183" s="7">
        <v>10.0</v>
      </c>
      <c r="F183" s="2">
        <f>VLOOKUP(C183, Material!$D$2:$F$52, 3, FALSE)</f>
        <v>500</v>
      </c>
    </row>
    <row r="184">
      <c r="B184" s="2" t="s">
        <v>23</v>
      </c>
      <c r="C184" s="5" t="s">
        <v>211</v>
      </c>
      <c r="D184" s="9"/>
      <c r="E184" s="7">
        <v>10.0</v>
      </c>
      <c r="F184" s="2">
        <f>VLOOKUP(C184, Material!$D$2:$F$52, 3, FALSE)</f>
        <v>500</v>
      </c>
    </row>
    <row r="185">
      <c r="B185" s="2" t="s">
        <v>24</v>
      </c>
      <c r="C185" s="5" t="s">
        <v>211</v>
      </c>
      <c r="D185" s="9"/>
      <c r="E185" s="7">
        <v>10.0</v>
      </c>
      <c r="F185" s="2">
        <f>VLOOKUP(C185, Material!$D$2:$F$52, 3, FALSE)</f>
        <v>500</v>
      </c>
    </row>
    <row r="186">
      <c r="B186" s="2" t="s">
        <v>25</v>
      </c>
      <c r="C186" s="5" t="s">
        <v>211</v>
      </c>
      <c r="D186" s="9"/>
      <c r="E186" s="7">
        <v>10.0</v>
      </c>
      <c r="F186" s="2">
        <f>VLOOKUP(C186, Material!$D$2:$F$52, 3, FALSE)</f>
        <v>500</v>
      </c>
    </row>
    <row r="187">
      <c r="B187" s="2" t="s">
        <v>26</v>
      </c>
      <c r="C187" s="5" t="s">
        <v>211</v>
      </c>
      <c r="D187" s="9"/>
      <c r="E187" s="7">
        <v>10.0</v>
      </c>
      <c r="F187" s="2">
        <f>VLOOKUP(C187, Material!$D$2:$F$52, 3, FALSE)</f>
        <v>500</v>
      </c>
    </row>
    <row r="188">
      <c r="B188" s="2" t="s">
        <v>27</v>
      </c>
      <c r="C188" s="5" t="s">
        <v>211</v>
      </c>
      <c r="D188" s="9"/>
      <c r="E188" s="7">
        <v>10.0</v>
      </c>
      <c r="F188" s="2">
        <f>VLOOKUP(C188, Material!$D$2:$F$52, 3, FALSE)</f>
        <v>500</v>
      </c>
    </row>
    <row r="189">
      <c r="B189" s="2" t="s">
        <v>28</v>
      </c>
      <c r="C189" s="5" t="s">
        <v>211</v>
      </c>
      <c r="D189" s="9"/>
      <c r="E189" s="7">
        <v>10.0</v>
      </c>
      <c r="F189" s="2">
        <f>VLOOKUP(C189, Material!$D$2:$F$52, 3, FALSE)</f>
        <v>500</v>
      </c>
    </row>
    <row r="190">
      <c r="B190" s="2" t="s">
        <v>29</v>
      </c>
      <c r="C190" s="5" t="s">
        <v>211</v>
      </c>
      <c r="D190" s="9"/>
      <c r="E190" s="7">
        <v>10.0</v>
      </c>
      <c r="F190" s="2">
        <f>VLOOKUP(C190, Material!$D$2:$F$52, 3, FALSE)</f>
        <v>500</v>
      </c>
    </row>
    <row r="191">
      <c r="B191" s="2" t="s">
        <v>31</v>
      </c>
      <c r="C191" s="5" t="s">
        <v>211</v>
      </c>
      <c r="D191" s="9"/>
      <c r="E191" s="7">
        <v>10.0</v>
      </c>
      <c r="F191" s="2">
        <f>VLOOKUP(C191, Material!$D$2:$F$52, 3, FALSE)</f>
        <v>500</v>
      </c>
    </row>
    <row r="192">
      <c r="B192" s="2" t="s">
        <v>33</v>
      </c>
      <c r="C192" s="5" t="s">
        <v>211</v>
      </c>
      <c r="D192" s="9"/>
      <c r="E192" s="7">
        <v>10.0</v>
      </c>
      <c r="F192" s="2">
        <f>VLOOKUP(C192, Material!$D$2:$F$52, 3, FALSE)</f>
        <v>500</v>
      </c>
    </row>
    <row r="193">
      <c r="B193" s="2" t="s">
        <v>35</v>
      </c>
      <c r="C193" s="5" t="s">
        <v>211</v>
      </c>
      <c r="D193" s="9"/>
      <c r="E193" s="7">
        <v>10.0</v>
      </c>
      <c r="F193" s="2">
        <f>VLOOKUP(C193, Material!$D$2:$F$52, 3, FALSE)</f>
        <v>500</v>
      </c>
    </row>
    <row r="194">
      <c r="B194" s="2" t="s">
        <v>37</v>
      </c>
      <c r="C194" s="5" t="s">
        <v>211</v>
      </c>
      <c r="D194" s="9"/>
      <c r="E194" s="7">
        <v>10.0</v>
      </c>
      <c r="F194" s="2">
        <f>VLOOKUP(C194, Material!$D$2:$F$52, 3, FALSE)</f>
        <v>500</v>
      </c>
    </row>
    <row r="195">
      <c r="B195" s="2" t="s">
        <v>39</v>
      </c>
      <c r="C195" s="5" t="s">
        <v>211</v>
      </c>
      <c r="D195" s="9"/>
      <c r="E195" s="7">
        <v>10.0</v>
      </c>
      <c r="F195" s="2">
        <f>VLOOKUP(C195, Material!$D$2:$F$52, 3, FALSE)</f>
        <v>500</v>
      </c>
    </row>
    <row r="196">
      <c r="B196" s="2" t="s">
        <v>41</v>
      </c>
      <c r="C196" s="5" t="s">
        <v>211</v>
      </c>
      <c r="D196" s="9"/>
      <c r="E196" s="7">
        <v>10.0</v>
      </c>
      <c r="F196" s="2">
        <f>VLOOKUP(C196, Material!$D$2:$F$52, 3, FALSE)</f>
        <v>500</v>
      </c>
    </row>
    <row r="197">
      <c r="B197" s="2" t="s">
        <v>42</v>
      </c>
      <c r="C197" s="5" t="s">
        <v>211</v>
      </c>
      <c r="D197" s="9"/>
      <c r="E197" s="7">
        <v>10.0</v>
      </c>
      <c r="F197" s="2">
        <f>VLOOKUP(C197, Material!$D$2:$F$52, 3, FALSE)</f>
        <v>500</v>
      </c>
    </row>
    <row r="198">
      <c r="B198" s="2" t="s">
        <v>43</v>
      </c>
      <c r="C198" s="5" t="s">
        <v>211</v>
      </c>
      <c r="D198" s="9"/>
      <c r="E198" s="7">
        <v>10.0</v>
      </c>
      <c r="F198" s="2">
        <f>VLOOKUP(C198, Material!$D$2:$F$52, 3, FALSE)</f>
        <v>500</v>
      </c>
    </row>
    <row r="199">
      <c r="B199" s="2" t="s">
        <v>44</v>
      </c>
      <c r="C199" s="5" t="s">
        <v>211</v>
      </c>
      <c r="D199" s="9"/>
      <c r="E199" s="7">
        <v>10.0</v>
      </c>
      <c r="F199" s="2">
        <f>VLOOKUP(C199, Material!$D$2:$F$52, 3, FALSE)</f>
        <v>500</v>
      </c>
    </row>
    <row r="200">
      <c r="B200" s="2" t="s">
        <v>45</v>
      </c>
      <c r="C200" s="5" t="s">
        <v>211</v>
      </c>
      <c r="D200" s="9"/>
      <c r="E200" s="7">
        <v>10.0</v>
      </c>
      <c r="F200" s="2">
        <f>VLOOKUP(C200, Material!$D$2:$F$52, 3, FALSE)</f>
        <v>500</v>
      </c>
    </row>
    <row r="201">
      <c r="B201" s="2" t="s">
        <v>46</v>
      </c>
      <c r="C201" s="5" t="s">
        <v>211</v>
      </c>
      <c r="D201" s="9"/>
      <c r="E201" s="7">
        <v>10.0</v>
      </c>
      <c r="F201" s="2">
        <f>VLOOKUP(C201, Material!$D$2:$F$52, 3, FALSE)</f>
        <v>500</v>
      </c>
    </row>
    <row r="202">
      <c r="B202" s="2" t="s">
        <v>47</v>
      </c>
      <c r="C202" s="5" t="s">
        <v>211</v>
      </c>
      <c r="D202" s="9"/>
      <c r="E202" s="7">
        <v>10.0</v>
      </c>
      <c r="F202" s="2">
        <f>VLOOKUP(C202, Material!$D$2:$F$52, 3, FALSE)</f>
        <v>500</v>
      </c>
    </row>
    <row r="203">
      <c r="B203" s="2" t="s">
        <v>48</v>
      </c>
      <c r="C203" s="5" t="s">
        <v>211</v>
      </c>
      <c r="D203" s="9"/>
      <c r="E203" s="7">
        <v>10.0</v>
      </c>
      <c r="F203" s="2">
        <f>VLOOKUP(C203, Material!$D$2:$F$52, 3, FALSE)</f>
        <v>500</v>
      </c>
    </row>
    <row r="204">
      <c r="B204" s="2" t="s">
        <v>49</v>
      </c>
      <c r="C204" s="5" t="s">
        <v>211</v>
      </c>
      <c r="D204" s="9"/>
      <c r="E204" s="7">
        <v>10.0</v>
      </c>
      <c r="F204" s="2">
        <f>VLOOKUP(C204, Material!$D$2:$F$52, 3, FALSE)</f>
        <v>500</v>
      </c>
    </row>
    <row r="205">
      <c r="B205" s="2" t="s">
        <v>50</v>
      </c>
      <c r="C205" s="5" t="s">
        <v>211</v>
      </c>
      <c r="D205" s="9"/>
      <c r="E205" s="7">
        <v>10.0</v>
      </c>
      <c r="F205" s="2">
        <f>VLOOKUP(C205, Material!$D$2:$F$52, 3, FALSE)</f>
        <v>500</v>
      </c>
    </row>
    <row r="206">
      <c r="B206" s="2" t="s">
        <v>51</v>
      </c>
      <c r="C206" s="5" t="s">
        <v>211</v>
      </c>
      <c r="D206" s="9"/>
      <c r="E206" s="7">
        <v>10.0</v>
      </c>
      <c r="F206" s="2">
        <f>VLOOKUP(C206, Material!$D$2:$F$52, 3, FALSE)</f>
        <v>500</v>
      </c>
    </row>
    <row r="207">
      <c r="B207" s="2" t="s">
        <v>52</v>
      </c>
      <c r="C207" s="5" t="s">
        <v>211</v>
      </c>
      <c r="D207" s="9"/>
      <c r="E207" s="7">
        <v>10.0</v>
      </c>
      <c r="F207" s="2">
        <f>VLOOKUP(C207, Material!$D$2:$F$52, 3, FALSE)</f>
        <v>500</v>
      </c>
    </row>
    <row r="208">
      <c r="B208" s="2" t="s">
        <v>53</v>
      </c>
      <c r="C208" s="5" t="s">
        <v>211</v>
      </c>
      <c r="D208" s="9"/>
      <c r="E208" s="7">
        <v>10.0</v>
      </c>
      <c r="F208" s="2">
        <f>VLOOKUP(C208, Material!$D$2:$F$52, 3, FALSE)</f>
        <v>500</v>
      </c>
    </row>
    <row r="209">
      <c r="B209" s="2" t="s">
        <v>54</v>
      </c>
      <c r="C209" s="5" t="s">
        <v>211</v>
      </c>
      <c r="D209" s="9"/>
      <c r="E209" s="7">
        <v>10.0</v>
      </c>
      <c r="F209" s="2">
        <f>VLOOKUP(C209, Material!$D$2:$F$52, 3, FALSE)</f>
        <v>500</v>
      </c>
    </row>
    <row r="210">
      <c r="B210" s="2" t="s">
        <v>55</v>
      </c>
      <c r="C210" s="5" t="s">
        <v>211</v>
      </c>
      <c r="D210" s="9"/>
      <c r="E210" s="7">
        <v>10.0</v>
      </c>
      <c r="F210" s="2">
        <f>VLOOKUP(C210, Material!$D$2:$F$52, 3, FALSE)</f>
        <v>500</v>
      </c>
    </row>
    <row r="211">
      <c r="B211" s="2" t="s">
        <v>56</v>
      </c>
      <c r="C211" s="5" t="s">
        <v>211</v>
      </c>
      <c r="D211" s="9"/>
      <c r="E211" s="7">
        <v>10.0</v>
      </c>
      <c r="F211" s="2">
        <f>VLOOKUP(C211, Material!$D$2:$F$52, 3, FALSE)</f>
        <v>500</v>
      </c>
    </row>
    <row r="212">
      <c r="B212" s="2" t="s">
        <v>57</v>
      </c>
      <c r="C212" s="5" t="s">
        <v>211</v>
      </c>
      <c r="D212" s="9"/>
      <c r="E212" s="7">
        <v>10.0</v>
      </c>
      <c r="F212" s="2">
        <f>VLOOKUP(C212, Material!$D$2:$F$52, 3, FALSE)</f>
        <v>500</v>
      </c>
    </row>
    <row r="213">
      <c r="B213" s="2" t="s">
        <v>58</v>
      </c>
      <c r="C213" s="5" t="s">
        <v>211</v>
      </c>
      <c r="D213" s="9"/>
      <c r="E213" s="7">
        <v>10.0</v>
      </c>
      <c r="F213" s="2">
        <f>VLOOKUP(C213, Material!$D$2:$F$52, 3, FALSE)</f>
        <v>500</v>
      </c>
    </row>
    <row r="214">
      <c r="B214" s="2" t="s">
        <v>59</v>
      </c>
      <c r="C214" s="5" t="s">
        <v>211</v>
      </c>
      <c r="D214" s="9"/>
      <c r="E214" s="7">
        <v>10.0</v>
      </c>
      <c r="F214" s="2">
        <f>VLOOKUP(C214, Material!$D$2:$F$52, 3, FALSE)</f>
        <v>500</v>
      </c>
    </row>
    <row r="215">
      <c r="B215" s="2" t="s">
        <v>60</v>
      </c>
      <c r="C215" s="5" t="s">
        <v>211</v>
      </c>
      <c r="D215" s="9"/>
      <c r="E215" s="7">
        <v>10.0</v>
      </c>
      <c r="F215" s="2">
        <f>VLOOKUP(C215, Material!$D$2:$F$52, 3, FALSE)</f>
        <v>500</v>
      </c>
    </row>
    <row r="216">
      <c r="B216" s="2" t="s">
        <v>61</v>
      </c>
      <c r="C216" s="5" t="s">
        <v>211</v>
      </c>
      <c r="D216" s="9"/>
      <c r="E216" s="7">
        <v>10.0</v>
      </c>
      <c r="F216" s="2">
        <f>VLOOKUP(C216, Material!$D$2:$F$52, 3, FALSE)</f>
        <v>500</v>
      </c>
    </row>
    <row r="217">
      <c r="B217" s="2" t="s">
        <v>62</v>
      </c>
      <c r="C217" s="5" t="s">
        <v>211</v>
      </c>
      <c r="D217" s="9"/>
      <c r="E217" s="7">
        <v>10.0</v>
      </c>
      <c r="F217" s="2">
        <f>VLOOKUP(C217, Material!$D$2:$F$52, 3, FALSE)</f>
        <v>500</v>
      </c>
    </row>
    <row r="218">
      <c r="B218" s="2" t="s">
        <v>63</v>
      </c>
      <c r="C218" s="5" t="s">
        <v>211</v>
      </c>
      <c r="D218" s="9"/>
      <c r="E218" s="7">
        <v>10.0</v>
      </c>
      <c r="F218" s="2">
        <f>VLOOKUP(C218, Material!$D$2:$F$52, 3, FALSE)</f>
        <v>500</v>
      </c>
    </row>
    <row r="219">
      <c r="B219" s="2" t="s">
        <v>64</v>
      </c>
      <c r="C219" s="5" t="s">
        <v>211</v>
      </c>
      <c r="D219" s="9"/>
      <c r="E219" s="7">
        <v>10.0</v>
      </c>
      <c r="F219" s="2">
        <f>VLOOKUP(C219, Material!$D$2:$F$52, 3, FALSE)</f>
        <v>500</v>
      </c>
    </row>
    <row r="220">
      <c r="B220" s="2" t="s">
        <v>65</v>
      </c>
      <c r="C220" s="5" t="s">
        <v>211</v>
      </c>
      <c r="D220" s="9"/>
      <c r="E220" s="7">
        <v>10.0</v>
      </c>
      <c r="F220" s="2">
        <f>VLOOKUP(C220, Material!$D$2:$F$52, 3, FALSE)</f>
        <v>500</v>
      </c>
    </row>
    <row r="221">
      <c r="B221" s="2" t="s">
        <v>66</v>
      </c>
      <c r="C221" s="5" t="s">
        <v>211</v>
      </c>
      <c r="D221" s="9"/>
      <c r="E221" s="7">
        <v>10.0</v>
      </c>
      <c r="F221" s="2">
        <f>VLOOKUP(C221, Material!$D$2:$F$52, 3, FALSE)</f>
        <v>500</v>
      </c>
    </row>
    <row r="222">
      <c r="B222" s="2" t="s">
        <v>67</v>
      </c>
      <c r="C222" s="5" t="s">
        <v>211</v>
      </c>
      <c r="D222" s="9"/>
      <c r="E222" s="7">
        <v>10.0</v>
      </c>
      <c r="F222" s="2">
        <f>VLOOKUP(C222, Material!$D$2:$F$52, 3, FALSE)</f>
        <v>500</v>
      </c>
    </row>
    <row r="223">
      <c r="B223" s="2" t="s">
        <v>68</v>
      </c>
      <c r="C223" s="5" t="s">
        <v>211</v>
      </c>
      <c r="D223" s="9"/>
      <c r="E223" s="7">
        <v>10.0</v>
      </c>
      <c r="F223" s="2">
        <f>VLOOKUP(C223, Material!$D$2:$F$52, 3, FALSE)</f>
        <v>500</v>
      </c>
    </row>
    <row r="224">
      <c r="B224" s="2" t="s">
        <v>69</v>
      </c>
      <c r="C224" s="5" t="s">
        <v>211</v>
      </c>
      <c r="D224" s="9"/>
      <c r="E224" s="7">
        <v>10.0</v>
      </c>
      <c r="F224" s="2">
        <f>VLOOKUP(C224, Material!$D$2:$F$52, 3, FALSE)</f>
        <v>500</v>
      </c>
    </row>
    <row r="225">
      <c r="B225" s="2" t="s">
        <v>70</v>
      </c>
      <c r="C225" s="5" t="s">
        <v>211</v>
      </c>
      <c r="D225" s="9"/>
      <c r="E225" s="7">
        <v>10.0</v>
      </c>
      <c r="F225" s="2">
        <f>VLOOKUP(C225, Material!$D$2:$F$52, 3, FALSE)</f>
        <v>500</v>
      </c>
    </row>
    <row r="226">
      <c r="B226" s="2" t="s">
        <v>71</v>
      </c>
      <c r="C226" s="5" t="s">
        <v>211</v>
      </c>
      <c r="D226" s="9"/>
      <c r="E226" s="7">
        <v>10.0</v>
      </c>
      <c r="F226" s="2">
        <f>VLOOKUP(C226, Material!$D$2:$F$52, 3, FALSE)</f>
        <v>500</v>
      </c>
    </row>
    <row r="227">
      <c r="B227" s="2" t="s">
        <v>72</v>
      </c>
      <c r="C227" s="5" t="s">
        <v>211</v>
      </c>
      <c r="D227" s="9"/>
      <c r="E227" s="7">
        <v>10.0</v>
      </c>
      <c r="F227" s="2">
        <f>VLOOKUP(C227, Material!$D$2:$F$52, 3, FALSE)</f>
        <v>500</v>
      </c>
    </row>
    <row r="228">
      <c r="B228" s="2" t="s">
        <v>73</v>
      </c>
      <c r="C228" s="5" t="s">
        <v>211</v>
      </c>
      <c r="D228" s="9"/>
      <c r="E228" s="7">
        <v>10.0</v>
      </c>
      <c r="F228" s="2">
        <f>VLOOKUP(C228, Material!$D$2:$F$52, 3, FALSE)</f>
        <v>500</v>
      </c>
    </row>
    <row r="229">
      <c r="B229" s="2" t="s">
        <v>74</v>
      </c>
      <c r="C229" s="5" t="s">
        <v>211</v>
      </c>
      <c r="D229" s="9"/>
      <c r="E229" s="7">
        <v>10.0</v>
      </c>
      <c r="F229" s="2">
        <f>VLOOKUP(C229, Material!$D$2:$F$52, 3, FALSE)</f>
        <v>500</v>
      </c>
    </row>
    <row r="230">
      <c r="B230" s="2" t="s">
        <v>75</v>
      </c>
      <c r="C230" s="5" t="s">
        <v>211</v>
      </c>
      <c r="D230" s="9"/>
      <c r="E230" s="7">
        <v>10.0</v>
      </c>
      <c r="F230" s="2">
        <f>VLOOKUP(C230, Material!$D$2:$F$52, 3, FALSE)</f>
        <v>500</v>
      </c>
    </row>
    <row r="231">
      <c r="B231" s="2" t="s">
        <v>76</v>
      </c>
      <c r="C231" s="5" t="s">
        <v>211</v>
      </c>
      <c r="D231" s="9"/>
      <c r="E231" s="7">
        <v>10.0</v>
      </c>
      <c r="F231" s="2">
        <f>VLOOKUP(C231, Material!$D$2:$F$52, 3, FALSE)</f>
        <v>500</v>
      </c>
    </row>
    <row r="232">
      <c r="B232" s="2" t="s">
        <v>78</v>
      </c>
      <c r="C232" s="5" t="s">
        <v>211</v>
      </c>
      <c r="D232" s="9"/>
      <c r="E232" s="7">
        <v>10.0</v>
      </c>
      <c r="F232" s="2">
        <f>VLOOKUP(C232, Material!$D$2:$F$52, 3, FALSE)</f>
        <v>500</v>
      </c>
    </row>
    <row r="233">
      <c r="B233" s="2" t="s">
        <v>79</v>
      </c>
      <c r="C233" s="5" t="s">
        <v>211</v>
      </c>
      <c r="D233" s="9"/>
      <c r="E233" s="7">
        <v>10.0</v>
      </c>
      <c r="F233" s="2">
        <f>VLOOKUP(C233, Material!$D$2:$F$52, 3, FALSE)</f>
        <v>500</v>
      </c>
    </row>
    <row r="234">
      <c r="B234" s="2" t="s">
        <v>80</v>
      </c>
      <c r="C234" s="5" t="s">
        <v>211</v>
      </c>
      <c r="D234" s="9"/>
      <c r="E234" s="7">
        <v>10.0</v>
      </c>
      <c r="F234" s="2">
        <f>VLOOKUP(C234, Material!$D$2:$F$52, 3, FALSE)</f>
        <v>500</v>
      </c>
    </row>
    <row r="235">
      <c r="B235" s="2" t="s">
        <v>81</v>
      </c>
      <c r="C235" s="5" t="s">
        <v>211</v>
      </c>
      <c r="D235" s="9"/>
      <c r="E235" s="7">
        <v>10.0</v>
      </c>
      <c r="F235" s="2">
        <f>VLOOKUP(C235, Material!$D$2:$F$52, 3, FALSE)</f>
        <v>500</v>
      </c>
    </row>
    <row r="236">
      <c r="B236" s="2" t="s">
        <v>82</v>
      </c>
      <c r="C236" s="5" t="s">
        <v>211</v>
      </c>
      <c r="D236" s="9"/>
      <c r="E236" s="7">
        <v>10.0</v>
      </c>
      <c r="F236" s="2">
        <f>VLOOKUP(C236, Material!$D$2:$F$52, 3, FALSE)</f>
        <v>500</v>
      </c>
    </row>
    <row r="237">
      <c r="B237" s="2" t="s">
        <v>83</v>
      </c>
      <c r="C237" s="5" t="s">
        <v>211</v>
      </c>
      <c r="D237" s="9"/>
      <c r="E237" s="7">
        <v>10.0</v>
      </c>
      <c r="F237" s="2">
        <f>VLOOKUP(C237, Material!$D$2:$F$52, 3, FALSE)</f>
        <v>500</v>
      </c>
    </row>
    <row r="238">
      <c r="B238" s="2" t="s">
        <v>84</v>
      </c>
      <c r="C238" s="5" t="s">
        <v>211</v>
      </c>
      <c r="D238" s="9"/>
      <c r="E238" s="7">
        <v>10.0</v>
      </c>
      <c r="F238" s="2">
        <f>VLOOKUP(C238, Material!$D$2:$F$52, 3, FALSE)</f>
        <v>500</v>
      </c>
    </row>
    <row r="239">
      <c r="B239" s="2" t="s">
        <v>85</v>
      </c>
      <c r="C239" s="5" t="s">
        <v>211</v>
      </c>
      <c r="D239" s="9"/>
      <c r="E239" s="7">
        <v>10.0</v>
      </c>
      <c r="F239" s="2">
        <f>VLOOKUP(C239, Material!$D$2:$F$52, 3, FALSE)</f>
        <v>500</v>
      </c>
    </row>
    <row r="240">
      <c r="B240" s="2" t="s">
        <v>86</v>
      </c>
      <c r="C240" s="5" t="s">
        <v>211</v>
      </c>
      <c r="D240" s="9"/>
      <c r="E240" s="7">
        <v>10.0</v>
      </c>
      <c r="F240" s="2">
        <f>VLOOKUP(C240, Material!$D$2:$F$52, 3, FALSE)</f>
        <v>500</v>
      </c>
    </row>
    <row r="241">
      <c r="B241" s="2" t="s">
        <v>87</v>
      </c>
      <c r="C241" s="5" t="s">
        <v>211</v>
      </c>
      <c r="D241" s="9"/>
      <c r="E241" s="7">
        <v>10.0</v>
      </c>
      <c r="F241" s="2">
        <f>VLOOKUP(C241, Material!$D$2:$F$52, 3, FALSE)</f>
        <v>500</v>
      </c>
    </row>
    <row r="242">
      <c r="B242" s="2" t="s">
        <v>88</v>
      </c>
      <c r="C242" s="5" t="s">
        <v>211</v>
      </c>
      <c r="D242" s="9"/>
      <c r="E242" s="7">
        <v>10.0</v>
      </c>
      <c r="F242" s="2">
        <f>VLOOKUP(C242, Material!$D$2:$F$52, 3, FALSE)</f>
        <v>500</v>
      </c>
    </row>
    <row r="243">
      <c r="B243" s="2" t="s">
        <v>89</v>
      </c>
      <c r="C243" s="5" t="s">
        <v>211</v>
      </c>
      <c r="D243" s="9"/>
      <c r="E243" s="7">
        <v>10.0</v>
      </c>
      <c r="F243" s="2">
        <f>VLOOKUP(C243, Material!$D$2:$F$52, 3, FALSE)</f>
        <v>500</v>
      </c>
    </row>
    <row r="244">
      <c r="B244" s="2" t="s">
        <v>90</v>
      </c>
      <c r="C244" s="5" t="s">
        <v>211</v>
      </c>
      <c r="D244" s="9"/>
      <c r="E244" s="7">
        <v>10.0</v>
      </c>
      <c r="F244" s="2">
        <f>VLOOKUP(C244, Material!$D$2:$F$52, 3, FALSE)</f>
        <v>500</v>
      </c>
    </row>
    <row r="245">
      <c r="B245" s="2" t="s">
        <v>91</v>
      </c>
      <c r="C245" s="5" t="s">
        <v>211</v>
      </c>
      <c r="D245" s="9"/>
      <c r="E245" s="7">
        <v>10.0</v>
      </c>
      <c r="F245" s="2">
        <f>VLOOKUP(C245, Material!$D$2:$F$52, 3, FALSE)</f>
        <v>500</v>
      </c>
    </row>
    <row r="246">
      <c r="B246" s="2" t="s">
        <v>92</v>
      </c>
      <c r="C246" s="5" t="s">
        <v>211</v>
      </c>
      <c r="D246" s="9"/>
      <c r="E246" s="7">
        <v>10.0</v>
      </c>
      <c r="F246" s="2">
        <f>VLOOKUP(C246, Material!$D$2:$F$52, 3, FALSE)</f>
        <v>500</v>
      </c>
    </row>
    <row r="247">
      <c r="B247" s="2" t="s">
        <v>93</v>
      </c>
      <c r="C247" s="5" t="s">
        <v>211</v>
      </c>
      <c r="D247" s="9"/>
      <c r="E247" s="7">
        <v>10.0</v>
      </c>
      <c r="F247" s="2">
        <f>VLOOKUP(C247, Material!$D$2:$F$52, 3, FALSE)</f>
        <v>500</v>
      </c>
    </row>
    <row r="248">
      <c r="B248" s="2" t="s">
        <v>94</v>
      </c>
      <c r="C248" s="5" t="s">
        <v>211</v>
      </c>
      <c r="D248" s="9"/>
      <c r="E248" s="7">
        <v>10.0</v>
      </c>
      <c r="F248" s="2">
        <f>VLOOKUP(C248, Material!$D$2:$F$52, 3, FALSE)</f>
        <v>500</v>
      </c>
    </row>
    <row r="249">
      <c r="B249" s="2" t="s">
        <v>95</v>
      </c>
      <c r="C249" s="5" t="s">
        <v>211</v>
      </c>
      <c r="D249" s="9"/>
      <c r="E249" s="7">
        <v>10.0</v>
      </c>
      <c r="F249" s="2">
        <f>VLOOKUP(C249, Material!$D$2:$F$52, 3, FALSE)</f>
        <v>500</v>
      </c>
    </row>
    <row r="250">
      <c r="B250" s="2" t="s">
        <v>96</v>
      </c>
      <c r="C250" s="5" t="s">
        <v>211</v>
      </c>
      <c r="D250" s="9"/>
      <c r="E250" s="7">
        <v>10.0</v>
      </c>
      <c r="F250" s="2">
        <f>VLOOKUP(C250, Material!$D$2:$F$52, 3, FALSE)</f>
        <v>500</v>
      </c>
    </row>
    <row r="251">
      <c r="B251" s="2" t="s">
        <v>97</v>
      </c>
      <c r="C251" s="5" t="s">
        <v>211</v>
      </c>
      <c r="D251" s="9"/>
      <c r="E251" s="7">
        <v>10.0</v>
      </c>
      <c r="F251" s="2">
        <f>VLOOKUP(C251, Material!$D$2:$F$52, 3, FALSE)</f>
        <v>500</v>
      </c>
    </row>
    <row r="252">
      <c r="B252" s="2" t="s">
        <v>98</v>
      </c>
      <c r="C252" s="5" t="s">
        <v>211</v>
      </c>
      <c r="D252" s="9"/>
      <c r="E252" s="7">
        <v>10.0</v>
      </c>
      <c r="F252" s="2">
        <f>VLOOKUP(C252, Material!$D$2:$F$52, 3, FALSE)</f>
        <v>500</v>
      </c>
    </row>
    <row r="253">
      <c r="B253" s="2" t="s">
        <v>99</v>
      </c>
      <c r="C253" s="5" t="s">
        <v>211</v>
      </c>
      <c r="D253" s="9"/>
      <c r="E253" s="7">
        <v>10.0</v>
      </c>
      <c r="F253" s="2">
        <f>VLOOKUP(C253, Material!$D$2:$F$52, 3, FALSE)</f>
        <v>500</v>
      </c>
    </row>
    <row r="254">
      <c r="B254" s="2" t="s">
        <v>100</v>
      </c>
      <c r="C254" s="5" t="s">
        <v>211</v>
      </c>
      <c r="D254" s="9"/>
      <c r="E254" s="7">
        <v>10.0</v>
      </c>
      <c r="F254" s="2">
        <f>VLOOKUP(C254, Material!$D$2:$F$52, 3, FALSE)</f>
        <v>500</v>
      </c>
    </row>
    <row r="255">
      <c r="B255" s="2" t="s">
        <v>101</v>
      </c>
      <c r="C255" s="5" t="s">
        <v>211</v>
      </c>
      <c r="D255" s="9"/>
      <c r="E255" s="7">
        <v>10.0</v>
      </c>
      <c r="F255" s="2">
        <f>VLOOKUP(C255, Material!$D$2:$F$52, 3, FALSE)</f>
        <v>500</v>
      </c>
    </row>
    <row r="256">
      <c r="B256" s="2" t="s">
        <v>102</v>
      </c>
      <c r="C256" s="5" t="s">
        <v>211</v>
      </c>
      <c r="D256" s="9"/>
      <c r="E256" s="7">
        <v>10.0</v>
      </c>
      <c r="F256" s="2">
        <f>VLOOKUP(C256, Material!$D$2:$F$52, 3, FALSE)</f>
        <v>500</v>
      </c>
    </row>
    <row r="257">
      <c r="B257" s="2" t="s">
        <v>103</v>
      </c>
      <c r="C257" s="5" t="s">
        <v>211</v>
      </c>
      <c r="D257" s="9"/>
      <c r="E257" s="7">
        <v>10.0</v>
      </c>
      <c r="F257" s="2">
        <f>VLOOKUP(C257, Material!$D$2:$F$52, 3, FALSE)</f>
        <v>500</v>
      </c>
    </row>
    <row r="258">
      <c r="B258" s="2" t="s">
        <v>104</v>
      </c>
      <c r="C258" s="5" t="s">
        <v>211</v>
      </c>
      <c r="D258" s="9"/>
      <c r="E258" s="7">
        <v>10.0</v>
      </c>
      <c r="F258" s="2">
        <f>VLOOKUP(C258, Material!$D$2:$F$52, 3, FALSE)</f>
        <v>500</v>
      </c>
    </row>
    <row r="259">
      <c r="B259" s="2" t="s">
        <v>105</v>
      </c>
      <c r="C259" s="5" t="s">
        <v>211</v>
      </c>
      <c r="D259" s="9"/>
      <c r="E259" s="7">
        <v>10.0</v>
      </c>
      <c r="F259" s="2">
        <f>VLOOKUP(C259, Material!$D$2:$F$52, 3, FALSE)</f>
        <v>500</v>
      </c>
    </row>
    <row r="260">
      <c r="B260" s="2" t="s">
        <v>106</v>
      </c>
      <c r="C260" s="5" t="s">
        <v>211</v>
      </c>
      <c r="D260" s="9"/>
      <c r="E260" s="7">
        <v>10.0</v>
      </c>
      <c r="F260" s="2">
        <f>VLOOKUP(C260, Material!$D$2:$F$52, 3, FALSE)</f>
        <v>500</v>
      </c>
    </row>
    <row r="261">
      <c r="B261" s="2" t="s">
        <v>107</v>
      </c>
      <c r="C261" s="5" t="s">
        <v>211</v>
      </c>
      <c r="D261" s="9"/>
      <c r="E261" s="7">
        <v>10.0</v>
      </c>
      <c r="F261" s="2">
        <f>VLOOKUP(C261, Material!$D$2:$F$52, 3, FALSE)</f>
        <v>500</v>
      </c>
    </row>
    <row r="262">
      <c r="B262" s="2" t="s">
        <v>108</v>
      </c>
      <c r="C262" s="5" t="s">
        <v>211</v>
      </c>
      <c r="D262" s="9"/>
      <c r="E262" s="7">
        <v>10.0</v>
      </c>
      <c r="F262" s="2">
        <f>VLOOKUP(C262, Material!$D$2:$F$52, 3, FALSE)</f>
        <v>500</v>
      </c>
    </row>
    <row r="263">
      <c r="B263" s="2" t="s">
        <v>109</v>
      </c>
      <c r="C263" s="5" t="s">
        <v>211</v>
      </c>
      <c r="D263" s="9"/>
      <c r="E263" s="7">
        <v>10.0</v>
      </c>
      <c r="F263" s="2">
        <f>VLOOKUP(C263, Material!$D$2:$F$52, 3, FALSE)</f>
        <v>500</v>
      </c>
    </row>
    <row r="264">
      <c r="B264" s="2" t="s">
        <v>110</v>
      </c>
      <c r="C264" s="5" t="s">
        <v>211</v>
      </c>
      <c r="D264" s="9"/>
      <c r="E264" s="7">
        <v>10.0</v>
      </c>
      <c r="F264" s="2">
        <f>VLOOKUP(C264, Material!$D$2:$F$52, 3, FALSE)</f>
        <v>500</v>
      </c>
    </row>
    <row r="265">
      <c r="B265" s="2" t="s">
        <v>111</v>
      </c>
      <c r="C265" s="5" t="s">
        <v>211</v>
      </c>
      <c r="D265" s="9"/>
      <c r="E265" s="7">
        <v>10.0</v>
      </c>
      <c r="F265" s="2">
        <f>VLOOKUP(C265, Material!$D$2:$F$52, 3, FALSE)</f>
        <v>500</v>
      </c>
    </row>
    <row r="266">
      <c r="B266" s="2" t="s">
        <v>112</v>
      </c>
      <c r="C266" s="5" t="s">
        <v>211</v>
      </c>
      <c r="D266" s="9"/>
      <c r="E266" s="7">
        <v>10.0</v>
      </c>
      <c r="F266" s="2">
        <f>VLOOKUP(C266, Material!$D$2:$F$52, 3, FALSE)</f>
        <v>500</v>
      </c>
    </row>
    <row r="267">
      <c r="B267" s="2" t="s">
        <v>113</v>
      </c>
      <c r="C267" s="5" t="s">
        <v>211</v>
      </c>
      <c r="D267" s="9"/>
      <c r="E267" s="7">
        <v>10.0</v>
      </c>
      <c r="F267" s="2">
        <f>VLOOKUP(C267, Material!$D$2:$F$52, 3, FALSE)</f>
        <v>500</v>
      </c>
    </row>
    <row r="268">
      <c r="B268" s="2" t="s">
        <v>114</v>
      </c>
      <c r="C268" s="5" t="s">
        <v>211</v>
      </c>
      <c r="D268" s="9"/>
      <c r="E268" s="7">
        <v>10.0</v>
      </c>
      <c r="F268" s="2">
        <f>VLOOKUP(C268, Material!$D$2:$F$52, 3, FALSE)</f>
        <v>500</v>
      </c>
    </row>
    <row r="269">
      <c r="B269" s="2" t="s">
        <v>115</v>
      </c>
      <c r="C269" s="5" t="s">
        <v>211</v>
      </c>
      <c r="D269" s="9"/>
      <c r="E269" s="7">
        <v>10.0</v>
      </c>
      <c r="F269" s="2">
        <f>VLOOKUP(C269, Material!$D$2:$F$52, 3, FALSE)</f>
        <v>500</v>
      </c>
    </row>
    <row r="270">
      <c r="B270" s="2" t="s">
        <v>116</v>
      </c>
      <c r="C270" s="5" t="s">
        <v>211</v>
      </c>
      <c r="D270" s="9"/>
      <c r="E270" s="7">
        <v>10.0</v>
      </c>
      <c r="F270" s="2">
        <f>VLOOKUP(C270, Material!$D$2:$F$52, 3, FALSE)</f>
        <v>500</v>
      </c>
    </row>
    <row r="271">
      <c r="B271" s="2" t="s">
        <v>117</v>
      </c>
      <c r="C271" s="5" t="s">
        <v>211</v>
      </c>
      <c r="D271" s="9"/>
      <c r="E271" s="7">
        <v>10.0</v>
      </c>
      <c r="F271" s="2">
        <f>VLOOKUP(C271, Material!$D$2:$F$52, 3, FALSE)</f>
        <v>500</v>
      </c>
    </row>
    <row r="272">
      <c r="B272" s="2" t="s">
        <v>118</v>
      </c>
      <c r="C272" s="5" t="s">
        <v>211</v>
      </c>
      <c r="D272" s="9"/>
      <c r="E272" s="7">
        <v>10.0</v>
      </c>
      <c r="F272" s="2">
        <f>VLOOKUP(C272, Material!$D$2:$F$52, 3, FALSE)</f>
        <v>500</v>
      </c>
    </row>
    <row r="273">
      <c r="B273" s="2" t="s">
        <v>119</v>
      </c>
      <c r="C273" s="5" t="s">
        <v>211</v>
      </c>
      <c r="D273" s="9"/>
      <c r="E273" s="7">
        <v>10.0</v>
      </c>
      <c r="F273" s="2">
        <f>VLOOKUP(C273, Material!$D$2:$F$52, 3, FALSE)</f>
        <v>500</v>
      </c>
    </row>
    <row r="274">
      <c r="B274" s="2" t="s">
        <v>120</v>
      </c>
      <c r="C274" s="5" t="s">
        <v>211</v>
      </c>
      <c r="D274" s="9"/>
      <c r="E274" s="7">
        <v>10.0</v>
      </c>
      <c r="F274" s="2">
        <f>VLOOKUP(C274, Material!$D$2:$F$52, 3, FALSE)</f>
        <v>500</v>
      </c>
    </row>
    <row r="275">
      <c r="B275" s="2" t="s">
        <v>121</v>
      </c>
      <c r="C275" s="5" t="s">
        <v>211</v>
      </c>
      <c r="D275" s="9"/>
      <c r="E275" s="7">
        <v>10.0</v>
      </c>
      <c r="F275" s="2">
        <f>VLOOKUP(C275, Material!$D$2:$F$52, 3, FALSE)</f>
        <v>500</v>
      </c>
    </row>
    <row r="276">
      <c r="B276" s="2" t="s">
        <v>122</v>
      </c>
      <c r="C276" s="5" t="s">
        <v>211</v>
      </c>
      <c r="D276" s="9"/>
      <c r="E276" s="7">
        <v>10.0</v>
      </c>
      <c r="F276" s="2">
        <f>VLOOKUP(C276, Material!$D$2:$F$52, 3, FALSE)</f>
        <v>500</v>
      </c>
    </row>
    <row r="277">
      <c r="B277" s="2" t="s">
        <v>123</v>
      </c>
      <c r="C277" s="5" t="s">
        <v>211</v>
      </c>
      <c r="D277" s="9"/>
      <c r="E277" s="7">
        <v>10.0</v>
      </c>
      <c r="F277" s="2">
        <f>VLOOKUP(C277, Material!$D$2:$F$52, 3, FALSE)</f>
        <v>500</v>
      </c>
    </row>
    <row r="278">
      <c r="B278" s="2" t="s">
        <v>124</v>
      </c>
      <c r="C278" s="5" t="s">
        <v>211</v>
      </c>
      <c r="D278" s="9"/>
      <c r="E278" s="7">
        <v>10.0</v>
      </c>
      <c r="F278" s="2">
        <f>VLOOKUP(C278, Material!$D$2:$F$52, 3, FALSE)</f>
        <v>500</v>
      </c>
    </row>
    <row r="279">
      <c r="B279" s="2" t="s">
        <v>125</v>
      </c>
      <c r="C279" s="5" t="s">
        <v>211</v>
      </c>
      <c r="D279" s="9"/>
      <c r="E279" s="7">
        <v>10.0</v>
      </c>
      <c r="F279" s="2">
        <f>VLOOKUP(C279, Material!$D$2:$F$52, 3, FALSE)</f>
        <v>500</v>
      </c>
    </row>
    <row r="280">
      <c r="B280" s="2" t="s">
        <v>126</v>
      </c>
      <c r="C280" s="5" t="s">
        <v>211</v>
      </c>
      <c r="D280" s="9"/>
      <c r="E280" s="7">
        <v>10.0</v>
      </c>
      <c r="F280" s="2">
        <f>VLOOKUP(C280, Material!$D$2:$F$52, 3, FALSE)</f>
        <v>500</v>
      </c>
    </row>
    <row r="281">
      <c r="B281" s="2" t="s">
        <v>127</v>
      </c>
      <c r="C281" s="5" t="s">
        <v>211</v>
      </c>
      <c r="D281" s="9"/>
      <c r="E281" s="7">
        <v>10.0</v>
      </c>
      <c r="F281" s="2">
        <f>VLOOKUP(C281, Material!$D$2:$F$52, 3, FALSE)</f>
        <v>500</v>
      </c>
    </row>
    <row r="282">
      <c r="B282" s="2" t="s">
        <v>128</v>
      </c>
      <c r="C282" s="5" t="s">
        <v>211</v>
      </c>
      <c r="D282" s="9"/>
      <c r="E282" s="7">
        <v>10.0</v>
      </c>
      <c r="F282" s="2">
        <f>VLOOKUP(C282, Material!$D$2:$F$52, 3, FALSE)</f>
        <v>500</v>
      </c>
    </row>
    <row r="283">
      <c r="B283" s="2" t="s">
        <v>129</v>
      </c>
      <c r="C283" s="5" t="s">
        <v>211</v>
      </c>
      <c r="D283" s="9"/>
      <c r="E283" s="7">
        <v>10.0</v>
      </c>
      <c r="F283" s="2">
        <f>VLOOKUP(C283, Material!$D$2:$F$52, 3, FALSE)</f>
        <v>500</v>
      </c>
    </row>
    <row r="284">
      <c r="B284" s="2" t="s">
        <v>130</v>
      </c>
      <c r="C284" s="5" t="s">
        <v>211</v>
      </c>
      <c r="D284" s="9"/>
      <c r="E284" s="7">
        <v>10.0</v>
      </c>
      <c r="F284" s="2">
        <f>VLOOKUP(C284, Material!$D$2:$F$52, 3, FALSE)</f>
        <v>500</v>
      </c>
    </row>
    <row r="285">
      <c r="D285" s="9"/>
      <c r="E285" s="13"/>
    </row>
    <row r="286">
      <c r="D286" s="9"/>
      <c r="E286" s="13"/>
    </row>
    <row r="287">
      <c r="D287" s="9"/>
      <c r="E287" s="13"/>
    </row>
    <row r="288">
      <c r="D288" s="9"/>
      <c r="E288" s="13"/>
    </row>
    <row r="289">
      <c r="D289" s="9"/>
      <c r="E289" s="13"/>
    </row>
    <row r="290">
      <c r="D290" s="9"/>
      <c r="E290" s="13"/>
    </row>
    <row r="291">
      <c r="D291" s="9"/>
      <c r="E291" s="13"/>
    </row>
    <row r="292">
      <c r="D292" s="9"/>
      <c r="E292" s="13"/>
    </row>
    <row r="293">
      <c r="D293" s="9"/>
      <c r="E293" s="13"/>
    </row>
    <row r="294">
      <c r="D294" s="9"/>
      <c r="E294" s="13"/>
    </row>
    <row r="295">
      <c r="D295" s="9"/>
      <c r="E295" s="13"/>
    </row>
    <row r="296">
      <c r="D296" s="9"/>
      <c r="E296" s="13"/>
    </row>
    <row r="297">
      <c r="D297" s="9"/>
      <c r="E297" s="13"/>
    </row>
    <row r="298">
      <c r="D298" s="9"/>
      <c r="E298" s="13"/>
    </row>
    <row r="299">
      <c r="D299" s="9"/>
      <c r="E299" s="13"/>
    </row>
    <row r="300">
      <c r="D300" s="9"/>
      <c r="E300" s="13"/>
    </row>
    <row r="301">
      <c r="D301" s="9"/>
      <c r="E301" s="13"/>
    </row>
    <row r="302">
      <c r="D302" s="9"/>
      <c r="E302" s="13"/>
    </row>
    <row r="303">
      <c r="D303" s="9"/>
      <c r="E303" s="13"/>
    </row>
    <row r="304">
      <c r="D304" s="9"/>
      <c r="E304" s="13"/>
    </row>
    <row r="305">
      <c r="D305" s="9"/>
      <c r="E305" s="13"/>
    </row>
    <row r="306">
      <c r="D306" s="9"/>
      <c r="E306" s="13"/>
    </row>
    <row r="307">
      <c r="D307" s="9"/>
      <c r="E307" s="13"/>
    </row>
    <row r="308">
      <c r="D308" s="9"/>
      <c r="E308" s="13"/>
    </row>
    <row r="309">
      <c r="D309" s="9"/>
      <c r="E309" s="13"/>
    </row>
    <row r="310">
      <c r="D310" s="9"/>
      <c r="E310" s="13"/>
    </row>
    <row r="311">
      <c r="D311" s="9"/>
      <c r="E311" s="13"/>
    </row>
    <row r="312">
      <c r="D312" s="9"/>
      <c r="E312" s="13"/>
    </row>
    <row r="313">
      <c r="D313" s="9"/>
      <c r="E313" s="13"/>
    </row>
    <row r="314">
      <c r="D314" s="9"/>
      <c r="E314" s="13"/>
    </row>
    <row r="315">
      <c r="D315" s="9"/>
      <c r="E315" s="13"/>
    </row>
    <row r="316">
      <c r="D316" s="9"/>
      <c r="E316" s="13"/>
    </row>
    <row r="317">
      <c r="D317" s="9"/>
      <c r="E317" s="13"/>
    </row>
    <row r="318">
      <c r="D318" s="9"/>
      <c r="E318" s="13"/>
    </row>
    <row r="319">
      <c r="D319" s="9"/>
      <c r="E319" s="13"/>
    </row>
    <row r="320">
      <c r="D320" s="9"/>
      <c r="E320" s="13"/>
    </row>
    <row r="321">
      <c r="D321" s="9"/>
      <c r="E321" s="13"/>
    </row>
    <row r="322">
      <c r="D322" s="9"/>
      <c r="E322" s="13"/>
    </row>
    <row r="323">
      <c r="D323" s="9"/>
      <c r="E323" s="13"/>
    </row>
    <row r="324">
      <c r="D324" s="9"/>
      <c r="E324" s="13"/>
    </row>
    <row r="325">
      <c r="D325" s="9"/>
      <c r="E325" s="13"/>
    </row>
    <row r="326">
      <c r="D326" s="9"/>
      <c r="E326" s="13"/>
    </row>
    <row r="327">
      <c r="D327" s="9"/>
      <c r="E327" s="13"/>
    </row>
    <row r="328">
      <c r="D328" s="9"/>
      <c r="E328" s="13"/>
    </row>
    <row r="329">
      <c r="D329" s="9"/>
      <c r="E329" s="13"/>
    </row>
    <row r="330">
      <c r="D330" s="9"/>
      <c r="E330" s="13"/>
    </row>
    <row r="331">
      <c r="D331" s="9"/>
      <c r="E331" s="13"/>
    </row>
    <row r="332">
      <c r="D332" s="9"/>
      <c r="E332" s="13"/>
    </row>
    <row r="333">
      <c r="D333" s="9"/>
      <c r="E333" s="13"/>
    </row>
    <row r="334">
      <c r="D334" s="9"/>
      <c r="E334" s="13"/>
    </row>
    <row r="335">
      <c r="D335" s="9"/>
      <c r="E335" s="13"/>
    </row>
    <row r="336">
      <c r="D336" s="9"/>
      <c r="E336" s="13"/>
    </row>
    <row r="337">
      <c r="D337" s="9"/>
      <c r="E337" s="13"/>
    </row>
    <row r="338">
      <c r="D338" s="9"/>
      <c r="E338" s="13"/>
    </row>
    <row r="339">
      <c r="D339" s="9"/>
      <c r="E339" s="13"/>
    </row>
    <row r="340">
      <c r="D340" s="9"/>
      <c r="E340" s="13"/>
    </row>
    <row r="341">
      <c r="D341" s="9"/>
      <c r="E341" s="13"/>
    </row>
    <row r="342">
      <c r="D342" s="9"/>
      <c r="E342" s="13"/>
    </row>
    <row r="343">
      <c r="D343" s="9"/>
      <c r="E343" s="13"/>
    </row>
    <row r="344">
      <c r="D344" s="9"/>
      <c r="E344" s="13"/>
    </row>
    <row r="345">
      <c r="D345" s="9"/>
      <c r="E345" s="13"/>
    </row>
    <row r="346">
      <c r="D346" s="9"/>
      <c r="E346" s="13"/>
    </row>
    <row r="347">
      <c r="D347" s="9"/>
      <c r="E347" s="13"/>
    </row>
    <row r="348">
      <c r="D348" s="9"/>
      <c r="E348" s="13"/>
    </row>
    <row r="349">
      <c r="D349" s="9"/>
      <c r="E349" s="13"/>
    </row>
    <row r="350">
      <c r="D350" s="9"/>
      <c r="E350" s="13"/>
    </row>
    <row r="351">
      <c r="D351" s="9"/>
      <c r="E351" s="13"/>
    </row>
    <row r="352">
      <c r="D352" s="9"/>
      <c r="E352" s="13"/>
    </row>
    <row r="353">
      <c r="D353" s="9"/>
      <c r="E353" s="13"/>
    </row>
    <row r="354">
      <c r="D354" s="9"/>
      <c r="E354" s="13"/>
    </row>
    <row r="355">
      <c r="D355" s="9"/>
      <c r="E355" s="13"/>
    </row>
    <row r="356">
      <c r="D356" s="9"/>
      <c r="E356" s="13"/>
    </row>
    <row r="357">
      <c r="D357" s="9"/>
      <c r="E357" s="13"/>
    </row>
    <row r="358">
      <c r="D358" s="9"/>
      <c r="E358" s="13"/>
    </row>
    <row r="359">
      <c r="D359" s="9"/>
      <c r="E359" s="13"/>
    </row>
    <row r="360">
      <c r="D360" s="9"/>
      <c r="E360" s="13"/>
    </row>
    <row r="361">
      <c r="D361" s="9"/>
      <c r="E361" s="13"/>
    </row>
    <row r="362">
      <c r="D362" s="9"/>
      <c r="E362" s="13"/>
    </row>
    <row r="363">
      <c r="D363" s="9"/>
      <c r="E363" s="13"/>
    </row>
    <row r="364">
      <c r="D364" s="9"/>
      <c r="E364" s="13"/>
    </row>
    <row r="365">
      <c r="D365" s="9"/>
      <c r="E365" s="13"/>
    </row>
    <row r="366">
      <c r="D366" s="9"/>
      <c r="E366" s="13"/>
    </row>
    <row r="367">
      <c r="D367" s="9"/>
      <c r="E367" s="13"/>
    </row>
    <row r="368">
      <c r="D368" s="9"/>
      <c r="E368" s="13"/>
    </row>
    <row r="369">
      <c r="D369" s="9"/>
      <c r="E369" s="13"/>
    </row>
    <row r="370">
      <c r="D370" s="9"/>
      <c r="E370" s="13"/>
    </row>
    <row r="371">
      <c r="D371" s="9"/>
      <c r="E371" s="13"/>
    </row>
    <row r="372">
      <c r="D372" s="9"/>
      <c r="E372" s="13"/>
    </row>
    <row r="373">
      <c r="D373" s="9"/>
      <c r="E373" s="13"/>
    </row>
    <row r="374">
      <c r="D374" s="9"/>
      <c r="E374" s="13"/>
    </row>
    <row r="375">
      <c r="D375" s="9"/>
      <c r="E375" s="13"/>
    </row>
    <row r="376">
      <c r="D376" s="9"/>
      <c r="E376" s="13"/>
    </row>
    <row r="377">
      <c r="D377" s="9"/>
      <c r="E377" s="13"/>
    </row>
    <row r="378">
      <c r="D378" s="9"/>
      <c r="E378" s="13"/>
    </row>
    <row r="379">
      <c r="D379" s="9"/>
      <c r="E379" s="13"/>
    </row>
    <row r="380">
      <c r="D380" s="9"/>
      <c r="E380" s="13"/>
    </row>
    <row r="381">
      <c r="D381" s="9"/>
      <c r="E381" s="13"/>
    </row>
    <row r="382">
      <c r="D382" s="9"/>
      <c r="E382" s="13"/>
    </row>
    <row r="383">
      <c r="D383" s="9"/>
      <c r="E383" s="13"/>
    </row>
    <row r="384">
      <c r="D384" s="9"/>
      <c r="E384" s="13"/>
    </row>
    <row r="385">
      <c r="D385" s="9"/>
      <c r="E385" s="13"/>
    </row>
    <row r="386">
      <c r="D386" s="9"/>
      <c r="E386" s="13"/>
    </row>
    <row r="387">
      <c r="D387" s="9"/>
      <c r="E387" s="13"/>
    </row>
    <row r="388">
      <c r="D388" s="9"/>
      <c r="E388" s="13"/>
    </row>
    <row r="389">
      <c r="D389" s="9"/>
      <c r="E389" s="13"/>
    </row>
    <row r="390">
      <c r="D390" s="9"/>
      <c r="E390" s="13"/>
    </row>
    <row r="391">
      <c r="D391" s="9"/>
      <c r="E391" s="13"/>
    </row>
    <row r="392">
      <c r="D392" s="9"/>
      <c r="E392" s="13"/>
    </row>
    <row r="393">
      <c r="D393" s="9"/>
      <c r="E393" s="13"/>
    </row>
    <row r="394">
      <c r="D394" s="9"/>
      <c r="E394" s="13"/>
    </row>
    <row r="395">
      <c r="D395" s="9"/>
      <c r="E395" s="13"/>
    </row>
    <row r="396">
      <c r="D396" s="9"/>
      <c r="E396" s="13"/>
    </row>
    <row r="397">
      <c r="D397" s="9"/>
      <c r="E397" s="13"/>
    </row>
    <row r="398">
      <c r="D398" s="9"/>
      <c r="E398" s="13"/>
    </row>
    <row r="399">
      <c r="D399" s="9"/>
      <c r="E399" s="13"/>
    </row>
    <row r="400">
      <c r="D400" s="9"/>
      <c r="E400" s="13"/>
    </row>
    <row r="401">
      <c r="D401" s="9"/>
      <c r="E401" s="13"/>
    </row>
    <row r="402">
      <c r="D402" s="9"/>
      <c r="E402" s="13"/>
    </row>
    <row r="403">
      <c r="D403" s="9"/>
      <c r="E403" s="13"/>
    </row>
    <row r="404">
      <c r="D404" s="9"/>
      <c r="E404" s="13"/>
    </row>
    <row r="405">
      <c r="D405" s="9"/>
      <c r="E405" s="13"/>
    </row>
    <row r="406">
      <c r="D406" s="9"/>
      <c r="E406" s="13"/>
    </row>
    <row r="407">
      <c r="D407" s="9"/>
      <c r="E407" s="13"/>
    </row>
    <row r="408">
      <c r="D408" s="9"/>
      <c r="E408" s="13"/>
    </row>
    <row r="409">
      <c r="D409" s="9"/>
      <c r="E409" s="13"/>
    </row>
    <row r="410">
      <c r="D410" s="9"/>
      <c r="E410" s="13"/>
    </row>
    <row r="411">
      <c r="D411" s="9"/>
      <c r="E411" s="13"/>
    </row>
    <row r="412">
      <c r="D412" s="9"/>
      <c r="E412" s="13"/>
    </row>
    <row r="413">
      <c r="D413" s="9"/>
      <c r="E413" s="13"/>
    </row>
    <row r="414">
      <c r="D414" s="9"/>
      <c r="E414" s="13"/>
    </row>
    <row r="415">
      <c r="D415" s="9"/>
      <c r="E415" s="13"/>
    </row>
    <row r="416">
      <c r="D416" s="9"/>
      <c r="E416" s="13"/>
    </row>
    <row r="417">
      <c r="D417" s="9"/>
      <c r="E417" s="13"/>
    </row>
    <row r="418">
      <c r="D418" s="9"/>
      <c r="E418" s="13"/>
    </row>
    <row r="419">
      <c r="D419" s="9"/>
      <c r="E419" s="13"/>
    </row>
    <row r="420">
      <c r="D420" s="9"/>
      <c r="E420" s="13"/>
    </row>
    <row r="421">
      <c r="D421" s="9"/>
      <c r="E421" s="13"/>
    </row>
    <row r="422">
      <c r="D422" s="9"/>
      <c r="E422" s="13"/>
    </row>
    <row r="423">
      <c r="D423" s="9"/>
      <c r="E423" s="13"/>
    </row>
    <row r="424">
      <c r="D424" s="9"/>
      <c r="E424" s="13"/>
    </row>
    <row r="425">
      <c r="D425" s="9"/>
      <c r="E425" s="13"/>
    </row>
    <row r="426">
      <c r="D426" s="9"/>
      <c r="E426" s="13"/>
    </row>
    <row r="427">
      <c r="D427" s="9"/>
      <c r="E427" s="13"/>
    </row>
    <row r="428">
      <c r="D428" s="9"/>
      <c r="E428" s="13"/>
    </row>
    <row r="429">
      <c r="D429" s="9"/>
      <c r="E429" s="13"/>
    </row>
    <row r="430">
      <c r="D430" s="9"/>
      <c r="E430" s="13"/>
    </row>
    <row r="431">
      <c r="D431" s="9"/>
      <c r="E431" s="13"/>
    </row>
    <row r="432">
      <c r="D432" s="9"/>
      <c r="E432" s="13"/>
    </row>
    <row r="433">
      <c r="D433" s="9"/>
      <c r="E433" s="13"/>
    </row>
    <row r="434">
      <c r="D434" s="9"/>
      <c r="E434" s="13"/>
    </row>
    <row r="435">
      <c r="D435" s="9"/>
      <c r="E435" s="13"/>
    </row>
    <row r="436">
      <c r="D436" s="9"/>
      <c r="E436" s="13"/>
    </row>
    <row r="437">
      <c r="D437" s="9"/>
      <c r="E437" s="13"/>
    </row>
    <row r="438">
      <c r="D438" s="9"/>
      <c r="E438" s="13"/>
    </row>
    <row r="439">
      <c r="D439" s="9"/>
      <c r="E439" s="13"/>
    </row>
    <row r="440">
      <c r="D440" s="9"/>
      <c r="E440" s="13"/>
    </row>
    <row r="441">
      <c r="D441" s="9"/>
      <c r="E441" s="13"/>
    </row>
    <row r="442">
      <c r="D442" s="9"/>
      <c r="E442" s="13"/>
    </row>
    <row r="443">
      <c r="D443" s="9"/>
      <c r="E443" s="13"/>
    </row>
    <row r="444">
      <c r="D444" s="9"/>
      <c r="E444" s="13"/>
    </row>
    <row r="445">
      <c r="D445" s="9"/>
      <c r="E445" s="13"/>
    </row>
    <row r="446">
      <c r="D446" s="9"/>
      <c r="E446" s="13"/>
    </row>
    <row r="447">
      <c r="D447" s="9"/>
      <c r="E447" s="13"/>
    </row>
    <row r="448">
      <c r="D448" s="9"/>
      <c r="E448" s="13"/>
    </row>
    <row r="449">
      <c r="D449" s="9"/>
      <c r="E449" s="13"/>
    </row>
    <row r="450">
      <c r="D450" s="9"/>
      <c r="E450" s="13"/>
    </row>
    <row r="451">
      <c r="D451" s="9"/>
      <c r="E451" s="13"/>
    </row>
    <row r="452">
      <c r="D452" s="9"/>
      <c r="E452" s="13"/>
    </row>
    <row r="453">
      <c r="D453" s="9"/>
      <c r="E453" s="13"/>
    </row>
    <row r="454">
      <c r="D454" s="9"/>
      <c r="E454" s="13"/>
    </row>
    <row r="455">
      <c r="D455" s="9"/>
      <c r="E455" s="13"/>
    </row>
    <row r="456">
      <c r="D456" s="9"/>
      <c r="E456" s="13"/>
    </row>
    <row r="457">
      <c r="D457" s="9"/>
      <c r="E457" s="13"/>
    </row>
    <row r="458">
      <c r="D458" s="9"/>
      <c r="E458" s="13"/>
    </row>
    <row r="459">
      <c r="D459" s="9"/>
      <c r="E459" s="13"/>
    </row>
    <row r="460">
      <c r="D460" s="9"/>
      <c r="E460" s="13"/>
    </row>
    <row r="461">
      <c r="D461" s="9"/>
      <c r="E461" s="13"/>
    </row>
    <row r="462">
      <c r="D462" s="9"/>
      <c r="E462" s="13"/>
    </row>
    <row r="463">
      <c r="D463" s="9"/>
      <c r="E463" s="13"/>
    </row>
    <row r="464">
      <c r="D464" s="9"/>
      <c r="E464" s="13"/>
    </row>
    <row r="465">
      <c r="D465" s="9"/>
      <c r="E465" s="13"/>
    </row>
    <row r="466">
      <c r="D466" s="9"/>
      <c r="E466" s="13"/>
    </row>
    <row r="467">
      <c r="D467" s="9"/>
      <c r="E467" s="13"/>
    </row>
    <row r="468">
      <c r="D468" s="9"/>
      <c r="E468" s="13"/>
    </row>
    <row r="469">
      <c r="D469" s="9"/>
      <c r="E469" s="13"/>
    </row>
    <row r="470">
      <c r="D470" s="9"/>
      <c r="E470" s="13"/>
    </row>
    <row r="471">
      <c r="D471" s="9"/>
      <c r="E471" s="13"/>
    </row>
    <row r="472">
      <c r="D472" s="9"/>
      <c r="E472" s="13"/>
    </row>
    <row r="473">
      <c r="D473" s="9"/>
      <c r="E473" s="13"/>
    </row>
    <row r="474">
      <c r="D474" s="9"/>
      <c r="E474" s="13"/>
    </row>
    <row r="475">
      <c r="D475" s="9"/>
      <c r="E475" s="13"/>
    </row>
    <row r="476">
      <c r="D476" s="9"/>
      <c r="E476" s="13"/>
    </row>
    <row r="477">
      <c r="D477" s="9"/>
      <c r="E477" s="13"/>
    </row>
    <row r="478">
      <c r="D478" s="9"/>
      <c r="E478" s="13"/>
    </row>
    <row r="479">
      <c r="D479" s="9"/>
      <c r="E479" s="13"/>
    </row>
    <row r="480">
      <c r="D480" s="9"/>
      <c r="E480" s="13"/>
    </row>
    <row r="481">
      <c r="D481" s="9"/>
      <c r="E481" s="13"/>
    </row>
    <row r="482">
      <c r="D482" s="9"/>
      <c r="E482" s="13"/>
    </row>
    <row r="483">
      <c r="D483" s="9"/>
      <c r="E483" s="13"/>
    </row>
    <row r="484">
      <c r="D484" s="9"/>
      <c r="E484" s="13"/>
    </row>
    <row r="485">
      <c r="D485" s="9"/>
      <c r="E485" s="13"/>
    </row>
    <row r="486">
      <c r="D486" s="9"/>
      <c r="E486" s="13"/>
    </row>
    <row r="487">
      <c r="D487" s="9"/>
      <c r="E487" s="13"/>
    </row>
    <row r="488">
      <c r="D488" s="9"/>
      <c r="E488" s="13"/>
    </row>
    <row r="489">
      <c r="D489" s="9"/>
      <c r="E489" s="13"/>
    </row>
    <row r="490">
      <c r="D490" s="9"/>
      <c r="E490" s="13"/>
    </row>
    <row r="491">
      <c r="D491" s="9"/>
      <c r="E491" s="13"/>
    </row>
    <row r="492">
      <c r="D492" s="9"/>
      <c r="E492" s="13"/>
    </row>
    <row r="493">
      <c r="D493" s="9"/>
      <c r="E493" s="13"/>
    </row>
    <row r="494">
      <c r="D494" s="9"/>
      <c r="E494" s="13"/>
    </row>
    <row r="495">
      <c r="D495" s="9"/>
      <c r="E495" s="13"/>
    </row>
    <row r="496">
      <c r="D496" s="9"/>
      <c r="E496" s="13"/>
    </row>
    <row r="497">
      <c r="D497" s="9"/>
      <c r="E497" s="13"/>
    </row>
    <row r="498">
      <c r="D498" s="9"/>
      <c r="E498" s="13"/>
    </row>
    <row r="499">
      <c r="D499" s="9"/>
      <c r="E499" s="13"/>
    </row>
    <row r="500">
      <c r="D500" s="9"/>
      <c r="E500" s="13"/>
    </row>
    <row r="501">
      <c r="D501" s="9"/>
      <c r="E501" s="13"/>
    </row>
    <row r="502">
      <c r="D502" s="9"/>
      <c r="E502" s="13"/>
    </row>
    <row r="503">
      <c r="D503" s="9"/>
      <c r="E503" s="13"/>
    </row>
    <row r="504">
      <c r="D504" s="9"/>
      <c r="E504" s="13"/>
    </row>
    <row r="505">
      <c r="D505" s="9"/>
      <c r="E505" s="13"/>
    </row>
    <row r="506">
      <c r="D506" s="9"/>
      <c r="E506" s="13"/>
    </row>
    <row r="507">
      <c r="D507" s="9"/>
      <c r="E507" s="13"/>
    </row>
    <row r="508">
      <c r="D508" s="9"/>
      <c r="E508" s="13"/>
    </row>
    <row r="509">
      <c r="D509" s="9"/>
      <c r="E509" s="13"/>
    </row>
    <row r="510">
      <c r="D510" s="9"/>
      <c r="E510" s="13"/>
    </row>
    <row r="511">
      <c r="D511" s="9"/>
      <c r="E511" s="13"/>
    </row>
    <row r="512">
      <c r="D512" s="9"/>
      <c r="E512" s="13"/>
    </row>
    <row r="513">
      <c r="D513" s="9"/>
      <c r="E513" s="13"/>
    </row>
    <row r="514">
      <c r="D514" s="9"/>
      <c r="E514" s="13"/>
    </row>
    <row r="515">
      <c r="D515" s="9"/>
      <c r="E515" s="13"/>
    </row>
    <row r="516">
      <c r="D516" s="9"/>
      <c r="E516" s="13"/>
    </row>
    <row r="517">
      <c r="D517" s="9"/>
      <c r="E517" s="13"/>
    </row>
    <row r="518">
      <c r="D518" s="9"/>
      <c r="E518" s="13"/>
    </row>
    <row r="519">
      <c r="D519" s="9"/>
      <c r="E519" s="13"/>
    </row>
    <row r="520">
      <c r="D520" s="9"/>
      <c r="E520" s="13"/>
    </row>
    <row r="521">
      <c r="D521" s="9"/>
      <c r="E521" s="13"/>
    </row>
    <row r="522">
      <c r="D522" s="9"/>
      <c r="E522" s="13"/>
    </row>
    <row r="523">
      <c r="D523" s="9"/>
      <c r="E523" s="13"/>
    </row>
    <row r="524">
      <c r="D524" s="9"/>
      <c r="E524" s="13"/>
    </row>
    <row r="525">
      <c r="D525" s="9"/>
      <c r="E525" s="13"/>
    </row>
    <row r="526">
      <c r="D526" s="9"/>
      <c r="E526" s="13"/>
    </row>
    <row r="527">
      <c r="D527" s="9"/>
      <c r="E527" s="13"/>
    </row>
    <row r="528">
      <c r="D528" s="9"/>
      <c r="E528" s="13"/>
    </row>
    <row r="529">
      <c r="D529" s="9"/>
      <c r="E529" s="13"/>
    </row>
    <row r="530">
      <c r="D530" s="9"/>
      <c r="E530" s="13"/>
    </row>
    <row r="531">
      <c r="D531" s="9"/>
      <c r="E531" s="13"/>
    </row>
    <row r="532">
      <c r="D532" s="9"/>
      <c r="E532" s="13"/>
    </row>
    <row r="533">
      <c r="D533" s="9"/>
      <c r="E533" s="13"/>
    </row>
    <row r="534">
      <c r="D534" s="9"/>
      <c r="E534" s="13"/>
    </row>
    <row r="535">
      <c r="D535" s="9"/>
      <c r="E535" s="13"/>
    </row>
    <row r="536">
      <c r="D536" s="9"/>
      <c r="E536" s="13"/>
    </row>
    <row r="537">
      <c r="D537" s="9"/>
      <c r="E537" s="13"/>
    </row>
    <row r="538">
      <c r="D538" s="9"/>
      <c r="E538" s="13"/>
    </row>
    <row r="539">
      <c r="D539" s="9"/>
      <c r="E539" s="13"/>
    </row>
    <row r="540">
      <c r="D540" s="9"/>
      <c r="E540" s="13"/>
    </row>
    <row r="541">
      <c r="D541" s="9"/>
      <c r="E541" s="13"/>
    </row>
    <row r="542">
      <c r="D542" s="9"/>
      <c r="E542" s="13"/>
    </row>
    <row r="543">
      <c r="D543" s="9"/>
      <c r="E543" s="13"/>
    </row>
    <row r="544">
      <c r="D544" s="9"/>
      <c r="E544" s="13"/>
    </row>
    <row r="545">
      <c r="D545" s="9"/>
      <c r="E545" s="13"/>
    </row>
    <row r="546">
      <c r="D546" s="9"/>
      <c r="E546" s="13"/>
    </row>
    <row r="547">
      <c r="D547" s="9"/>
      <c r="E547" s="13"/>
    </row>
    <row r="548">
      <c r="D548" s="9"/>
      <c r="E548" s="13"/>
    </row>
    <row r="549">
      <c r="D549" s="9"/>
      <c r="E549" s="13"/>
    </row>
    <row r="550">
      <c r="D550" s="9"/>
      <c r="E550" s="13"/>
    </row>
    <row r="551">
      <c r="D551" s="9"/>
      <c r="E551" s="13"/>
    </row>
    <row r="552">
      <c r="D552" s="9"/>
      <c r="E552" s="13"/>
    </row>
    <row r="553">
      <c r="D553" s="9"/>
      <c r="E553" s="13"/>
    </row>
    <row r="554">
      <c r="D554" s="9"/>
      <c r="E554" s="13"/>
    </row>
    <row r="555">
      <c r="D555" s="9"/>
      <c r="E555" s="13"/>
    </row>
    <row r="556">
      <c r="D556" s="9"/>
      <c r="E556" s="13"/>
    </row>
    <row r="557">
      <c r="D557" s="9"/>
      <c r="E557" s="13"/>
    </row>
    <row r="558">
      <c r="D558" s="9"/>
      <c r="E558" s="13"/>
    </row>
    <row r="559">
      <c r="D559" s="9"/>
      <c r="E559" s="13"/>
    </row>
    <row r="560">
      <c r="D560" s="9"/>
      <c r="E560" s="13"/>
    </row>
    <row r="561">
      <c r="D561" s="9"/>
      <c r="E561" s="13"/>
    </row>
    <row r="562">
      <c r="D562" s="9"/>
      <c r="E562" s="13"/>
    </row>
    <row r="563">
      <c r="D563" s="9"/>
      <c r="E563" s="13"/>
    </row>
    <row r="564">
      <c r="D564" s="9"/>
      <c r="E564" s="13"/>
    </row>
    <row r="565">
      <c r="D565" s="9"/>
      <c r="E565" s="13"/>
    </row>
    <row r="566">
      <c r="D566" s="9"/>
      <c r="E566" s="13"/>
    </row>
    <row r="567">
      <c r="D567" s="9"/>
      <c r="E567" s="13"/>
    </row>
    <row r="568">
      <c r="D568" s="9"/>
      <c r="E568" s="13"/>
    </row>
    <row r="569">
      <c r="D569" s="9"/>
      <c r="E569" s="13"/>
    </row>
    <row r="570">
      <c r="D570" s="9"/>
      <c r="E570" s="13"/>
    </row>
    <row r="571">
      <c r="D571" s="9"/>
      <c r="E571" s="13"/>
    </row>
    <row r="572">
      <c r="D572" s="9"/>
      <c r="E572" s="13"/>
    </row>
    <row r="573">
      <c r="D573" s="9"/>
      <c r="E573" s="13"/>
    </row>
    <row r="574">
      <c r="D574" s="9"/>
      <c r="E574" s="13"/>
    </row>
    <row r="575">
      <c r="D575" s="9"/>
      <c r="E575" s="13"/>
    </row>
    <row r="576">
      <c r="D576" s="9"/>
      <c r="E576" s="13"/>
    </row>
    <row r="577">
      <c r="D577" s="9"/>
      <c r="E577" s="13"/>
    </row>
    <row r="578">
      <c r="D578" s="9"/>
      <c r="E578" s="13"/>
    </row>
    <row r="579">
      <c r="D579" s="9"/>
      <c r="E579" s="13"/>
    </row>
    <row r="580">
      <c r="D580" s="9"/>
      <c r="E580" s="13"/>
    </row>
    <row r="581">
      <c r="D581" s="9"/>
      <c r="E581" s="13"/>
    </row>
    <row r="582">
      <c r="D582" s="9"/>
      <c r="E582" s="13"/>
    </row>
    <row r="583">
      <c r="D583" s="9"/>
      <c r="E583" s="13"/>
    </row>
    <row r="584">
      <c r="D584" s="9"/>
      <c r="E584" s="13"/>
    </row>
    <row r="585">
      <c r="D585" s="9"/>
      <c r="E585" s="13"/>
    </row>
    <row r="586">
      <c r="D586" s="9"/>
      <c r="E586" s="13"/>
    </row>
    <row r="587">
      <c r="D587" s="9"/>
      <c r="E587" s="13"/>
    </row>
    <row r="588">
      <c r="D588" s="9"/>
      <c r="E588" s="13"/>
    </row>
    <row r="589">
      <c r="D589" s="9"/>
      <c r="E589" s="13"/>
    </row>
    <row r="590">
      <c r="D590" s="9"/>
      <c r="E590" s="13"/>
    </row>
    <row r="591">
      <c r="D591" s="9"/>
      <c r="E591" s="13"/>
    </row>
    <row r="592">
      <c r="D592" s="9"/>
      <c r="E592" s="13"/>
    </row>
    <row r="593">
      <c r="D593" s="9"/>
      <c r="E593" s="13"/>
    </row>
    <row r="594">
      <c r="D594" s="9"/>
      <c r="E594" s="13"/>
    </row>
    <row r="595">
      <c r="D595" s="9"/>
      <c r="E595" s="13"/>
    </row>
    <row r="596">
      <c r="D596" s="9"/>
      <c r="E596" s="13"/>
    </row>
    <row r="597">
      <c r="D597" s="9"/>
      <c r="E597" s="13"/>
    </row>
    <row r="598">
      <c r="D598" s="9"/>
      <c r="E598" s="13"/>
    </row>
    <row r="599">
      <c r="D599" s="9"/>
      <c r="E599" s="13"/>
    </row>
    <row r="600">
      <c r="D600" s="9"/>
      <c r="E600" s="13"/>
    </row>
    <row r="601">
      <c r="D601" s="9"/>
      <c r="E601" s="13"/>
    </row>
    <row r="602">
      <c r="D602" s="9"/>
      <c r="E602" s="13"/>
    </row>
    <row r="603">
      <c r="D603" s="9"/>
      <c r="E603" s="13"/>
    </row>
    <row r="604">
      <c r="D604" s="9"/>
      <c r="E604" s="13"/>
    </row>
    <row r="605">
      <c r="D605" s="9"/>
      <c r="E605" s="13"/>
    </row>
    <row r="606">
      <c r="D606" s="9"/>
      <c r="E606" s="13"/>
    </row>
    <row r="607">
      <c r="D607" s="9"/>
      <c r="E607" s="13"/>
    </row>
    <row r="608">
      <c r="D608" s="9"/>
      <c r="E608" s="13"/>
    </row>
    <row r="609">
      <c r="D609" s="9"/>
      <c r="E609" s="13"/>
    </row>
    <row r="610">
      <c r="D610" s="9"/>
      <c r="E610" s="13"/>
    </row>
    <row r="611">
      <c r="D611" s="9"/>
      <c r="E611" s="13"/>
    </row>
    <row r="612">
      <c r="D612" s="9"/>
      <c r="E612" s="13"/>
    </row>
    <row r="613">
      <c r="D613" s="9"/>
      <c r="E613" s="13"/>
    </row>
    <row r="614">
      <c r="D614" s="9"/>
      <c r="E614" s="13"/>
    </row>
    <row r="615">
      <c r="D615" s="9"/>
      <c r="E615" s="13"/>
    </row>
    <row r="616">
      <c r="D616" s="9"/>
      <c r="E616" s="13"/>
    </row>
    <row r="617">
      <c r="D617" s="9"/>
      <c r="E617" s="13"/>
    </row>
    <row r="618">
      <c r="D618" s="9"/>
      <c r="E618" s="13"/>
    </row>
    <row r="619">
      <c r="D619" s="9"/>
      <c r="E619" s="13"/>
    </row>
    <row r="620">
      <c r="D620" s="9"/>
      <c r="E620" s="13"/>
    </row>
    <row r="621">
      <c r="D621" s="9"/>
      <c r="E621" s="13"/>
    </row>
    <row r="622">
      <c r="D622" s="9"/>
      <c r="E622" s="13"/>
    </row>
    <row r="623">
      <c r="D623" s="9"/>
      <c r="E623" s="13"/>
    </row>
    <row r="624">
      <c r="D624" s="9"/>
      <c r="E624" s="13"/>
    </row>
    <row r="625">
      <c r="D625" s="9"/>
      <c r="E625" s="13"/>
    </row>
    <row r="626">
      <c r="D626" s="9"/>
      <c r="E626" s="13"/>
    </row>
    <row r="627">
      <c r="D627" s="9"/>
      <c r="E627" s="13"/>
    </row>
    <row r="628">
      <c r="D628" s="9"/>
      <c r="E628" s="13"/>
    </row>
    <row r="629">
      <c r="D629" s="9"/>
      <c r="E629" s="13"/>
    </row>
    <row r="630">
      <c r="D630" s="9"/>
      <c r="E630" s="13"/>
    </row>
    <row r="631">
      <c r="D631" s="9"/>
      <c r="E631" s="13"/>
    </row>
    <row r="632">
      <c r="D632" s="9"/>
      <c r="E632" s="13"/>
    </row>
    <row r="633">
      <c r="D633" s="9"/>
      <c r="E633" s="13"/>
    </row>
    <row r="634">
      <c r="D634" s="9"/>
      <c r="E634" s="13"/>
    </row>
    <row r="635">
      <c r="D635" s="9"/>
      <c r="E635" s="13"/>
    </row>
    <row r="636">
      <c r="D636" s="9"/>
      <c r="E636" s="13"/>
    </row>
    <row r="637">
      <c r="D637" s="9"/>
      <c r="E637" s="13"/>
    </row>
    <row r="638">
      <c r="D638" s="9"/>
      <c r="E638" s="13"/>
    </row>
    <row r="639">
      <c r="D639" s="9"/>
      <c r="E639" s="13"/>
    </row>
    <row r="640">
      <c r="D640" s="9"/>
      <c r="E640" s="13"/>
    </row>
    <row r="641">
      <c r="D641" s="9"/>
      <c r="E641" s="13"/>
    </row>
    <row r="642">
      <c r="D642" s="9"/>
      <c r="E642" s="13"/>
    </row>
    <row r="643">
      <c r="D643" s="9"/>
      <c r="E643" s="13"/>
    </row>
    <row r="644">
      <c r="D644" s="9"/>
      <c r="E644" s="13"/>
    </row>
    <row r="645">
      <c r="D645" s="9"/>
      <c r="E645" s="13"/>
    </row>
    <row r="646">
      <c r="D646" s="9"/>
      <c r="E646" s="13"/>
    </row>
    <row r="647">
      <c r="D647" s="9"/>
      <c r="E647" s="13"/>
    </row>
    <row r="648">
      <c r="D648" s="9"/>
      <c r="E648" s="13"/>
    </row>
    <row r="649">
      <c r="D649" s="9"/>
      <c r="E649" s="13"/>
    </row>
    <row r="650">
      <c r="D650" s="9"/>
      <c r="E650" s="13"/>
    </row>
    <row r="651">
      <c r="D651" s="9"/>
      <c r="E651" s="13"/>
    </row>
    <row r="652">
      <c r="D652" s="9"/>
      <c r="E652" s="13"/>
    </row>
    <row r="653">
      <c r="D653" s="9"/>
      <c r="E653" s="13"/>
    </row>
    <row r="654">
      <c r="D654" s="9"/>
      <c r="E654" s="13"/>
    </row>
    <row r="655">
      <c r="D655" s="9"/>
      <c r="E655" s="13"/>
    </row>
    <row r="656">
      <c r="D656" s="9"/>
      <c r="E656" s="13"/>
    </row>
    <row r="657">
      <c r="D657" s="9"/>
      <c r="E657" s="13"/>
    </row>
    <row r="658">
      <c r="D658" s="9"/>
      <c r="E658" s="13"/>
    </row>
    <row r="659">
      <c r="D659" s="9"/>
      <c r="E659" s="13"/>
    </row>
    <row r="660">
      <c r="D660" s="9"/>
      <c r="E660" s="13"/>
    </row>
    <row r="661">
      <c r="D661" s="9"/>
      <c r="E661" s="13"/>
    </row>
    <row r="662">
      <c r="D662" s="9"/>
      <c r="E662" s="13"/>
    </row>
    <row r="663">
      <c r="D663" s="9"/>
      <c r="E663" s="13"/>
    </row>
    <row r="664">
      <c r="D664" s="9"/>
      <c r="E664" s="13"/>
    </row>
    <row r="665">
      <c r="D665" s="9"/>
      <c r="E665" s="13"/>
    </row>
    <row r="666">
      <c r="D666" s="9"/>
      <c r="E666" s="13"/>
    </row>
    <row r="667">
      <c r="D667" s="9"/>
      <c r="E667" s="13"/>
    </row>
    <row r="668">
      <c r="D668" s="9"/>
      <c r="E668" s="13"/>
    </row>
    <row r="669">
      <c r="D669" s="9"/>
      <c r="E669" s="13"/>
    </row>
    <row r="670">
      <c r="D670" s="9"/>
      <c r="E670" s="13"/>
    </row>
    <row r="671">
      <c r="D671" s="9"/>
      <c r="E671" s="13"/>
    </row>
    <row r="672">
      <c r="D672" s="9"/>
      <c r="E672" s="13"/>
    </row>
    <row r="673">
      <c r="D673" s="9"/>
      <c r="E673" s="13"/>
    </row>
    <row r="674">
      <c r="D674" s="9"/>
      <c r="E674" s="13"/>
    </row>
    <row r="675">
      <c r="D675" s="9"/>
      <c r="E675" s="13"/>
    </row>
    <row r="676">
      <c r="D676" s="9"/>
      <c r="E676" s="13"/>
    </row>
    <row r="677">
      <c r="D677" s="9"/>
      <c r="E677" s="13"/>
    </row>
    <row r="678">
      <c r="D678" s="9"/>
      <c r="E678" s="13"/>
    </row>
    <row r="679">
      <c r="D679" s="9"/>
      <c r="E679" s="13"/>
    </row>
    <row r="680">
      <c r="D680" s="9"/>
      <c r="E680" s="13"/>
    </row>
    <row r="681">
      <c r="D681" s="9"/>
      <c r="E681" s="13"/>
    </row>
    <row r="682">
      <c r="D682" s="9"/>
      <c r="E682" s="13"/>
    </row>
    <row r="683">
      <c r="D683" s="9"/>
      <c r="E683" s="13"/>
    </row>
    <row r="684">
      <c r="D684" s="9"/>
      <c r="E684" s="13"/>
    </row>
    <row r="685">
      <c r="D685" s="9"/>
      <c r="E685" s="13"/>
    </row>
    <row r="686">
      <c r="D686" s="9"/>
      <c r="E686" s="13"/>
    </row>
    <row r="687">
      <c r="D687" s="9"/>
      <c r="E687" s="13"/>
    </row>
    <row r="688">
      <c r="D688" s="9"/>
      <c r="E688" s="13"/>
    </row>
    <row r="689">
      <c r="D689" s="9"/>
      <c r="E689" s="13"/>
    </row>
    <row r="690">
      <c r="D690" s="9"/>
      <c r="E690" s="13"/>
    </row>
    <row r="691">
      <c r="D691" s="9"/>
      <c r="E691" s="13"/>
    </row>
    <row r="692">
      <c r="D692" s="9"/>
      <c r="E692" s="13"/>
    </row>
    <row r="693">
      <c r="D693" s="9"/>
      <c r="E693" s="13"/>
    </row>
    <row r="694">
      <c r="D694" s="9"/>
      <c r="E694" s="13"/>
    </row>
    <row r="695">
      <c r="D695" s="9"/>
      <c r="E695" s="13"/>
    </row>
    <row r="696">
      <c r="D696" s="9"/>
      <c r="E696" s="13"/>
    </row>
    <row r="697">
      <c r="D697" s="9"/>
      <c r="E697" s="13"/>
    </row>
    <row r="698">
      <c r="D698" s="9"/>
      <c r="E698" s="13"/>
    </row>
    <row r="699">
      <c r="D699" s="9"/>
      <c r="E699" s="13"/>
    </row>
    <row r="700">
      <c r="D700" s="9"/>
      <c r="E700" s="13"/>
    </row>
    <row r="701">
      <c r="D701" s="9"/>
      <c r="E701" s="13"/>
    </row>
    <row r="702">
      <c r="D702" s="9"/>
      <c r="E702" s="13"/>
    </row>
    <row r="703">
      <c r="D703" s="9"/>
      <c r="E703" s="13"/>
    </row>
    <row r="704">
      <c r="D704" s="9"/>
      <c r="E704" s="13"/>
    </row>
    <row r="705">
      <c r="D705" s="9"/>
      <c r="E705" s="13"/>
    </row>
    <row r="706">
      <c r="D706" s="9"/>
      <c r="E706" s="13"/>
    </row>
    <row r="707">
      <c r="D707" s="9"/>
      <c r="E707" s="13"/>
    </row>
    <row r="708">
      <c r="D708" s="9"/>
      <c r="E708" s="13"/>
    </row>
    <row r="709">
      <c r="D709" s="9"/>
      <c r="E709" s="13"/>
    </row>
    <row r="710">
      <c r="D710" s="9"/>
      <c r="E710" s="13"/>
    </row>
    <row r="711">
      <c r="D711" s="9"/>
      <c r="E711" s="13"/>
    </row>
    <row r="712">
      <c r="D712" s="9"/>
      <c r="E712" s="13"/>
    </row>
    <row r="713">
      <c r="D713" s="9"/>
      <c r="E713" s="13"/>
    </row>
    <row r="714">
      <c r="D714" s="9"/>
      <c r="E714" s="13"/>
    </row>
    <row r="715">
      <c r="D715" s="9"/>
      <c r="E715" s="13"/>
    </row>
    <row r="716">
      <c r="D716" s="9"/>
      <c r="E716" s="13"/>
    </row>
    <row r="717">
      <c r="D717" s="9"/>
      <c r="E717" s="13"/>
    </row>
    <row r="718">
      <c r="D718" s="9"/>
      <c r="E718" s="13"/>
    </row>
    <row r="719">
      <c r="D719" s="9"/>
      <c r="E719" s="13"/>
    </row>
    <row r="720">
      <c r="D720" s="9"/>
      <c r="E720" s="13"/>
    </row>
    <row r="721">
      <c r="D721" s="9"/>
      <c r="E721" s="13"/>
    </row>
    <row r="722">
      <c r="D722" s="9"/>
      <c r="E722" s="13"/>
    </row>
    <row r="723">
      <c r="D723" s="9"/>
      <c r="E723" s="13"/>
    </row>
    <row r="724">
      <c r="D724" s="9"/>
      <c r="E724" s="13"/>
    </row>
    <row r="725">
      <c r="D725" s="9"/>
      <c r="E725" s="13"/>
    </row>
    <row r="726">
      <c r="D726" s="9"/>
      <c r="E726" s="13"/>
    </row>
    <row r="727">
      <c r="D727" s="9"/>
      <c r="E727" s="13"/>
    </row>
    <row r="728">
      <c r="D728" s="9"/>
      <c r="E728" s="13"/>
    </row>
    <row r="729">
      <c r="D729" s="9"/>
      <c r="E729" s="13"/>
    </row>
    <row r="730">
      <c r="D730" s="9"/>
      <c r="E730" s="13"/>
    </row>
    <row r="731">
      <c r="D731" s="9"/>
      <c r="E731" s="13"/>
    </row>
    <row r="732">
      <c r="D732" s="9"/>
      <c r="E732" s="13"/>
    </row>
    <row r="733">
      <c r="D733" s="9"/>
      <c r="E733" s="13"/>
    </row>
    <row r="734">
      <c r="D734" s="9"/>
      <c r="E734" s="13"/>
    </row>
    <row r="735">
      <c r="D735" s="9"/>
      <c r="E735" s="13"/>
    </row>
    <row r="736">
      <c r="D736" s="9"/>
      <c r="E736" s="13"/>
    </row>
    <row r="737">
      <c r="D737" s="9"/>
      <c r="E737" s="13"/>
    </row>
    <row r="738">
      <c r="D738" s="9"/>
      <c r="E738" s="13"/>
    </row>
    <row r="739">
      <c r="D739" s="9"/>
      <c r="E739" s="13"/>
    </row>
    <row r="740">
      <c r="D740" s="9"/>
      <c r="E740" s="13"/>
    </row>
    <row r="741">
      <c r="D741" s="9"/>
      <c r="E741" s="13"/>
    </row>
    <row r="742">
      <c r="D742" s="9"/>
      <c r="E742" s="13"/>
    </row>
    <row r="743">
      <c r="D743" s="9"/>
      <c r="E743" s="13"/>
    </row>
    <row r="744">
      <c r="D744" s="9"/>
      <c r="E744" s="13"/>
    </row>
    <row r="745">
      <c r="D745" s="9"/>
      <c r="E745" s="13"/>
    </row>
    <row r="746">
      <c r="D746" s="9"/>
      <c r="E746" s="13"/>
    </row>
    <row r="747">
      <c r="D747" s="9"/>
      <c r="E747" s="13"/>
    </row>
    <row r="748">
      <c r="D748" s="9"/>
      <c r="E748" s="13"/>
    </row>
    <row r="749">
      <c r="D749" s="9"/>
      <c r="E749" s="13"/>
    </row>
    <row r="750">
      <c r="D750" s="9"/>
      <c r="E750" s="13"/>
    </row>
    <row r="751">
      <c r="D751" s="9"/>
      <c r="E751" s="13"/>
    </row>
    <row r="752">
      <c r="D752" s="9"/>
      <c r="E752" s="13"/>
    </row>
    <row r="753">
      <c r="D753" s="9"/>
      <c r="E753" s="13"/>
    </row>
    <row r="754">
      <c r="D754" s="9"/>
      <c r="E754" s="13"/>
    </row>
    <row r="755">
      <c r="D755" s="9"/>
      <c r="E755" s="13"/>
    </row>
    <row r="756">
      <c r="D756" s="9"/>
      <c r="E756" s="13"/>
    </row>
    <row r="757">
      <c r="D757" s="9"/>
      <c r="E757" s="13"/>
    </row>
    <row r="758">
      <c r="D758" s="9"/>
      <c r="E758" s="13"/>
    </row>
    <row r="759">
      <c r="D759" s="9"/>
      <c r="E759" s="13"/>
    </row>
    <row r="760">
      <c r="D760" s="9"/>
      <c r="E760" s="13"/>
    </row>
    <row r="761">
      <c r="D761" s="9"/>
      <c r="E761" s="13"/>
    </row>
    <row r="762">
      <c r="D762" s="9"/>
      <c r="E762" s="13"/>
    </row>
    <row r="763">
      <c r="D763" s="9"/>
      <c r="E763" s="13"/>
    </row>
    <row r="764">
      <c r="D764" s="9"/>
      <c r="E764" s="13"/>
    </row>
    <row r="765">
      <c r="D765" s="9"/>
      <c r="E765" s="13"/>
    </row>
    <row r="766">
      <c r="D766" s="9"/>
      <c r="E766" s="13"/>
    </row>
    <row r="767">
      <c r="D767" s="9"/>
      <c r="E767" s="13"/>
    </row>
    <row r="768">
      <c r="D768" s="9"/>
      <c r="E768" s="13"/>
    </row>
    <row r="769">
      <c r="D769" s="9"/>
      <c r="E769" s="13"/>
    </row>
    <row r="770">
      <c r="D770" s="9"/>
      <c r="E770" s="13"/>
    </row>
    <row r="771">
      <c r="D771" s="9"/>
      <c r="E771" s="13"/>
    </row>
    <row r="772">
      <c r="D772" s="9"/>
      <c r="E772" s="13"/>
    </row>
    <row r="773">
      <c r="D773" s="9"/>
      <c r="E773" s="13"/>
    </row>
    <row r="774">
      <c r="D774" s="9"/>
      <c r="E774" s="13"/>
    </row>
    <row r="775">
      <c r="D775" s="9"/>
      <c r="E775" s="13"/>
    </row>
    <row r="776">
      <c r="D776" s="9"/>
      <c r="E776" s="13"/>
    </row>
    <row r="777">
      <c r="D777" s="9"/>
      <c r="E777" s="13"/>
    </row>
    <row r="778">
      <c r="D778" s="9"/>
      <c r="E778" s="13"/>
    </row>
    <row r="779">
      <c r="D779" s="9"/>
      <c r="E779" s="13"/>
    </row>
    <row r="780">
      <c r="D780" s="9"/>
      <c r="E780" s="13"/>
    </row>
    <row r="781">
      <c r="D781" s="9"/>
      <c r="E781" s="13"/>
    </row>
    <row r="782">
      <c r="D782" s="9"/>
      <c r="E782" s="13"/>
    </row>
    <row r="783">
      <c r="D783" s="9"/>
      <c r="E783" s="13"/>
    </row>
    <row r="784">
      <c r="D784" s="9"/>
      <c r="E784" s="13"/>
    </row>
    <row r="785">
      <c r="D785" s="9"/>
      <c r="E785" s="13"/>
    </row>
    <row r="786">
      <c r="D786" s="9"/>
      <c r="E786" s="13"/>
    </row>
    <row r="787">
      <c r="D787" s="9"/>
      <c r="E787" s="13"/>
    </row>
    <row r="788">
      <c r="D788" s="9"/>
      <c r="E788" s="13"/>
    </row>
    <row r="789">
      <c r="D789" s="9"/>
      <c r="E789" s="13"/>
    </row>
    <row r="790">
      <c r="D790" s="9"/>
      <c r="E790" s="13"/>
    </row>
    <row r="791">
      <c r="D791" s="9"/>
      <c r="E791" s="13"/>
    </row>
    <row r="792">
      <c r="D792" s="9"/>
      <c r="E792" s="13"/>
    </row>
    <row r="793">
      <c r="D793" s="9"/>
      <c r="E793" s="13"/>
    </row>
    <row r="794">
      <c r="D794" s="9"/>
      <c r="E794" s="13"/>
    </row>
    <row r="795">
      <c r="D795" s="9"/>
      <c r="E795" s="13"/>
    </row>
    <row r="796">
      <c r="D796" s="9"/>
      <c r="E796" s="13"/>
    </row>
    <row r="797">
      <c r="D797" s="9"/>
      <c r="E797" s="13"/>
    </row>
    <row r="798">
      <c r="D798" s="9"/>
      <c r="E798" s="13"/>
    </row>
    <row r="799">
      <c r="D799" s="9"/>
      <c r="E799" s="13"/>
    </row>
    <row r="800">
      <c r="D800" s="9"/>
      <c r="E800" s="13"/>
    </row>
    <row r="801">
      <c r="D801" s="9"/>
      <c r="E801" s="13"/>
    </row>
    <row r="802">
      <c r="D802" s="9"/>
      <c r="E802" s="13"/>
    </row>
    <row r="803">
      <c r="D803" s="9"/>
      <c r="E803" s="13"/>
    </row>
    <row r="804">
      <c r="D804" s="9"/>
      <c r="E804" s="13"/>
    </row>
    <row r="805">
      <c r="D805" s="9"/>
      <c r="E805" s="13"/>
    </row>
    <row r="806">
      <c r="D806" s="9"/>
      <c r="E806" s="13"/>
    </row>
    <row r="807">
      <c r="D807" s="9"/>
      <c r="E807" s="13"/>
    </row>
    <row r="808">
      <c r="D808" s="9"/>
      <c r="E808" s="13"/>
    </row>
    <row r="809">
      <c r="D809" s="9"/>
      <c r="E809" s="13"/>
    </row>
    <row r="810">
      <c r="D810" s="9"/>
      <c r="E810" s="13"/>
    </row>
    <row r="811">
      <c r="D811" s="9"/>
      <c r="E811" s="13"/>
    </row>
    <row r="812">
      <c r="D812" s="9"/>
      <c r="E812" s="13"/>
    </row>
    <row r="813">
      <c r="D813" s="9"/>
      <c r="E813" s="13"/>
    </row>
    <row r="814">
      <c r="D814" s="9"/>
      <c r="E814" s="13"/>
    </row>
    <row r="815">
      <c r="D815" s="9"/>
      <c r="E815" s="13"/>
    </row>
    <row r="816">
      <c r="D816" s="9"/>
      <c r="E816" s="13"/>
    </row>
    <row r="817">
      <c r="D817" s="9"/>
      <c r="E817" s="13"/>
    </row>
    <row r="818">
      <c r="D818" s="9"/>
      <c r="E818" s="13"/>
    </row>
    <row r="819">
      <c r="D819" s="9"/>
      <c r="E819" s="13"/>
    </row>
    <row r="820">
      <c r="D820" s="9"/>
      <c r="E820" s="13"/>
    </row>
    <row r="821">
      <c r="D821" s="9"/>
      <c r="E821" s="13"/>
    </row>
    <row r="822">
      <c r="D822" s="9"/>
      <c r="E822" s="13"/>
    </row>
    <row r="823">
      <c r="D823" s="9"/>
      <c r="E823" s="13"/>
    </row>
    <row r="824">
      <c r="D824" s="9"/>
      <c r="E824" s="13"/>
    </row>
    <row r="825">
      <c r="D825" s="9"/>
      <c r="E825" s="13"/>
    </row>
    <row r="826">
      <c r="D826" s="9"/>
      <c r="E826" s="13"/>
    </row>
    <row r="827">
      <c r="D827" s="9"/>
      <c r="E827" s="13"/>
    </row>
    <row r="828">
      <c r="D828" s="9"/>
      <c r="E828" s="13"/>
    </row>
    <row r="829">
      <c r="D829" s="9"/>
      <c r="E829" s="13"/>
    </row>
    <row r="830">
      <c r="D830" s="9"/>
      <c r="E830" s="13"/>
    </row>
    <row r="831">
      <c r="D831" s="9"/>
      <c r="E831" s="13"/>
    </row>
    <row r="832">
      <c r="D832" s="9"/>
      <c r="E832" s="13"/>
    </row>
    <row r="833">
      <c r="D833" s="9"/>
      <c r="E833" s="13"/>
    </row>
    <row r="834">
      <c r="D834" s="9"/>
      <c r="E834" s="13"/>
    </row>
    <row r="835">
      <c r="D835" s="9"/>
      <c r="E835" s="13"/>
    </row>
    <row r="836">
      <c r="D836" s="9"/>
      <c r="E836" s="13"/>
    </row>
    <row r="837">
      <c r="D837" s="9"/>
      <c r="E837" s="13"/>
    </row>
    <row r="838">
      <c r="D838" s="9"/>
      <c r="E838" s="13"/>
    </row>
    <row r="839">
      <c r="D839" s="9"/>
      <c r="E839" s="13"/>
    </row>
    <row r="840">
      <c r="D840" s="9"/>
      <c r="E840" s="13"/>
    </row>
    <row r="841">
      <c r="D841" s="9"/>
      <c r="E841" s="13"/>
    </row>
    <row r="842">
      <c r="D842" s="9"/>
      <c r="E842" s="13"/>
    </row>
    <row r="843">
      <c r="D843" s="9"/>
      <c r="E843" s="13"/>
    </row>
    <row r="844">
      <c r="D844" s="9"/>
      <c r="E844" s="13"/>
    </row>
    <row r="845">
      <c r="D845" s="9"/>
      <c r="E845" s="13"/>
    </row>
    <row r="846">
      <c r="D846" s="9"/>
      <c r="E846" s="13"/>
    </row>
    <row r="847">
      <c r="D847" s="9"/>
      <c r="E847" s="13"/>
    </row>
    <row r="848">
      <c r="D848" s="9"/>
      <c r="E848" s="13"/>
    </row>
    <row r="849">
      <c r="D849" s="9"/>
      <c r="E849" s="13"/>
    </row>
    <row r="850">
      <c r="D850" s="9"/>
      <c r="E850" s="13"/>
    </row>
    <row r="851">
      <c r="D851" s="9"/>
      <c r="E851" s="13"/>
    </row>
    <row r="852">
      <c r="D852" s="9"/>
      <c r="E852" s="13"/>
    </row>
    <row r="853">
      <c r="D853" s="9"/>
      <c r="E853" s="13"/>
    </row>
    <row r="854">
      <c r="D854" s="9"/>
      <c r="E854" s="13"/>
    </row>
    <row r="855">
      <c r="D855" s="9"/>
      <c r="E855" s="13"/>
    </row>
    <row r="856">
      <c r="D856" s="9"/>
      <c r="E856" s="13"/>
    </row>
    <row r="857">
      <c r="D857" s="9"/>
      <c r="E857" s="13"/>
    </row>
    <row r="858">
      <c r="D858" s="9"/>
      <c r="E858" s="13"/>
    </row>
    <row r="859">
      <c r="D859" s="9"/>
      <c r="E859" s="13"/>
    </row>
    <row r="860">
      <c r="D860" s="9"/>
      <c r="E860" s="13"/>
    </row>
    <row r="861">
      <c r="D861" s="9"/>
      <c r="E861" s="13"/>
    </row>
    <row r="862">
      <c r="D862" s="9"/>
      <c r="E862" s="13"/>
    </row>
    <row r="863">
      <c r="D863" s="9"/>
      <c r="E863" s="13"/>
    </row>
    <row r="864">
      <c r="D864" s="9"/>
      <c r="E864" s="13"/>
    </row>
    <row r="865">
      <c r="D865" s="9"/>
      <c r="E865" s="13"/>
    </row>
    <row r="866">
      <c r="D866" s="9"/>
      <c r="E866" s="13"/>
    </row>
    <row r="867">
      <c r="D867" s="9"/>
      <c r="E867" s="13"/>
    </row>
    <row r="868">
      <c r="D868" s="9"/>
      <c r="E868" s="13"/>
    </row>
    <row r="869">
      <c r="D869" s="9"/>
      <c r="E869" s="13"/>
    </row>
    <row r="870">
      <c r="D870" s="9"/>
      <c r="E870" s="13"/>
    </row>
    <row r="871">
      <c r="D871" s="9"/>
      <c r="E871" s="13"/>
    </row>
    <row r="872">
      <c r="D872" s="9"/>
      <c r="E872" s="13"/>
    </row>
    <row r="873">
      <c r="D873" s="9"/>
      <c r="E873" s="13"/>
    </row>
    <row r="874">
      <c r="D874" s="9"/>
      <c r="E874" s="13"/>
    </row>
    <row r="875">
      <c r="D875" s="9"/>
      <c r="E875" s="13"/>
    </row>
    <row r="876">
      <c r="D876" s="9"/>
      <c r="E876" s="13"/>
    </row>
    <row r="877">
      <c r="D877" s="9"/>
      <c r="E877" s="13"/>
    </row>
    <row r="878">
      <c r="D878" s="9"/>
      <c r="E878" s="13"/>
    </row>
    <row r="879">
      <c r="D879" s="9"/>
      <c r="E879" s="13"/>
    </row>
    <row r="880">
      <c r="D880" s="9"/>
      <c r="E880" s="13"/>
    </row>
    <row r="881">
      <c r="D881" s="9"/>
      <c r="E881" s="13"/>
    </row>
    <row r="882">
      <c r="D882" s="9"/>
      <c r="E882" s="13"/>
    </row>
    <row r="883">
      <c r="D883" s="9"/>
      <c r="E883" s="13"/>
    </row>
    <row r="884">
      <c r="D884" s="9"/>
      <c r="E884" s="13"/>
    </row>
    <row r="885">
      <c r="D885" s="9"/>
      <c r="E885" s="13"/>
    </row>
    <row r="886">
      <c r="D886" s="9"/>
      <c r="E886" s="13"/>
    </row>
    <row r="887">
      <c r="D887" s="9"/>
      <c r="E887" s="13"/>
    </row>
    <row r="888">
      <c r="D888" s="9"/>
      <c r="E888" s="13"/>
    </row>
    <row r="889">
      <c r="D889" s="9"/>
      <c r="E889" s="13"/>
    </row>
    <row r="890">
      <c r="D890" s="9"/>
      <c r="E890" s="13"/>
    </row>
    <row r="891">
      <c r="D891" s="9"/>
      <c r="E891" s="13"/>
    </row>
    <row r="892">
      <c r="D892" s="9"/>
      <c r="E892" s="13"/>
    </row>
    <row r="893">
      <c r="D893" s="9"/>
      <c r="E893" s="13"/>
    </row>
    <row r="894">
      <c r="D894" s="9"/>
      <c r="E894" s="13"/>
    </row>
    <row r="895">
      <c r="D895" s="9"/>
      <c r="E895" s="13"/>
    </row>
    <row r="896">
      <c r="D896" s="9"/>
      <c r="E896" s="13"/>
    </row>
    <row r="897">
      <c r="D897" s="9"/>
      <c r="E897" s="13"/>
    </row>
    <row r="898">
      <c r="D898" s="9"/>
      <c r="E898" s="13"/>
    </row>
    <row r="899">
      <c r="D899" s="9"/>
      <c r="E899" s="13"/>
    </row>
    <row r="900">
      <c r="D900" s="9"/>
      <c r="E900" s="13"/>
    </row>
    <row r="901">
      <c r="D901" s="9"/>
      <c r="E901" s="13"/>
    </row>
    <row r="902">
      <c r="D902" s="9"/>
      <c r="E902" s="13"/>
    </row>
    <row r="903">
      <c r="D903" s="9"/>
      <c r="E903" s="13"/>
    </row>
    <row r="904">
      <c r="D904" s="9"/>
      <c r="E904" s="13"/>
    </row>
    <row r="905">
      <c r="D905" s="9"/>
      <c r="E905" s="13"/>
    </row>
    <row r="906">
      <c r="D906" s="9"/>
      <c r="E906" s="13"/>
    </row>
    <row r="907">
      <c r="D907" s="9"/>
      <c r="E907" s="13"/>
    </row>
    <row r="908">
      <c r="D908" s="9"/>
      <c r="E908" s="13"/>
    </row>
    <row r="909">
      <c r="D909" s="9"/>
      <c r="E909" s="13"/>
    </row>
    <row r="910">
      <c r="D910" s="9"/>
      <c r="E910" s="13"/>
    </row>
    <row r="911">
      <c r="D911" s="9"/>
      <c r="E911" s="13"/>
    </row>
    <row r="912">
      <c r="D912" s="9"/>
      <c r="E912" s="13"/>
    </row>
    <row r="913">
      <c r="D913" s="9"/>
      <c r="E913" s="13"/>
    </row>
    <row r="914">
      <c r="D914" s="9"/>
      <c r="E914" s="13"/>
    </row>
    <row r="915">
      <c r="D915" s="9"/>
      <c r="E915" s="13"/>
    </row>
    <row r="916">
      <c r="D916" s="9"/>
      <c r="E916" s="13"/>
    </row>
    <row r="917">
      <c r="D917" s="9"/>
      <c r="E917" s="13"/>
    </row>
    <row r="918">
      <c r="D918" s="9"/>
      <c r="E918" s="13"/>
    </row>
    <row r="919">
      <c r="D919" s="9"/>
      <c r="E919" s="13"/>
    </row>
    <row r="920">
      <c r="D920" s="9"/>
      <c r="E920" s="13"/>
    </row>
    <row r="921">
      <c r="D921" s="9"/>
      <c r="E921" s="13"/>
    </row>
    <row r="922">
      <c r="D922" s="9"/>
      <c r="E922" s="13"/>
    </row>
    <row r="923">
      <c r="D923" s="9"/>
      <c r="E923" s="13"/>
    </row>
    <row r="924">
      <c r="D924" s="9"/>
      <c r="E924" s="13"/>
    </row>
    <row r="925">
      <c r="D925" s="9"/>
      <c r="E925" s="13"/>
    </row>
    <row r="926">
      <c r="D926" s="9"/>
      <c r="E926" s="13"/>
    </row>
    <row r="927">
      <c r="D927" s="9"/>
      <c r="E927" s="13"/>
    </row>
    <row r="928">
      <c r="D928" s="9"/>
      <c r="E928" s="13"/>
    </row>
    <row r="929">
      <c r="D929" s="9"/>
      <c r="E929" s="13"/>
    </row>
    <row r="930">
      <c r="D930" s="9"/>
      <c r="E930" s="13"/>
    </row>
    <row r="931">
      <c r="D931" s="9"/>
      <c r="E931" s="13"/>
    </row>
    <row r="932">
      <c r="D932" s="9"/>
      <c r="E932" s="13"/>
    </row>
    <row r="933">
      <c r="D933" s="9"/>
      <c r="E933" s="13"/>
    </row>
    <row r="934">
      <c r="D934" s="9"/>
      <c r="E934" s="13"/>
    </row>
    <row r="935">
      <c r="D935" s="9"/>
      <c r="E935" s="13"/>
    </row>
    <row r="936">
      <c r="D936" s="9"/>
      <c r="E936" s="13"/>
    </row>
    <row r="937">
      <c r="D937" s="9"/>
      <c r="E937" s="13"/>
    </row>
    <row r="938">
      <c r="D938" s="9"/>
      <c r="E938" s="13"/>
    </row>
    <row r="939">
      <c r="D939" s="9"/>
      <c r="E939" s="13"/>
    </row>
    <row r="940">
      <c r="D940" s="9"/>
      <c r="E940" s="13"/>
    </row>
    <row r="941">
      <c r="D941" s="9"/>
      <c r="E941" s="13"/>
    </row>
    <row r="942">
      <c r="D942" s="9"/>
      <c r="E942" s="13"/>
    </row>
    <row r="943">
      <c r="D943" s="9"/>
      <c r="E943" s="13"/>
    </row>
    <row r="944">
      <c r="D944" s="9"/>
      <c r="E944" s="13"/>
    </row>
    <row r="945">
      <c r="D945" s="9"/>
      <c r="E945" s="13"/>
    </row>
    <row r="946">
      <c r="D946" s="9"/>
      <c r="E946" s="13"/>
    </row>
    <row r="947">
      <c r="D947" s="9"/>
      <c r="E947" s="13"/>
    </row>
    <row r="948">
      <c r="D948" s="9"/>
      <c r="E948" s="13"/>
    </row>
    <row r="949">
      <c r="D949" s="9"/>
      <c r="E949" s="13"/>
    </row>
    <row r="950">
      <c r="D950" s="9"/>
      <c r="E950" s="13"/>
    </row>
    <row r="951">
      <c r="D951" s="9"/>
      <c r="E951" s="13"/>
    </row>
    <row r="952">
      <c r="D952" s="9"/>
      <c r="E952" s="13"/>
    </row>
    <row r="953">
      <c r="D953" s="9"/>
      <c r="E953" s="13"/>
    </row>
    <row r="954">
      <c r="D954" s="9"/>
      <c r="E954" s="13"/>
    </row>
    <row r="955">
      <c r="D955" s="9"/>
      <c r="E955" s="13"/>
    </row>
    <row r="956">
      <c r="D956" s="9"/>
      <c r="E956" s="13"/>
    </row>
    <row r="957">
      <c r="D957" s="9"/>
      <c r="E957" s="13"/>
    </row>
    <row r="958">
      <c r="D958" s="9"/>
      <c r="E958" s="13"/>
    </row>
    <row r="959">
      <c r="D959" s="9"/>
      <c r="E959" s="13"/>
    </row>
    <row r="960">
      <c r="D960" s="9"/>
      <c r="E960" s="13"/>
    </row>
    <row r="961">
      <c r="D961" s="9"/>
      <c r="E961" s="13"/>
    </row>
    <row r="962">
      <c r="D962" s="9"/>
      <c r="E962" s="13"/>
    </row>
    <row r="963">
      <c r="D963" s="9"/>
      <c r="E963" s="13"/>
    </row>
    <row r="964">
      <c r="D964" s="9"/>
      <c r="E964" s="13"/>
    </row>
    <row r="965">
      <c r="D965" s="9"/>
      <c r="E965" s="13"/>
    </row>
    <row r="966">
      <c r="D966" s="9"/>
      <c r="E966" s="13"/>
    </row>
    <row r="967">
      <c r="D967" s="9"/>
      <c r="E967" s="13"/>
    </row>
    <row r="968">
      <c r="D968" s="9"/>
      <c r="E968" s="13"/>
    </row>
    <row r="969">
      <c r="D969" s="9"/>
      <c r="E969" s="13"/>
    </row>
    <row r="970">
      <c r="D970" s="9"/>
      <c r="E970" s="13"/>
    </row>
    <row r="971">
      <c r="D971" s="9"/>
      <c r="E971" s="13"/>
    </row>
    <row r="972">
      <c r="D972" s="9"/>
      <c r="E972" s="13"/>
    </row>
    <row r="973">
      <c r="D973" s="9"/>
      <c r="E973" s="13"/>
    </row>
    <row r="974">
      <c r="D974" s="9"/>
      <c r="E974" s="13"/>
    </row>
    <row r="975">
      <c r="D975" s="9"/>
      <c r="E975" s="13"/>
    </row>
    <row r="976">
      <c r="D976" s="9"/>
      <c r="E976" s="13"/>
    </row>
    <row r="977">
      <c r="D977" s="9"/>
      <c r="E977" s="13"/>
    </row>
    <row r="978">
      <c r="D978" s="9"/>
      <c r="E978" s="13"/>
    </row>
    <row r="979">
      <c r="D979" s="9"/>
      <c r="E979" s="13"/>
    </row>
    <row r="980">
      <c r="D980" s="9"/>
      <c r="E980" s="13"/>
    </row>
    <row r="981">
      <c r="D981" s="9"/>
      <c r="E981" s="13"/>
    </row>
    <row r="982">
      <c r="D982" s="9"/>
      <c r="E982" s="13"/>
    </row>
    <row r="983">
      <c r="D983" s="9"/>
      <c r="E983" s="13"/>
    </row>
    <row r="984">
      <c r="D984" s="9"/>
      <c r="E984" s="13"/>
    </row>
    <row r="985">
      <c r="D985" s="9"/>
      <c r="E985" s="13"/>
    </row>
    <row r="986">
      <c r="D986" s="9"/>
      <c r="E986" s="13"/>
    </row>
    <row r="987">
      <c r="D987" s="9"/>
      <c r="E987" s="13"/>
    </row>
    <row r="988">
      <c r="D988" s="9"/>
      <c r="E988" s="13"/>
    </row>
    <row r="989">
      <c r="D989" s="9"/>
      <c r="E989" s="13"/>
    </row>
    <row r="990">
      <c r="D990" s="9"/>
      <c r="E990" s="13"/>
    </row>
    <row r="991">
      <c r="D991" s="9"/>
      <c r="E991" s="13"/>
    </row>
    <row r="992">
      <c r="D992" s="9"/>
      <c r="E992" s="13"/>
    </row>
    <row r="993">
      <c r="D993" s="9"/>
      <c r="E993" s="13"/>
    </row>
    <row r="994">
      <c r="D994" s="9"/>
      <c r="E994" s="13"/>
    </row>
    <row r="995">
      <c r="D995" s="9"/>
      <c r="E995" s="13"/>
    </row>
    <row r="996">
      <c r="D996" s="9"/>
      <c r="E996" s="13"/>
    </row>
    <row r="997">
      <c r="D997" s="9"/>
      <c r="E997" s="13"/>
    </row>
    <row r="998">
      <c r="D998" s="9"/>
      <c r="E998" s="13"/>
    </row>
    <row r="999">
      <c r="D999" s="9"/>
      <c r="E999" s="13"/>
    </row>
    <row r="1000">
      <c r="D1000" s="9"/>
      <c r="E1000" s="13"/>
    </row>
    <row r="1001">
      <c r="D1001" s="9"/>
      <c r="E1001" s="13"/>
    </row>
    <row r="1002">
      <c r="D1002" s="9"/>
      <c r="E1002" s="13"/>
    </row>
    <row r="1003">
      <c r="D1003" s="9"/>
      <c r="E1003" s="13"/>
    </row>
    <row r="1004">
      <c r="D1004" s="9"/>
      <c r="E1004" s="13"/>
    </row>
    <row r="1005">
      <c r="D1005" s="9"/>
      <c r="E1005" s="13"/>
    </row>
    <row r="1006">
      <c r="D1006" s="9"/>
      <c r="E1006" s="13"/>
    </row>
    <row r="1007">
      <c r="D1007" s="9"/>
      <c r="E1007" s="13"/>
    </row>
    <row r="1008">
      <c r="D1008" s="9"/>
      <c r="E1008" s="13"/>
    </row>
    <row r="1009">
      <c r="D1009" s="9"/>
      <c r="E1009" s="13"/>
    </row>
    <row r="1010">
      <c r="D1010" s="9"/>
      <c r="E1010" s="13"/>
    </row>
    <row r="1011">
      <c r="D1011" s="9"/>
      <c r="E1011" s="13"/>
    </row>
    <row r="1012">
      <c r="D1012" s="9"/>
      <c r="E1012" s="13"/>
    </row>
    <row r="1013">
      <c r="D1013" s="9"/>
      <c r="E1013" s="13"/>
    </row>
    <row r="1014">
      <c r="D1014" s="9"/>
      <c r="E1014" s="13"/>
    </row>
    <row r="1015">
      <c r="D1015" s="9"/>
      <c r="E1015" s="13"/>
    </row>
    <row r="1016">
      <c r="D1016" s="9"/>
      <c r="E1016" s="13"/>
    </row>
    <row r="1017">
      <c r="D1017" s="9"/>
      <c r="E1017" s="13"/>
    </row>
    <row r="1018">
      <c r="D1018" s="9"/>
      <c r="E1018" s="13"/>
    </row>
    <row r="1019">
      <c r="D1019" s="9"/>
      <c r="E1019" s="13"/>
    </row>
    <row r="1020">
      <c r="D1020" s="9"/>
      <c r="E1020" s="13"/>
    </row>
    <row r="1021">
      <c r="D1021" s="9"/>
      <c r="E1021" s="13"/>
    </row>
    <row r="1022">
      <c r="D1022" s="9"/>
      <c r="E1022" s="13"/>
    </row>
    <row r="1023">
      <c r="D1023" s="9"/>
      <c r="E1023" s="13"/>
    </row>
    <row r="1024">
      <c r="D1024" s="9"/>
      <c r="E1024" s="13"/>
    </row>
    <row r="1025">
      <c r="D1025" s="9"/>
      <c r="E1025" s="13"/>
    </row>
    <row r="1026">
      <c r="D1026" s="9"/>
      <c r="E1026" s="13"/>
    </row>
    <row r="1027">
      <c r="D1027" s="9"/>
      <c r="E1027" s="13"/>
    </row>
    <row r="1028">
      <c r="D1028" s="9"/>
      <c r="E1028" s="13"/>
    </row>
    <row r="1029">
      <c r="D1029" s="9"/>
      <c r="E1029" s="13"/>
    </row>
    <row r="1030">
      <c r="D1030" s="9"/>
      <c r="E1030" s="13"/>
    </row>
    <row r="1031">
      <c r="D1031" s="9"/>
      <c r="E1031" s="13"/>
    </row>
    <row r="1032">
      <c r="D1032" s="9"/>
      <c r="E1032" s="13"/>
    </row>
    <row r="1033">
      <c r="D1033" s="9"/>
      <c r="E1033" s="13"/>
    </row>
    <row r="1034">
      <c r="D1034" s="9"/>
      <c r="E1034" s="13"/>
    </row>
    <row r="1035">
      <c r="D1035" s="9"/>
      <c r="E1035" s="13"/>
    </row>
    <row r="1036">
      <c r="D1036" s="9"/>
      <c r="E1036" s="13"/>
    </row>
    <row r="1037">
      <c r="D1037" s="9"/>
      <c r="E1037" s="13"/>
    </row>
    <row r="1038">
      <c r="D1038" s="9"/>
      <c r="E1038" s="13"/>
    </row>
    <row r="1039">
      <c r="D1039" s="9"/>
      <c r="E1039" s="13"/>
    </row>
    <row r="1040">
      <c r="D1040" s="9"/>
      <c r="E1040" s="13"/>
    </row>
    <row r="1041">
      <c r="D1041" s="9"/>
      <c r="E1041" s="13"/>
    </row>
    <row r="1042">
      <c r="D1042" s="9"/>
      <c r="E1042" s="13"/>
    </row>
    <row r="1043">
      <c r="D1043" s="9"/>
      <c r="E1043" s="13"/>
    </row>
    <row r="1044">
      <c r="D1044" s="9"/>
      <c r="E1044" s="13"/>
    </row>
    <row r="1045">
      <c r="D1045" s="9"/>
      <c r="E1045" s="13"/>
    </row>
    <row r="1046">
      <c r="D1046" s="9"/>
      <c r="E1046" s="13"/>
    </row>
    <row r="1047">
      <c r="D1047" s="9"/>
      <c r="E1047" s="13"/>
    </row>
    <row r="1048">
      <c r="D1048" s="9"/>
      <c r="E1048" s="13"/>
    </row>
    <row r="1049">
      <c r="D1049" s="9"/>
      <c r="E1049" s="13"/>
    </row>
    <row r="1050">
      <c r="D1050" s="9"/>
      <c r="E1050" s="13"/>
    </row>
    <row r="1051">
      <c r="D1051" s="9"/>
      <c r="E1051" s="13"/>
    </row>
    <row r="1052">
      <c r="D1052" s="9"/>
      <c r="E1052" s="13"/>
    </row>
    <row r="1053">
      <c r="D1053" s="9"/>
      <c r="E1053" s="13"/>
    </row>
    <row r="1054">
      <c r="D1054" s="9"/>
      <c r="E1054" s="13"/>
    </row>
    <row r="1055">
      <c r="D1055" s="9"/>
      <c r="E1055" s="13"/>
    </row>
    <row r="1056">
      <c r="D1056" s="9"/>
      <c r="E1056" s="13"/>
    </row>
    <row r="1057">
      <c r="D1057" s="9"/>
      <c r="E1057" s="13"/>
    </row>
    <row r="1058">
      <c r="D1058" s="9"/>
      <c r="E1058" s="13"/>
    </row>
    <row r="1059">
      <c r="D1059" s="9"/>
      <c r="E1059" s="13"/>
    </row>
    <row r="1060">
      <c r="D1060" s="9"/>
      <c r="E1060" s="13"/>
    </row>
    <row r="1061">
      <c r="D1061" s="9"/>
      <c r="E1061" s="13"/>
    </row>
    <row r="1062">
      <c r="D1062" s="9"/>
      <c r="E1062" s="13"/>
    </row>
    <row r="1063">
      <c r="D1063" s="9"/>
      <c r="E1063" s="13"/>
    </row>
    <row r="1064">
      <c r="D1064" s="9"/>
      <c r="E1064" s="13"/>
    </row>
    <row r="1065">
      <c r="D1065" s="9"/>
      <c r="E1065" s="13"/>
    </row>
    <row r="1066">
      <c r="D1066" s="9"/>
      <c r="E1066" s="13"/>
    </row>
    <row r="1067">
      <c r="D1067" s="9"/>
      <c r="E1067" s="13"/>
    </row>
    <row r="1068">
      <c r="D1068" s="9"/>
      <c r="E1068" s="13"/>
    </row>
    <row r="1069">
      <c r="D1069" s="9"/>
      <c r="E1069" s="13"/>
    </row>
    <row r="1070">
      <c r="D1070" s="9"/>
      <c r="E1070" s="13"/>
    </row>
    <row r="1071">
      <c r="D1071" s="9"/>
      <c r="E1071" s="13"/>
    </row>
    <row r="1072">
      <c r="D1072" s="9"/>
      <c r="E1072" s="13"/>
    </row>
    <row r="1073">
      <c r="D1073" s="9"/>
      <c r="E1073" s="13"/>
    </row>
    <row r="1074">
      <c r="D1074" s="9"/>
      <c r="E1074" s="13"/>
    </row>
    <row r="1075">
      <c r="D1075" s="9"/>
      <c r="E1075" s="13"/>
    </row>
    <row r="1076">
      <c r="D1076" s="9"/>
      <c r="E1076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229</v>
      </c>
      <c r="B1" s="14" t="s">
        <v>230</v>
      </c>
      <c r="C1" s="14" t="s">
        <v>231</v>
      </c>
      <c r="D1" s="14" t="s">
        <v>232</v>
      </c>
      <c r="E1" s="14" t="s">
        <v>233</v>
      </c>
      <c r="F1" s="14" t="s">
        <v>234</v>
      </c>
      <c r="G1" s="14" t="s">
        <v>235</v>
      </c>
      <c r="H1" s="14" t="s">
        <v>236</v>
      </c>
      <c r="I1" s="14" t="s">
        <v>234</v>
      </c>
      <c r="J1" s="14" t="s">
        <v>237</v>
      </c>
      <c r="K1" s="14" t="s">
        <v>238</v>
      </c>
      <c r="L1" s="14" t="s">
        <v>239</v>
      </c>
      <c r="M1" s="14" t="s">
        <v>240</v>
      </c>
      <c r="N1" s="14" t="s">
        <v>241</v>
      </c>
      <c r="O1" s="14" t="s">
        <v>242</v>
      </c>
      <c r="P1" s="14" t="s">
        <v>243</v>
      </c>
      <c r="Q1" s="14" t="s">
        <v>244</v>
      </c>
      <c r="R1" s="14" t="s">
        <v>245</v>
      </c>
      <c r="S1" s="14" t="s">
        <v>246</v>
      </c>
      <c r="T1" s="15" t="s">
        <v>247</v>
      </c>
      <c r="U1" s="14" t="s">
        <v>248</v>
      </c>
    </row>
    <row r="2">
      <c r="A2" s="10" t="s">
        <v>249</v>
      </c>
      <c r="B2" s="10" t="s">
        <v>250</v>
      </c>
      <c r="C2" s="10" t="s">
        <v>251</v>
      </c>
      <c r="D2" s="10"/>
      <c r="E2" s="10"/>
      <c r="F2" s="10"/>
      <c r="G2" s="16" t="s">
        <v>252</v>
      </c>
      <c r="H2" s="10" t="s">
        <v>253</v>
      </c>
      <c r="I2" s="17">
        <f t="shared" ref="I2:I169" si="1">len(H2)</f>
        <v>40</v>
      </c>
      <c r="J2" s="18" t="s">
        <v>254</v>
      </c>
      <c r="K2" s="10" t="s">
        <v>255</v>
      </c>
      <c r="L2" s="18" t="str">
        <f t="shared" ref="L2:L111" si="2">K2</f>
        <v>3048 x 254 x 6</v>
      </c>
      <c r="M2" s="17">
        <v>2.5</v>
      </c>
      <c r="N2" s="17">
        <v>2.5</v>
      </c>
      <c r="O2" s="17">
        <v>3.925909E7</v>
      </c>
      <c r="P2" s="17">
        <v>1.0</v>
      </c>
      <c r="Q2" s="18" t="s">
        <v>256</v>
      </c>
      <c r="R2" s="19">
        <v>1043.322033898305</v>
      </c>
      <c r="S2" s="20">
        <f>2500</f>
        <v>2500</v>
      </c>
      <c r="T2" s="21"/>
      <c r="U2" s="10"/>
    </row>
    <row r="3">
      <c r="A3" s="10" t="s">
        <v>249</v>
      </c>
      <c r="B3" s="10" t="s">
        <v>250</v>
      </c>
      <c r="C3" s="10" t="s">
        <v>251</v>
      </c>
      <c r="D3" s="10"/>
      <c r="E3" s="10"/>
      <c r="F3" s="10"/>
      <c r="G3" s="16" t="s">
        <v>257</v>
      </c>
      <c r="H3" s="10" t="s">
        <v>258</v>
      </c>
      <c r="I3" s="17">
        <f t="shared" si="1"/>
        <v>40</v>
      </c>
      <c r="J3" s="18" t="s">
        <v>254</v>
      </c>
      <c r="K3" s="10" t="s">
        <v>255</v>
      </c>
      <c r="L3" s="18" t="str">
        <f t="shared" si="2"/>
        <v>3048 x 254 x 6</v>
      </c>
      <c r="M3" s="17">
        <v>2.5</v>
      </c>
      <c r="N3" s="17">
        <v>2.5</v>
      </c>
      <c r="O3" s="17">
        <v>3.925909E7</v>
      </c>
      <c r="P3" s="17">
        <v>1.0</v>
      </c>
      <c r="Q3" s="18" t="s">
        <v>256</v>
      </c>
      <c r="R3" s="19">
        <v>335.60169491525426</v>
      </c>
      <c r="S3" s="8">
        <f>700</f>
        <v>700</v>
      </c>
      <c r="T3" s="21"/>
      <c r="U3" s="10"/>
    </row>
    <row r="4">
      <c r="A4" s="10" t="s">
        <v>249</v>
      </c>
      <c r="B4" s="10" t="s">
        <v>250</v>
      </c>
      <c r="C4" s="10" t="s">
        <v>251</v>
      </c>
      <c r="D4" s="10"/>
      <c r="E4" s="10"/>
      <c r="F4" s="10"/>
      <c r="G4" s="16" t="s">
        <v>259</v>
      </c>
      <c r="H4" s="10" t="s">
        <v>260</v>
      </c>
      <c r="I4" s="17">
        <f t="shared" si="1"/>
        <v>36</v>
      </c>
      <c r="J4" s="18" t="s">
        <v>254</v>
      </c>
      <c r="K4" s="10" t="s">
        <v>261</v>
      </c>
      <c r="L4" s="18" t="str">
        <f t="shared" si="2"/>
        <v>2895.6 x 127 x 12</v>
      </c>
      <c r="M4" s="17">
        <v>4.0</v>
      </c>
      <c r="N4" s="17">
        <v>4.0</v>
      </c>
      <c r="O4" s="17">
        <v>3.925909E7</v>
      </c>
      <c r="P4" s="17">
        <v>1.0</v>
      </c>
      <c r="Q4" s="18" t="s">
        <v>256</v>
      </c>
      <c r="R4" s="19">
        <v>648.8050847457628</v>
      </c>
      <c r="S4" s="8">
        <f t="shared" ref="S4:S6" si="3">1500</f>
        <v>1500</v>
      </c>
      <c r="T4" s="21"/>
      <c r="U4" s="10"/>
    </row>
    <row r="5">
      <c r="A5" s="10" t="s">
        <v>249</v>
      </c>
      <c r="B5" s="10" t="s">
        <v>250</v>
      </c>
      <c r="C5" s="10" t="s">
        <v>251</v>
      </c>
      <c r="D5" s="10"/>
      <c r="E5" s="10"/>
      <c r="F5" s="10"/>
      <c r="G5" s="16" t="s">
        <v>262</v>
      </c>
      <c r="H5" s="10" t="s">
        <v>263</v>
      </c>
      <c r="I5" s="17">
        <f t="shared" si="1"/>
        <v>32</v>
      </c>
      <c r="J5" s="18" t="s">
        <v>254</v>
      </c>
      <c r="K5" s="10" t="s">
        <v>261</v>
      </c>
      <c r="L5" s="18" t="str">
        <f t="shared" si="2"/>
        <v>2895.6 x 127 x 12</v>
      </c>
      <c r="M5" s="17">
        <v>4.0</v>
      </c>
      <c r="N5" s="17">
        <v>4.0</v>
      </c>
      <c r="O5" s="17">
        <v>3.925909E7</v>
      </c>
      <c r="P5" s="17">
        <v>1.0</v>
      </c>
      <c r="Q5" s="18" t="s">
        <v>256</v>
      </c>
      <c r="R5" s="19">
        <v>648.8050847457628</v>
      </c>
      <c r="S5" s="8">
        <f t="shared" si="3"/>
        <v>1500</v>
      </c>
      <c r="T5" s="21"/>
      <c r="U5" s="10"/>
    </row>
    <row r="6">
      <c r="A6" s="10" t="s">
        <v>249</v>
      </c>
      <c r="B6" s="10" t="s">
        <v>250</v>
      </c>
      <c r="C6" s="10" t="s">
        <v>251</v>
      </c>
      <c r="D6" s="10"/>
      <c r="E6" s="10"/>
      <c r="F6" s="10"/>
      <c r="G6" s="16" t="s">
        <v>264</v>
      </c>
      <c r="H6" s="10" t="s">
        <v>265</v>
      </c>
      <c r="I6" s="17">
        <f t="shared" si="1"/>
        <v>24</v>
      </c>
      <c r="J6" s="18" t="s">
        <v>254</v>
      </c>
      <c r="K6" s="10" t="s">
        <v>261</v>
      </c>
      <c r="L6" s="18" t="str">
        <f t="shared" si="2"/>
        <v>2895.6 x 127 x 12</v>
      </c>
      <c r="M6" s="17">
        <v>4.0</v>
      </c>
      <c r="N6" s="17">
        <v>4.0</v>
      </c>
      <c r="O6" s="17">
        <v>3.925909E7</v>
      </c>
      <c r="P6" s="17">
        <v>1.0</v>
      </c>
      <c r="Q6" s="18" t="s">
        <v>256</v>
      </c>
      <c r="R6" s="19">
        <v>648.8050847457628</v>
      </c>
      <c r="S6" s="8">
        <f t="shared" si="3"/>
        <v>1500</v>
      </c>
      <c r="T6" s="21"/>
      <c r="U6" s="10"/>
    </row>
    <row r="7">
      <c r="A7" s="10" t="s">
        <v>249</v>
      </c>
      <c r="B7" s="10" t="s">
        <v>250</v>
      </c>
      <c r="C7" s="10" t="s">
        <v>251</v>
      </c>
      <c r="D7" s="10"/>
      <c r="E7" s="10"/>
      <c r="F7" s="10"/>
      <c r="G7" s="16" t="s">
        <v>187</v>
      </c>
      <c r="H7" s="10" t="s">
        <v>186</v>
      </c>
      <c r="I7" s="17">
        <f t="shared" si="1"/>
        <v>32</v>
      </c>
      <c r="J7" s="18" t="s">
        <v>254</v>
      </c>
      <c r="K7" s="10" t="s">
        <v>266</v>
      </c>
      <c r="L7" s="18" t="str">
        <f t="shared" si="2"/>
        <v>2895.6 x 152.4 x 10</v>
      </c>
      <c r="M7" s="17">
        <v>1.5</v>
      </c>
      <c r="N7" s="17">
        <v>1.5</v>
      </c>
      <c r="O7" s="17">
        <v>3.9269099E7</v>
      </c>
      <c r="P7" s="17">
        <v>1.0</v>
      </c>
      <c r="Q7" s="18" t="s">
        <v>256</v>
      </c>
      <c r="R7" s="19">
        <v>648.8050847457628</v>
      </c>
      <c r="S7" s="8">
        <v>1500.0</v>
      </c>
      <c r="T7" s="21"/>
      <c r="U7" s="10"/>
    </row>
    <row r="8">
      <c r="A8" s="10" t="s">
        <v>249</v>
      </c>
      <c r="B8" s="10" t="s">
        <v>250</v>
      </c>
      <c r="C8" s="10" t="s">
        <v>251</v>
      </c>
      <c r="D8" s="10"/>
      <c r="E8" s="10"/>
      <c r="F8" s="10"/>
      <c r="G8" s="16" t="s">
        <v>199</v>
      </c>
      <c r="H8" s="10" t="s">
        <v>198</v>
      </c>
      <c r="I8" s="17">
        <f t="shared" si="1"/>
        <v>31</v>
      </c>
      <c r="J8" s="18" t="s">
        <v>254</v>
      </c>
      <c r="K8" s="10" t="s">
        <v>266</v>
      </c>
      <c r="L8" s="18" t="str">
        <f t="shared" si="2"/>
        <v>2895.6 x 152.4 x 10</v>
      </c>
      <c r="M8" s="17">
        <v>1.5</v>
      </c>
      <c r="N8" s="17">
        <v>1.5</v>
      </c>
      <c r="O8" s="17">
        <v>3.9269099E7</v>
      </c>
      <c r="P8" s="17">
        <v>1.0</v>
      </c>
      <c r="Q8" s="18" t="s">
        <v>256</v>
      </c>
      <c r="R8" s="19">
        <v>745.0169491525425</v>
      </c>
      <c r="S8" s="8">
        <f>1500</f>
        <v>1500</v>
      </c>
      <c r="T8" s="21"/>
      <c r="U8" s="10"/>
    </row>
    <row r="9">
      <c r="A9" s="10" t="s">
        <v>249</v>
      </c>
      <c r="B9" s="10" t="s">
        <v>250</v>
      </c>
      <c r="C9" s="10" t="s">
        <v>251</v>
      </c>
      <c r="D9" s="10"/>
      <c r="E9" s="10"/>
      <c r="F9" s="10"/>
      <c r="G9" s="16" t="s">
        <v>267</v>
      </c>
      <c r="H9" s="10" t="s">
        <v>268</v>
      </c>
      <c r="I9" s="17">
        <f t="shared" si="1"/>
        <v>38</v>
      </c>
      <c r="J9" s="18" t="s">
        <v>254</v>
      </c>
      <c r="K9" s="10" t="s">
        <v>266</v>
      </c>
      <c r="L9" s="18" t="str">
        <f t="shared" si="2"/>
        <v>2895.6 x 152.4 x 10</v>
      </c>
      <c r="M9" s="17">
        <v>1.5</v>
      </c>
      <c r="N9" s="17">
        <v>1.5</v>
      </c>
      <c r="O9" s="17">
        <v>3.9269099E7</v>
      </c>
      <c r="P9" s="17">
        <v>1.0</v>
      </c>
      <c r="Q9" s="18" t="s">
        <v>256</v>
      </c>
      <c r="R9" s="19">
        <v>819.5932203389831</v>
      </c>
      <c r="S9" s="8">
        <f t="shared" ref="S9:S10" si="4">2000</f>
        <v>2000</v>
      </c>
      <c r="T9" s="21"/>
      <c r="U9" s="10"/>
    </row>
    <row r="10">
      <c r="A10" s="10" t="s">
        <v>249</v>
      </c>
      <c r="B10" s="10" t="s">
        <v>250</v>
      </c>
      <c r="C10" s="10" t="s">
        <v>251</v>
      </c>
      <c r="D10" s="10"/>
      <c r="E10" s="10"/>
      <c r="F10" s="10"/>
      <c r="G10" s="16" t="s">
        <v>208</v>
      </c>
      <c r="H10" s="10" t="s">
        <v>207</v>
      </c>
      <c r="I10" s="17">
        <f t="shared" si="1"/>
        <v>36</v>
      </c>
      <c r="J10" s="18" t="s">
        <v>254</v>
      </c>
      <c r="K10" s="10" t="s">
        <v>266</v>
      </c>
      <c r="L10" s="18" t="str">
        <f t="shared" si="2"/>
        <v>2895.6 x 152.4 x 10</v>
      </c>
      <c r="M10" s="17">
        <v>1.5</v>
      </c>
      <c r="N10" s="17">
        <v>1.5</v>
      </c>
      <c r="O10" s="17">
        <v>3.9269099E7</v>
      </c>
      <c r="P10" s="17">
        <v>1.0</v>
      </c>
      <c r="Q10" s="18" t="s">
        <v>256</v>
      </c>
      <c r="R10" s="19">
        <v>819.5932203389831</v>
      </c>
      <c r="S10" s="8">
        <f t="shared" si="4"/>
        <v>2000</v>
      </c>
      <c r="T10" s="21"/>
      <c r="U10" s="10"/>
    </row>
    <row r="11">
      <c r="A11" s="10" t="s">
        <v>249</v>
      </c>
      <c r="B11" s="10" t="s">
        <v>250</v>
      </c>
      <c r="C11" s="10" t="s">
        <v>251</v>
      </c>
      <c r="D11" s="10"/>
      <c r="E11" s="10"/>
      <c r="F11" s="10"/>
      <c r="G11" s="16" t="s">
        <v>269</v>
      </c>
      <c r="H11" s="10" t="s">
        <v>270</v>
      </c>
      <c r="I11" s="17">
        <f t="shared" si="1"/>
        <v>36</v>
      </c>
      <c r="J11" s="18" t="s">
        <v>254</v>
      </c>
      <c r="K11" s="10" t="s">
        <v>271</v>
      </c>
      <c r="L11" s="18" t="str">
        <f t="shared" si="2"/>
        <v>2438.4 x 127 x 12</v>
      </c>
      <c r="M11" s="17">
        <v>1.5</v>
      </c>
      <c r="N11" s="17">
        <v>1.5</v>
      </c>
      <c r="O11" s="17">
        <v>3.9269099E7</v>
      </c>
      <c r="P11" s="17">
        <v>1.0</v>
      </c>
      <c r="Q11" s="18" t="s">
        <v>256</v>
      </c>
      <c r="R11" s="19">
        <v>670.4406779661017</v>
      </c>
      <c r="S11" s="8">
        <v>1500.0</v>
      </c>
      <c r="T11" s="21"/>
      <c r="U11" s="10"/>
    </row>
    <row r="12">
      <c r="A12" s="10" t="s">
        <v>249</v>
      </c>
      <c r="B12" s="10" t="s">
        <v>250</v>
      </c>
      <c r="C12" s="10" t="s">
        <v>251</v>
      </c>
      <c r="D12" s="10"/>
      <c r="E12" s="10"/>
      <c r="F12" s="10"/>
      <c r="G12" s="16" t="s">
        <v>272</v>
      </c>
      <c r="H12" s="10" t="s">
        <v>273</v>
      </c>
      <c r="I12" s="17">
        <f t="shared" si="1"/>
        <v>31</v>
      </c>
      <c r="J12" s="18" t="s">
        <v>254</v>
      </c>
      <c r="K12" s="10" t="s">
        <v>271</v>
      </c>
      <c r="L12" s="18" t="str">
        <f t="shared" si="2"/>
        <v>2438.4 x 127 x 12</v>
      </c>
      <c r="M12" s="17">
        <v>1.5</v>
      </c>
      <c r="N12" s="17">
        <v>1.5</v>
      </c>
      <c r="O12" s="17">
        <v>392690.0</v>
      </c>
      <c r="P12" s="17">
        <v>1.0</v>
      </c>
      <c r="Q12" s="18" t="s">
        <v>256</v>
      </c>
      <c r="R12" s="19">
        <v>819.5932203389831</v>
      </c>
      <c r="S12" s="8">
        <f>2000</f>
        <v>2000</v>
      </c>
      <c r="T12" s="21"/>
      <c r="U12" s="10"/>
    </row>
    <row r="13">
      <c r="A13" s="10" t="s">
        <v>249</v>
      </c>
      <c r="B13" s="10" t="s">
        <v>250</v>
      </c>
      <c r="C13" s="10" t="s">
        <v>251</v>
      </c>
      <c r="D13" s="10"/>
      <c r="E13" s="10"/>
      <c r="F13" s="10"/>
      <c r="G13" s="16" t="s">
        <v>274</v>
      </c>
      <c r="H13" s="10" t="s">
        <v>275</v>
      </c>
      <c r="I13" s="17">
        <f t="shared" si="1"/>
        <v>38</v>
      </c>
      <c r="J13" s="18" t="s">
        <v>254</v>
      </c>
      <c r="K13" s="10" t="s">
        <v>271</v>
      </c>
      <c r="L13" s="18" t="str">
        <f t="shared" si="2"/>
        <v>2438.4 x 127 x 12</v>
      </c>
      <c r="M13" s="17">
        <v>1.5</v>
      </c>
      <c r="N13" s="17">
        <v>1.5</v>
      </c>
      <c r="O13" s="17">
        <v>3.9269099E7</v>
      </c>
      <c r="P13" s="17">
        <v>1.0</v>
      </c>
      <c r="Q13" s="18" t="s">
        <v>256</v>
      </c>
      <c r="R13" s="19">
        <v>670.4406779661017</v>
      </c>
      <c r="S13" s="8">
        <v>1500.0</v>
      </c>
      <c r="T13" s="21"/>
      <c r="U13" s="10"/>
    </row>
    <row r="14">
      <c r="A14" s="10" t="s">
        <v>249</v>
      </c>
      <c r="B14" s="10" t="s">
        <v>250</v>
      </c>
      <c r="C14" s="10" t="s">
        <v>251</v>
      </c>
      <c r="D14" s="10"/>
      <c r="E14" s="10"/>
      <c r="F14" s="10"/>
      <c r="G14" s="16" t="s">
        <v>276</v>
      </c>
      <c r="H14" s="10" t="s">
        <v>277</v>
      </c>
      <c r="I14" s="17">
        <f t="shared" si="1"/>
        <v>37</v>
      </c>
      <c r="J14" s="18" t="s">
        <v>254</v>
      </c>
      <c r="K14" s="10" t="s">
        <v>278</v>
      </c>
      <c r="L14" s="18" t="str">
        <f t="shared" si="2"/>
        <v>2438.4 x 127 x 11</v>
      </c>
      <c r="M14" s="17">
        <v>1.5</v>
      </c>
      <c r="N14" s="17">
        <v>1.5</v>
      </c>
      <c r="O14" s="17">
        <v>3.9269099E7</v>
      </c>
      <c r="P14" s="17">
        <v>1.0</v>
      </c>
      <c r="Q14" s="18" t="s">
        <v>256</v>
      </c>
      <c r="R14" s="19">
        <v>1192.4745762711864</v>
      </c>
      <c r="S14" s="8">
        <f>2500</f>
        <v>2500</v>
      </c>
      <c r="T14" s="21"/>
      <c r="U14" s="10"/>
    </row>
    <row r="15">
      <c r="A15" s="10" t="s">
        <v>249</v>
      </c>
      <c r="B15" s="10" t="s">
        <v>250</v>
      </c>
      <c r="C15" s="10" t="s">
        <v>251</v>
      </c>
      <c r="D15" s="10"/>
      <c r="E15" s="10"/>
      <c r="F15" s="10"/>
      <c r="G15" s="16" t="s">
        <v>279</v>
      </c>
      <c r="H15" s="10" t="s">
        <v>280</v>
      </c>
      <c r="I15" s="17">
        <f t="shared" si="1"/>
        <v>36</v>
      </c>
      <c r="J15" s="18" t="s">
        <v>254</v>
      </c>
      <c r="K15" s="10" t="s">
        <v>278</v>
      </c>
      <c r="L15" s="18" t="str">
        <f t="shared" si="2"/>
        <v>2438.4 x 127 x 11</v>
      </c>
      <c r="M15" s="17">
        <v>1.5</v>
      </c>
      <c r="N15" s="17">
        <v>1.5</v>
      </c>
      <c r="O15" s="17">
        <v>3.9269099E7</v>
      </c>
      <c r="P15" s="17">
        <v>1.0</v>
      </c>
      <c r="Q15" s="18" t="s">
        <v>256</v>
      </c>
      <c r="R15" s="19">
        <v>1084.0677966101696</v>
      </c>
      <c r="S15" s="8">
        <v>2500.0</v>
      </c>
      <c r="T15" s="21"/>
      <c r="U15" s="10"/>
    </row>
    <row r="16">
      <c r="A16" s="10" t="s">
        <v>249</v>
      </c>
      <c r="B16" s="10" t="s">
        <v>250</v>
      </c>
      <c r="C16" s="10" t="s">
        <v>251</v>
      </c>
      <c r="D16" s="10"/>
      <c r="E16" s="10"/>
      <c r="F16" s="10"/>
      <c r="G16" s="16" t="s">
        <v>281</v>
      </c>
      <c r="H16" s="10" t="s">
        <v>282</v>
      </c>
      <c r="I16" s="17">
        <f t="shared" si="1"/>
        <v>36</v>
      </c>
      <c r="J16" s="18" t="s">
        <v>254</v>
      </c>
      <c r="K16" s="10" t="s">
        <v>278</v>
      </c>
      <c r="L16" s="18" t="str">
        <f t="shared" si="2"/>
        <v>2438.4 x 127 x 11</v>
      </c>
      <c r="M16" s="17">
        <v>1.5</v>
      </c>
      <c r="N16" s="17">
        <v>1.5</v>
      </c>
      <c r="O16" s="17">
        <v>3.9269099E7</v>
      </c>
      <c r="P16" s="17">
        <v>1.0</v>
      </c>
      <c r="Q16" s="18" t="s">
        <v>256</v>
      </c>
      <c r="R16" s="19">
        <v>1192.4745762711864</v>
      </c>
      <c r="S16" s="8">
        <f>2500</f>
        <v>2500</v>
      </c>
      <c r="T16" s="21"/>
      <c r="U16" s="10"/>
    </row>
    <row r="17">
      <c r="A17" s="10" t="s">
        <v>249</v>
      </c>
      <c r="B17" s="10" t="s">
        <v>250</v>
      </c>
      <c r="C17" s="10" t="s">
        <v>251</v>
      </c>
      <c r="D17" s="10"/>
      <c r="E17" s="10"/>
      <c r="F17" s="10"/>
      <c r="G17" s="16" t="s">
        <v>283</v>
      </c>
      <c r="H17" s="10" t="s">
        <v>284</v>
      </c>
      <c r="I17" s="17">
        <f t="shared" si="1"/>
        <v>32</v>
      </c>
      <c r="J17" s="18" t="s">
        <v>254</v>
      </c>
      <c r="K17" s="10" t="s">
        <v>278</v>
      </c>
      <c r="L17" s="18" t="str">
        <f t="shared" si="2"/>
        <v>2438.4 x 127 x 11</v>
      </c>
      <c r="M17" s="17">
        <v>1.5</v>
      </c>
      <c r="N17" s="17">
        <v>1.5</v>
      </c>
      <c r="O17" s="17">
        <v>3.9269099E7</v>
      </c>
      <c r="P17" s="17">
        <v>1.0</v>
      </c>
      <c r="Q17" s="18" t="s">
        <v>256</v>
      </c>
      <c r="R17" s="19">
        <v>1084.0677966101696</v>
      </c>
      <c r="S17" s="8">
        <v>2500.0</v>
      </c>
      <c r="T17" s="21"/>
      <c r="U17" s="10"/>
    </row>
    <row r="18">
      <c r="A18" s="10" t="s">
        <v>249</v>
      </c>
      <c r="B18" s="10" t="s">
        <v>250</v>
      </c>
      <c r="C18" s="10" t="s">
        <v>251</v>
      </c>
      <c r="D18" s="10"/>
      <c r="E18" s="10"/>
      <c r="F18" s="10"/>
      <c r="G18" s="16" t="s">
        <v>215</v>
      </c>
      <c r="H18" s="10" t="s">
        <v>285</v>
      </c>
      <c r="I18" s="17">
        <f t="shared" si="1"/>
        <v>32</v>
      </c>
      <c r="J18" s="18" t="s">
        <v>254</v>
      </c>
      <c r="K18" s="10" t="s">
        <v>278</v>
      </c>
      <c r="L18" s="18" t="str">
        <f t="shared" si="2"/>
        <v>2438.4 x 127 x 11</v>
      </c>
      <c r="M18" s="17">
        <v>1.5</v>
      </c>
      <c r="N18" s="17">
        <v>1.5</v>
      </c>
      <c r="O18" s="17">
        <v>3.9269099E7</v>
      </c>
      <c r="P18" s="17">
        <v>1.0</v>
      </c>
      <c r="Q18" s="18" t="s">
        <v>256</v>
      </c>
      <c r="R18" s="19">
        <v>1084.0677966101696</v>
      </c>
      <c r="S18" s="8">
        <v>2500.0</v>
      </c>
      <c r="T18" s="21"/>
      <c r="U18" s="10"/>
    </row>
    <row r="19">
      <c r="A19" s="10" t="s">
        <v>249</v>
      </c>
      <c r="B19" s="10" t="s">
        <v>250</v>
      </c>
      <c r="C19" s="10" t="s">
        <v>251</v>
      </c>
      <c r="D19" s="10"/>
      <c r="E19" s="10"/>
      <c r="F19" s="10"/>
      <c r="G19" s="16" t="s">
        <v>286</v>
      </c>
      <c r="H19" s="10" t="s">
        <v>287</v>
      </c>
      <c r="I19" s="17">
        <f t="shared" si="1"/>
        <v>32</v>
      </c>
      <c r="J19" s="18" t="s">
        <v>254</v>
      </c>
      <c r="K19" s="10" t="s">
        <v>278</v>
      </c>
      <c r="L19" s="18" t="str">
        <f t="shared" si="2"/>
        <v>2438.4 x 127 x 11</v>
      </c>
      <c r="M19" s="17">
        <v>1.5</v>
      </c>
      <c r="N19" s="17">
        <v>1.5</v>
      </c>
      <c r="O19" s="17">
        <v>3.9269099E7</v>
      </c>
      <c r="P19" s="17">
        <v>1.0</v>
      </c>
      <c r="Q19" s="18" t="s">
        <v>256</v>
      </c>
      <c r="R19" s="19">
        <v>1084.0677966101696</v>
      </c>
      <c r="S19" s="8">
        <v>2500.0</v>
      </c>
      <c r="T19" s="21"/>
      <c r="U19" s="10"/>
    </row>
    <row r="20">
      <c r="A20" s="10" t="s">
        <v>249</v>
      </c>
      <c r="B20" s="10" t="s">
        <v>250</v>
      </c>
      <c r="C20" s="10" t="s">
        <v>251</v>
      </c>
      <c r="D20" s="10"/>
      <c r="E20" s="10"/>
      <c r="F20" s="10"/>
      <c r="G20" s="16" t="s">
        <v>288</v>
      </c>
      <c r="H20" s="10" t="s">
        <v>289</v>
      </c>
      <c r="I20" s="17">
        <f t="shared" si="1"/>
        <v>36</v>
      </c>
      <c r="J20" s="18" t="s">
        <v>254</v>
      </c>
      <c r="K20" s="10" t="s">
        <v>278</v>
      </c>
      <c r="L20" s="18" t="str">
        <f t="shared" si="2"/>
        <v>2438.4 x 127 x 11</v>
      </c>
      <c r="M20" s="17">
        <v>1.5</v>
      </c>
      <c r="N20" s="17">
        <v>1.5</v>
      </c>
      <c r="O20" s="17">
        <v>3.9269099E7</v>
      </c>
      <c r="P20" s="17">
        <v>1.0</v>
      </c>
      <c r="Q20" s="18" t="s">
        <v>256</v>
      </c>
      <c r="R20" s="19">
        <v>595.8644067796611</v>
      </c>
      <c r="S20" s="8">
        <v>1500.0</v>
      </c>
      <c r="T20" s="21"/>
      <c r="U20" s="10"/>
    </row>
    <row r="21">
      <c r="A21" s="10" t="s">
        <v>249</v>
      </c>
      <c r="B21" s="10" t="s">
        <v>250</v>
      </c>
      <c r="C21" s="10" t="s">
        <v>251</v>
      </c>
      <c r="D21" s="10"/>
      <c r="E21" s="10"/>
      <c r="F21" s="10"/>
      <c r="G21" s="16" t="s">
        <v>138</v>
      </c>
      <c r="H21" s="10" t="s">
        <v>290</v>
      </c>
      <c r="I21" s="17">
        <f t="shared" si="1"/>
        <v>36</v>
      </c>
      <c r="J21" s="18" t="s">
        <v>254</v>
      </c>
      <c r="K21" s="10" t="s">
        <v>278</v>
      </c>
      <c r="L21" s="18" t="str">
        <f t="shared" si="2"/>
        <v>2438.4 x 127 x 11</v>
      </c>
      <c r="M21" s="17">
        <v>1.5</v>
      </c>
      <c r="N21" s="17">
        <v>1.5</v>
      </c>
      <c r="O21" s="17">
        <v>3.9269099E7</v>
      </c>
      <c r="P21" s="17">
        <v>1.0</v>
      </c>
      <c r="Q21" s="18" t="s">
        <v>256</v>
      </c>
      <c r="R21" s="19">
        <v>595.8644067796611</v>
      </c>
      <c r="S21" s="8">
        <v>1500.0</v>
      </c>
      <c r="T21" s="21"/>
      <c r="U21" s="10"/>
    </row>
    <row r="22">
      <c r="A22" s="10" t="s">
        <v>249</v>
      </c>
      <c r="B22" s="10" t="s">
        <v>250</v>
      </c>
      <c r="C22" s="10" t="s">
        <v>251</v>
      </c>
      <c r="D22" s="10"/>
      <c r="E22" s="10"/>
      <c r="F22" s="10"/>
      <c r="G22" s="16" t="s">
        <v>145</v>
      </c>
      <c r="H22" s="10" t="s">
        <v>291</v>
      </c>
      <c r="I22" s="17">
        <f t="shared" si="1"/>
        <v>38</v>
      </c>
      <c r="J22" s="18" t="s">
        <v>254</v>
      </c>
      <c r="K22" s="10" t="s">
        <v>278</v>
      </c>
      <c r="L22" s="18" t="str">
        <f t="shared" si="2"/>
        <v>2438.4 x 127 x 11</v>
      </c>
      <c r="M22" s="17">
        <v>1.5</v>
      </c>
      <c r="N22" s="17">
        <v>1.5</v>
      </c>
      <c r="O22" s="17">
        <v>3.9269099E7</v>
      </c>
      <c r="P22" s="17">
        <v>1.0</v>
      </c>
      <c r="Q22" s="18" t="s">
        <v>256</v>
      </c>
      <c r="R22" s="19">
        <v>595.8644067796611</v>
      </c>
      <c r="S22" s="8">
        <v>1500.0</v>
      </c>
      <c r="T22" s="21"/>
      <c r="U22" s="10"/>
    </row>
    <row r="23">
      <c r="A23" s="10" t="s">
        <v>249</v>
      </c>
      <c r="B23" s="10" t="s">
        <v>250</v>
      </c>
      <c r="C23" s="10" t="s">
        <v>251</v>
      </c>
      <c r="D23" s="10"/>
      <c r="E23" s="10"/>
      <c r="F23" s="10"/>
      <c r="G23" s="16" t="s">
        <v>292</v>
      </c>
      <c r="H23" s="10" t="s">
        <v>293</v>
      </c>
      <c r="I23" s="17">
        <f t="shared" si="1"/>
        <v>36</v>
      </c>
      <c r="J23" s="18" t="s">
        <v>254</v>
      </c>
      <c r="K23" s="10" t="s">
        <v>278</v>
      </c>
      <c r="L23" s="18" t="str">
        <f t="shared" si="2"/>
        <v>2438.4 x 127 x 11</v>
      </c>
      <c r="M23" s="17">
        <v>1.5</v>
      </c>
      <c r="N23" s="17">
        <v>1.5</v>
      </c>
      <c r="O23" s="17">
        <v>3.9269099E7</v>
      </c>
      <c r="P23" s="17">
        <v>1.0</v>
      </c>
      <c r="Q23" s="18" t="s">
        <v>256</v>
      </c>
      <c r="R23" s="19">
        <v>595.8644067796611</v>
      </c>
      <c r="S23" s="8">
        <v>1500.0</v>
      </c>
      <c r="T23" s="21"/>
      <c r="U23" s="10"/>
    </row>
    <row r="24">
      <c r="A24" s="10" t="s">
        <v>249</v>
      </c>
      <c r="B24" s="10" t="s">
        <v>250</v>
      </c>
      <c r="C24" s="10" t="s">
        <v>251</v>
      </c>
      <c r="D24" s="10"/>
      <c r="E24" s="10"/>
      <c r="F24" s="10"/>
      <c r="G24" s="16" t="s">
        <v>294</v>
      </c>
      <c r="H24" s="10" t="s">
        <v>295</v>
      </c>
      <c r="I24" s="17">
        <f t="shared" si="1"/>
        <v>31</v>
      </c>
      <c r="J24" s="18" t="s">
        <v>254</v>
      </c>
      <c r="K24" s="10" t="s">
        <v>278</v>
      </c>
      <c r="L24" s="18" t="str">
        <f t="shared" si="2"/>
        <v>2438.4 x 127 x 11</v>
      </c>
      <c r="M24" s="17">
        <v>1.5</v>
      </c>
      <c r="N24" s="17">
        <v>1.5</v>
      </c>
      <c r="O24" s="17">
        <v>3.9269099E7</v>
      </c>
      <c r="P24" s="17">
        <v>1.0</v>
      </c>
      <c r="Q24" s="18" t="s">
        <v>256</v>
      </c>
      <c r="R24" s="19">
        <v>595.8644067796611</v>
      </c>
      <c r="S24" s="8">
        <v>1500.0</v>
      </c>
      <c r="T24" s="21"/>
      <c r="U24" s="10"/>
    </row>
    <row r="25">
      <c r="A25" s="10" t="s">
        <v>249</v>
      </c>
      <c r="B25" s="10" t="s">
        <v>250</v>
      </c>
      <c r="C25" s="10" t="s">
        <v>251</v>
      </c>
      <c r="D25" s="10"/>
      <c r="E25" s="10"/>
      <c r="F25" s="10"/>
      <c r="G25" s="16" t="s">
        <v>296</v>
      </c>
      <c r="H25" s="10" t="s">
        <v>297</v>
      </c>
      <c r="I25" s="17">
        <f t="shared" si="1"/>
        <v>35</v>
      </c>
      <c r="J25" s="18" t="s">
        <v>254</v>
      </c>
      <c r="K25" s="10" t="s">
        <v>278</v>
      </c>
      <c r="L25" s="18" t="str">
        <f t="shared" si="2"/>
        <v>2438.4 x 127 x 11</v>
      </c>
      <c r="M25" s="17">
        <v>1.5</v>
      </c>
      <c r="N25" s="17">
        <v>1.5</v>
      </c>
      <c r="O25" s="17">
        <v>3.9269099E7</v>
      </c>
      <c r="P25" s="17">
        <v>1.0</v>
      </c>
      <c r="Q25" s="18" t="s">
        <v>256</v>
      </c>
      <c r="R25" s="19">
        <v>670.4406779661017</v>
      </c>
      <c r="S25" s="8">
        <v>1500.0</v>
      </c>
      <c r="T25" s="21"/>
      <c r="U25" s="10"/>
    </row>
    <row r="26">
      <c r="A26" s="10" t="s">
        <v>249</v>
      </c>
      <c r="B26" s="10" t="s">
        <v>250</v>
      </c>
      <c r="C26" s="10" t="s">
        <v>251</v>
      </c>
      <c r="D26" s="10"/>
      <c r="E26" s="10"/>
      <c r="F26" s="10"/>
      <c r="G26" s="16" t="s">
        <v>148</v>
      </c>
      <c r="H26" s="10" t="s">
        <v>298</v>
      </c>
      <c r="I26" s="17">
        <f t="shared" si="1"/>
        <v>36</v>
      </c>
      <c r="J26" s="18" t="s">
        <v>254</v>
      </c>
      <c r="K26" s="10" t="s">
        <v>278</v>
      </c>
      <c r="L26" s="18" t="str">
        <f t="shared" si="2"/>
        <v>2438.4 x 127 x 11</v>
      </c>
      <c r="M26" s="17">
        <v>1.5</v>
      </c>
      <c r="N26" s="17">
        <v>1.5</v>
      </c>
      <c r="O26" s="17">
        <v>392690.0</v>
      </c>
      <c r="P26" s="17">
        <v>1.0</v>
      </c>
      <c r="Q26" s="18" t="s">
        <v>256</v>
      </c>
      <c r="R26" s="19">
        <v>819.5932203389831</v>
      </c>
      <c r="S26" s="8">
        <f>2000</f>
        <v>2000</v>
      </c>
      <c r="T26" s="21"/>
      <c r="U26" s="10"/>
    </row>
    <row r="27">
      <c r="A27" s="10" t="s">
        <v>249</v>
      </c>
      <c r="B27" s="10" t="s">
        <v>250</v>
      </c>
      <c r="C27" s="10" t="s">
        <v>251</v>
      </c>
      <c r="D27" s="10"/>
      <c r="E27" s="10"/>
      <c r="F27" s="10"/>
      <c r="G27" s="16" t="s">
        <v>299</v>
      </c>
      <c r="H27" s="10" t="s">
        <v>300</v>
      </c>
      <c r="I27" s="17">
        <f t="shared" si="1"/>
        <v>36</v>
      </c>
      <c r="J27" s="18" t="s">
        <v>254</v>
      </c>
      <c r="K27" s="10" t="s">
        <v>278</v>
      </c>
      <c r="L27" s="18" t="str">
        <f t="shared" si="2"/>
        <v>2438.4 x 127 x 11</v>
      </c>
      <c r="M27" s="17">
        <v>1.5</v>
      </c>
      <c r="N27" s="17">
        <v>1.5</v>
      </c>
      <c r="O27" s="17">
        <v>3.9269099E7</v>
      </c>
      <c r="P27" s="17">
        <v>1.0</v>
      </c>
      <c r="Q27" s="18" t="s">
        <v>256</v>
      </c>
      <c r="R27" s="19">
        <v>595.8644067796611</v>
      </c>
      <c r="S27" s="8">
        <v>1500.0</v>
      </c>
      <c r="T27" s="21"/>
      <c r="U27" s="10"/>
    </row>
    <row r="28">
      <c r="A28" s="10" t="s">
        <v>249</v>
      </c>
      <c r="B28" s="10" t="s">
        <v>250</v>
      </c>
      <c r="C28" s="10" t="s">
        <v>251</v>
      </c>
      <c r="D28" s="10"/>
      <c r="E28" s="10"/>
      <c r="F28" s="10"/>
      <c r="G28" s="16" t="s">
        <v>301</v>
      </c>
      <c r="H28" s="10" t="s">
        <v>302</v>
      </c>
      <c r="I28" s="17">
        <f t="shared" si="1"/>
        <v>38</v>
      </c>
      <c r="J28" s="18" t="s">
        <v>254</v>
      </c>
      <c r="K28" s="10" t="s">
        <v>278</v>
      </c>
      <c r="L28" s="18" t="str">
        <f t="shared" si="2"/>
        <v>2438.4 x 127 x 11</v>
      </c>
      <c r="M28" s="17">
        <v>1.5</v>
      </c>
      <c r="N28" s="17">
        <v>1.5</v>
      </c>
      <c r="O28" s="17">
        <v>3.9269099E7</v>
      </c>
      <c r="P28" s="17">
        <v>1.0</v>
      </c>
      <c r="Q28" s="18" t="s">
        <v>256</v>
      </c>
      <c r="R28" s="19">
        <v>595.8644067796611</v>
      </c>
      <c r="S28" s="8">
        <v>1500.0</v>
      </c>
      <c r="T28" s="21"/>
      <c r="U28" s="10"/>
    </row>
    <row r="29">
      <c r="A29" s="10" t="s">
        <v>249</v>
      </c>
      <c r="B29" s="10" t="s">
        <v>250</v>
      </c>
      <c r="C29" s="10" t="s">
        <v>251</v>
      </c>
      <c r="D29" s="10"/>
      <c r="E29" s="10"/>
      <c r="F29" s="10"/>
      <c r="G29" s="16" t="s">
        <v>303</v>
      </c>
      <c r="H29" s="10" t="s">
        <v>304</v>
      </c>
      <c r="I29" s="17">
        <f t="shared" si="1"/>
        <v>37</v>
      </c>
      <c r="J29" s="18" t="s">
        <v>254</v>
      </c>
      <c r="K29" s="10" t="s">
        <v>278</v>
      </c>
      <c r="L29" s="18" t="str">
        <f t="shared" si="2"/>
        <v>2438.4 x 127 x 11</v>
      </c>
      <c r="M29" s="17">
        <v>1.5</v>
      </c>
      <c r="N29" s="17">
        <v>1.5</v>
      </c>
      <c r="O29" s="17">
        <v>3.9269099E7</v>
      </c>
      <c r="P29" s="17">
        <v>1.0</v>
      </c>
      <c r="Q29" s="18" t="s">
        <v>256</v>
      </c>
      <c r="R29" s="19">
        <v>745.0169491525425</v>
      </c>
      <c r="S29" s="8">
        <f>1500</f>
        <v>1500</v>
      </c>
      <c r="T29" s="21"/>
      <c r="U29" s="10"/>
    </row>
    <row r="30">
      <c r="A30" s="10" t="s">
        <v>249</v>
      </c>
      <c r="B30" s="10" t="s">
        <v>250</v>
      </c>
      <c r="C30" s="10" t="s">
        <v>251</v>
      </c>
      <c r="D30" s="10"/>
      <c r="E30" s="10"/>
      <c r="F30" s="10"/>
      <c r="G30" s="16" t="s">
        <v>152</v>
      </c>
      <c r="H30" s="10" t="s">
        <v>305</v>
      </c>
      <c r="I30" s="17">
        <f t="shared" si="1"/>
        <v>32</v>
      </c>
      <c r="J30" s="18" t="s">
        <v>254</v>
      </c>
      <c r="K30" s="10" t="s">
        <v>278</v>
      </c>
      <c r="L30" s="18" t="str">
        <f t="shared" si="2"/>
        <v>2438.4 x 127 x 11</v>
      </c>
      <c r="M30" s="17">
        <v>1.5</v>
      </c>
      <c r="N30" s="17">
        <v>1.5</v>
      </c>
      <c r="O30" s="17">
        <v>3.9269099E7</v>
      </c>
      <c r="P30" s="17">
        <v>1.0</v>
      </c>
      <c r="Q30" s="18" t="s">
        <v>256</v>
      </c>
      <c r="R30" s="19">
        <v>670.4406779661017</v>
      </c>
      <c r="S30" s="8">
        <v>1500.0</v>
      </c>
      <c r="T30" s="21"/>
      <c r="U30" s="10"/>
    </row>
    <row r="31">
      <c r="A31" s="10" t="s">
        <v>249</v>
      </c>
      <c r="B31" s="10" t="s">
        <v>250</v>
      </c>
      <c r="C31" s="10" t="s">
        <v>251</v>
      </c>
      <c r="D31" s="10"/>
      <c r="E31" s="10"/>
      <c r="F31" s="10"/>
      <c r="G31" s="16" t="s">
        <v>209</v>
      </c>
      <c r="H31" s="10" t="s">
        <v>306</v>
      </c>
      <c r="I31" s="17">
        <f t="shared" si="1"/>
        <v>38</v>
      </c>
      <c r="J31" s="18" t="s">
        <v>254</v>
      </c>
      <c r="K31" s="10" t="s">
        <v>278</v>
      </c>
      <c r="L31" s="18" t="str">
        <f t="shared" si="2"/>
        <v>2438.4 x 127 x 11</v>
      </c>
      <c r="M31" s="17">
        <v>1.5</v>
      </c>
      <c r="N31" s="17">
        <v>1.5</v>
      </c>
      <c r="O31" s="17">
        <v>3.9269099E7</v>
      </c>
      <c r="P31" s="17">
        <v>1.0</v>
      </c>
      <c r="Q31" s="18" t="s">
        <v>256</v>
      </c>
      <c r="R31" s="19">
        <v>595.8644067796611</v>
      </c>
      <c r="S31" s="8">
        <v>1500.0</v>
      </c>
      <c r="T31" s="21"/>
      <c r="U31" s="10"/>
    </row>
    <row r="32">
      <c r="A32" s="10" t="s">
        <v>249</v>
      </c>
      <c r="B32" s="10" t="s">
        <v>250</v>
      </c>
      <c r="C32" s="10" t="s">
        <v>251</v>
      </c>
      <c r="D32" s="10"/>
      <c r="E32" s="10"/>
      <c r="F32" s="10"/>
      <c r="G32" s="16" t="s">
        <v>307</v>
      </c>
      <c r="H32" s="10" t="s">
        <v>308</v>
      </c>
      <c r="I32" s="17">
        <f t="shared" si="1"/>
        <v>36</v>
      </c>
      <c r="J32" s="18" t="s">
        <v>254</v>
      </c>
      <c r="K32" s="10" t="s">
        <v>278</v>
      </c>
      <c r="L32" s="18" t="str">
        <f t="shared" si="2"/>
        <v>2438.4 x 127 x 11</v>
      </c>
      <c r="M32" s="17">
        <v>1.5</v>
      </c>
      <c r="N32" s="17">
        <v>1.5</v>
      </c>
      <c r="O32" s="17">
        <v>3.9269099E7</v>
      </c>
      <c r="P32" s="17">
        <v>1.0</v>
      </c>
      <c r="Q32" s="18" t="s">
        <v>256</v>
      </c>
      <c r="R32" s="19">
        <v>677.2881355932204</v>
      </c>
      <c r="S32" s="8">
        <f>1500</f>
        <v>1500</v>
      </c>
      <c r="T32" s="21"/>
      <c r="U32" s="10"/>
    </row>
    <row r="33">
      <c r="A33" s="10" t="s">
        <v>249</v>
      </c>
      <c r="B33" s="10" t="s">
        <v>250</v>
      </c>
      <c r="C33" s="10" t="s">
        <v>251</v>
      </c>
      <c r="D33" s="10"/>
      <c r="E33" s="10"/>
      <c r="F33" s="10"/>
      <c r="G33" s="16" t="s">
        <v>197</v>
      </c>
      <c r="H33" s="10" t="s">
        <v>309</v>
      </c>
      <c r="I33" s="17">
        <f t="shared" si="1"/>
        <v>36</v>
      </c>
      <c r="J33" s="18" t="s">
        <v>254</v>
      </c>
      <c r="K33" s="10" t="s">
        <v>278</v>
      </c>
      <c r="L33" s="18" t="str">
        <f t="shared" si="2"/>
        <v>2438.4 x 127 x 11</v>
      </c>
      <c r="M33" s="17">
        <v>1.5</v>
      </c>
      <c r="N33" s="17">
        <v>1.5</v>
      </c>
      <c r="O33" s="17">
        <v>3.9269099E7</v>
      </c>
      <c r="P33" s="17">
        <v>1.0</v>
      </c>
      <c r="Q33" s="18" t="s">
        <v>256</v>
      </c>
      <c r="R33" s="19">
        <v>595.8644067796611</v>
      </c>
      <c r="S33" s="8">
        <v>1500.0</v>
      </c>
      <c r="T33" s="21"/>
      <c r="U33" s="10"/>
    </row>
    <row r="34">
      <c r="A34" s="10" t="s">
        <v>249</v>
      </c>
      <c r="B34" s="10" t="s">
        <v>250</v>
      </c>
      <c r="C34" s="10" t="s">
        <v>251</v>
      </c>
      <c r="D34" s="10"/>
      <c r="E34" s="10"/>
      <c r="F34" s="10"/>
      <c r="G34" s="16" t="s">
        <v>188</v>
      </c>
      <c r="H34" s="10" t="s">
        <v>310</v>
      </c>
      <c r="I34" s="17">
        <f t="shared" si="1"/>
        <v>36</v>
      </c>
      <c r="J34" s="18" t="s">
        <v>254</v>
      </c>
      <c r="K34" s="10" t="s">
        <v>278</v>
      </c>
      <c r="L34" s="18" t="str">
        <f t="shared" si="2"/>
        <v>2438.4 x 127 x 11</v>
      </c>
      <c r="M34" s="17">
        <v>1.5</v>
      </c>
      <c r="N34" s="17">
        <v>1.5</v>
      </c>
      <c r="O34" s="17">
        <v>3.9269099E7</v>
      </c>
      <c r="P34" s="17">
        <v>1.0</v>
      </c>
      <c r="Q34" s="18" t="s">
        <v>256</v>
      </c>
      <c r="R34" s="19">
        <v>670.4406779661017</v>
      </c>
      <c r="S34" s="8">
        <v>1500.0</v>
      </c>
      <c r="T34" s="21"/>
      <c r="U34" s="10"/>
    </row>
    <row r="35">
      <c r="A35" s="10" t="s">
        <v>249</v>
      </c>
      <c r="B35" s="10" t="s">
        <v>250</v>
      </c>
      <c r="C35" s="10" t="s">
        <v>251</v>
      </c>
      <c r="D35" s="10"/>
      <c r="E35" s="10"/>
      <c r="F35" s="10"/>
      <c r="G35" s="16" t="s">
        <v>311</v>
      </c>
      <c r="H35" s="10" t="s">
        <v>312</v>
      </c>
      <c r="I35" s="17">
        <f t="shared" si="1"/>
        <v>35</v>
      </c>
      <c r="J35" s="18" t="s">
        <v>254</v>
      </c>
      <c r="K35" s="10" t="s">
        <v>278</v>
      </c>
      <c r="L35" s="18" t="str">
        <f t="shared" si="2"/>
        <v>2438.4 x 127 x 11</v>
      </c>
      <c r="M35" s="17">
        <v>1.5</v>
      </c>
      <c r="N35" s="17">
        <v>1.5</v>
      </c>
      <c r="O35" s="17">
        <v>3.9269099E7</v>
      </c>
      <c r="P35" s="17">
        <v>1.0</v>
      </c>
      <c r="Q35" s="18" t="s">
        <v>256</v>
      </c>
      <c r="R35" s="19">
        <v>670.4406779661017</v>
      </c>
      <c r="S35" s="8">
        <v>1500.0</v>
      </c>
      <c r="T35" s="21"/>
      <c r="U35" s="10"/>
    </row>
    <row r="36">
      <c r="A36" s="10" t="s">
        <v>249</v>
      </c>
      <c r="B36" s="10" t="s">
        <v>250</v>
      </c>
      <c r="C36" s="10" t="s">
        <v>251</v>
      </c>
      <c r="D36" s="10"/>
      <c r="E36" s="10"/>
      <c r="F36" s="10"/>
      <c r="G36" s="16" t="s">
        <v>190</v>
      </c>
      <c r="H36" s="10" t="s">
        <v>313</v>
      </c>
      <c r="I36" s="17">
        <f t="shared" si="1"/>
        <v>36</v>
      </c>
      <c r="J36" s="18" t="s">
        <v>254</v>
      </c>
      <c r="K36" s="10" t="s">
        <v>314</v>
      </c>
      <c r="L36" s="18" t="str">
        <f t="shared" si="2"/>
        <v>2438.4 x 609.6 x 10</v>
      </c>
      <c r="M36" s="17">
        <v>10.0</v>
      </c>
      <c r="N36" s="17">
        <v>10.0</v>
      </c>
      <c r="O36" s="17">
        <v>3.9269099E7</v>
      </c>
      <c r="P36" s="17">
        <v>1.0</v>
      </c>
      <c r="Q36" s="18" t="s">
        <v>256</v>
      </c>
      <c r="R36" s="19">
        <v>1117.8983050847457</v>
      </c>
      <c r="S36" s="8">
        <v>2500.0</v>
      </c>
      <c r="T36" s="21"/>
      <c r="U36" s="10"/>
    </row>
    <row r="37">
      <c r="A37" s="10" t="s">
        <v>249</v>
      </c>
      <c r="B37" s="10" t="s">
        <v>250</v>
      </c>
      <c r="C37" s="10" t="s">
        <v>251</v>
      </c>
      <c r="D37" s="10"/>
      <c r="E37" s="10"/>
      <c r="F37" s="10"/>
      <c r="G37" s="16" t="s">
        <v>153</v>
      </c>
      <c r="H37" s="10" t="s">
        <v>315</v>
      </c>
      <c r="I37" s="17">
        <f t="shared" si="1"/>
        <v>38</v>
      </c>
      <c r="J37" s="18" t="s">
        <v>254</v>
      </c>
      <c r="K37" s="10" t="s">
        <v>314</v>
      </c>
      <c r="L37" s="18" t="str">
        <f t="shared" si="2"/>
        <v>2438.4 x 609.6 x 10</v>
      </c>
      <c r="M37" s="17">
        <v>10.0</v>
      </c>
      <c r="N37" s="17">
        <v>10.0</v>
      </c>
      <c r="O37" s="17">
        <v>3.9269099E7</v>
      </c>
      <c r="P37" s="17">
        <v>1.0</v>
      </c>
      <c r="Q37" s="18" t="s">
        <v>256</v>
      </c>
      <c r="R37" s="19">
        <v>1117.8983050847457</v>
      </c>
      <c r="S37" s="8">
        <v>2500.0</v>
      </c>
      <c r="T37" s="21"/>
      <c r="U37" s="10"/>
    </row>
    <row r="38">
      <c r="A38" s="10" t="s">
        <v>249</v>
      </c>
      <c r="B38" s="10" t="s">
        <v>250</v>
      </c>
      <c r="C38" s="10" t="s">
        <v>251</v>
      </c>
      <c r="D38" s="10"/>
      <c r="E38" s="10"/>
      <c r="F38" s="10"/>
      <c r="G38" s="16" t="s">
        <v>316</v>
      </c>
      <c r="H38" s="10" t="s">
        <v>317</v>
      </c>
      <c r="I38" s="17">
        <f t="shared" si="1"/>
        <v>31</v>
      </c>
      <c r="J38" s="18" t="s">
        <v>254</v>
      </c>
      <c r="K38" s="10" t="s">
        <v>314</v>
      </c>
      <c r="L38" s="18" t="str">
        <f t="shared" si="2"/>
        <v>2438.4 x 609.6 x 10</v>
      </c>
      <c r="M38" s="17">
        <v>10.0</v>
      </c>
      <c r="N38" s="17">
        <v>10.0</v>
      </c>
      <c r="O38" s="17">
        <v>3.9269099E7</v>
      </c>
      <c r="P38" s="17">
        <v>1.0</v>
      </c>
      <c r="Q38" s="18" t="s">
        <v>256</v>
      </c>
      <c r="R38" s="19">
        <v>1016.2711864406781</v>
      </c>
      <c r="S38" s="8">
        <v>2500.0</v>
      </c>
      <c r="T38" s="21"/>
      <c r="U38" s="10"/>
    </row>
    <row r="39">
      <c r="A39" s="10" t="s">
        <v>249</v>
      </c>
      <c r="B39" s="10" t="s">
        <v>250</v>
      </c>
      <c r="C39" s="10" t="s">
        <v>251</v>
      </c>
      <c r="D39" s="10"/>
      <c r="E39" s="10"/>
      <c r="F39" s="10"/>
      <c r="G39" s="16" t="s">
        <v>318</v>
      </c>
      <c r="H39" s="10" t="s">
        <v>319</v>
      </c>
      <c r="I39" s="17">
        <f t="shared" si="1"/>
        <v>34</v>
      </c>
      <c r="J39" s="18" t="s">
        <v>254</v>
      </c>
      <c r="K39" s="10" t="s">
        <v>314</v>
      </c>
      <c r="L39" s="18" t="str">
        <f t="shared" si="2"/>
        <v>2438.4 x 609.6 x 10</v>
      </c>
      <c r="M39" s="17">
        <v>10.0</v>
      </c>
      <c r="N39" s="17">
        <v>10.0</v>
      </c>
      <c r="O39" s="17">
        <v>3.9269099E7</v>
      </c>
      <c r="P39" s="17">
        <v>1.0</v>
      </c>
      <c r="Q39" s="18" t="s">
        <v>256</v>
      </c>
      <c r="R39" s="19">
        <v>670.4406779661017</v>
      </c>
      <c r="S39" s="8">
        <v>1500.0</v>
      </c>
      <c r="T39" s="21"/>
      <c r="U39" s="10"/>
    </row>
    <row r="40">
      <c r="A40" s="10" t="s">
        <v>249</v>
      </c>
      <c r="B40" s="10" t="s">
        <v>250</v>
      </c>
      <c r="C40" s="10" t="s">
        <v>251</v>
      </c>
      <c r="D40" s="10"/>
      <c r="E40" s="10"/>
      <c r="F40" s="10"/>
      <c r="G40" s="16" t="s">
        <v>320</v>
      </c>
      <c r="H40" s="10" t="s">
        <v>321</v>
      </c>
      <c r="I40" s="17">
        <f t="shared" si="1"/>
        <v>32</v>
      </c>
      <c r="J40" s="18" t="s">
        <v>254</v>
      </c>
      <c r="K40" s="10" t="s">
        <v>314</v>
      </c>
      <c r="L40" s="18" t="str">
        <f t="shared" si="2"/>
        <v>2438.4 x 609.6 x 10</v>
      </c>
      <c r="M40" s="17">
        <v>10.0</v>
      </c>
      <c r="N40" s="17">
        <v>10.0</v>
      </c>
      <c r="O40" s="17">
        <v>3.9269099E7</v>
      </c>
      <c r="P40" s="17">
        <v>1.0</v>
      </c>
      <c r="Q40" s="18" t="s">
        <v>256</v>
      </c>
      <c r="R40" s="19">
        <v>670.4406779661017</v>
      </c>
      <c r="S40" s="8">
        <v>1500.0</v>
      </c>
      <c r="T40" s="21"/>
      <c r="U40" s="10"/>
    </row>
    <row r="41">
      <c r="A41" s="10" t="s">
        <v>249</v>
      </c>
      <c r="B41" s="10" t="s">
        <v>250</v>
      </c>
      <c r="C41" s="10" t="s">
        <v>251</v>
      </c>
      <c r="D41" s="10"/>
      <c r="E41" s="10"/>
      <c r="F41" s="10"/>
      <c r="G41" s="16" t="s">
        <v>322</v>
      </c>
      <c r="H41" s="10" t="s">
        <v>323</v>
      </c>
      <c r="I41" s="17">
        <f t="shared" si="1"/>
        <v>37</v>
      </c>
      <c r="J41" s="18" t="s">
        <v>254</v>
      </c>
      <c r="K41" s="10" t="s">
        <v>324</v>
      </c>
      <c r="L41" s="18" t="str">
        <f t="shared" si="2"/>
        <v>2895.6 x 121.92 x 12</v>
      </c>
      <c r="M41" s="17">
        <v>1.5</v>
      </c>
      <c r="N41" s="17">
        <v>1.5</v>
      </c>
      <c r="O41" s="17">
        <v>3.9269099E7</v>
      </c>
      <c r="P41" s="17">
        <v>1.0</v>
      </c>
      <c r="Q41" s="18" t="s">
        <v>256</v>
      </c>
      <c r="R41" s="19">
        <v>670.4406779661017</v>
      </c>
      <c r="S41" s="8">
        <v>1500.0</v>
      </c>
      <c r="T41" s="21"/>
      <c r="U41" s="10"/>
    </row>
    <row r="42">
      <c r="A42" s="10" t="s">
        <v>249</v>
      </c>
      <c r="B42" s="10" t="s">
        <v>250</v>
      </c>
      <c r="C42" s="10" t="s">
        <v>251</v>
      </c>
      <c r="D42" s="10"/>
      <c r="E42" s="10"/>
      <c r="F42" s="10"/>
      <c r="G42" s="16" t="s">
        <v>325</v>
      </c>
      <c r="H42" s="10" t="s">
        <v>326</v>
      </c>
      <c r="I42" s="17">
        <f t="shared" si="1"/>
        <v>38</v>
      </c>
      <c r="J42" s="18" t="s">
        <v>254</v>
      </c>
      <c r="K42" s="10" t="s">
        <v>324</v>
      </c>
      <c r="L42" s="18" t="str">
        <f t="shared" si="2"/>
        <v>2895.6 x 121.92 x 12</v>
      </c>
      <c r="M42" s="17">
        <v>1.5</v>
      </c>
      <c r="N42" s="17">
        <v>1.5</v>
      </c>
      <c r="O42" s="17">
        <v>3.9269099E7</v>
      </c>
      <c r="P42" s="17">
        <v>1.0</v>
      </c>
      <c r="Q42" s="18" t="s">
        <v>256</v>
      </c>
      <c r="R42" s="19">
        <v>670.4406779661017</v>
      </c>
      <c r="S42" s="8">
        <v>1500.0</v>
      </c>
      <c r="T42" s="21"/>
      <c r="U42" s="10"/>
    </row>
    <row r="43">
      <c r="A43" s="10" t="s">
        <v>249</v>
      </c>
      <c r="B43" s="10" t="s">
        <v>250</v>
      </c>
      <c r="C43" s="10" t="s">
        <v>251</v>
      </c>
      <c r="D43" s="10"/>
      <c r="E43" s="10"/>
      <c r="F43" s="10"/>
      <c r="G43" s="16" t="s">
        <v>144</v>
      </c>
      <c r="H43" s="10" t="s">
        <v>327</v>
      </c>
      <c r="I43" s="17">
        <f t="shared" si="1"/>
        <v>36</v>
      </c>
      <c r="J43" s="18" t="s">
        <v>254</v>
      </c>
      <c r="K43" s="10" t="s">
        <v>324</v>
      </c>
      <c r="L43" s="18" t="str">
        <f t="shared" si="2"/>
        <v>2895.6 x 121.92 x 12</v>
      </c>
      <c r="M43" s="17">
        <v>1.5</v>
      </c>
      <c r="N43" s="17">
        <v>1.5</v>
      </c>
      <c r="O43" s="17">
        <v>3.925909E7</v>
      </c>
      <c r="P43" s="17">
        <v>1.0</v>
      </c>
      <c r="Q43" s="18" t="s">
        <v>256</v>
      </c>
      <c r="R43" s="19">
        <v>819.5932203389831</v>
      </c>
      <c r="S43" s="8">
        <f>2000</f>
        <v>2000</v>
      </c>
      <c r="T43" s="21"/>
      <c r="U43" s="10"/>
    </row>
    <row r="44">
      <c r="A44" s="10" t="s">
        <v>249</v>
      </c>
      <c r="B44" s="10" t="s">
        <v>250</v>
      </c>
      <c r="C44" s="10" t="s">
        <v>251</v>
      </c>
      <c r="D44" s="10"/>
      <c r="E44" s="10"/>
      <c r="F44" s="10"/>
      <c r="G44" s="16" t="s">
        <v>328</v>
      </c>
      <c r="H44" s="10" t="s">
        <v>329</v>
      </c>
      <c r="I44" s="17">
        <f t="shared" si="1"/>
        <v>32</v>
      </c>
      <c r="J44" s="18" t="s">
        <v>254</v>
      </c>
      <c r="K44" s="10" t="s">
        <v>324</v>
      </c>
      <c r="L44" s="18" t="str">
        <f t="shared" si="2"/>
        <v>2895.6 x 121.92 x 12</v>
      </c>
      <c r="M44" s="17">
        <v>1.5</v>
      </c>
      <c r="N44" s="17">
        <v>1.5</v>
      </c>
      <c r="O44" s="17">
        <v>3.925909E7</v>
      </c>
      <c r="P44" s="17">
        <v>1.0</v>
      </c>
      <c r="Q44" s="18" t="s">
        <v>256</v>
      </c>
      <c r="R44" s="19">
        <v>745.0847457627119</v>
      </c>
      <c r="S44" s="8">
        <f>1500</f>
        <v>1500</v>
      </c>
      <c r="T44" s="21"/>
      <c r="U44" s="10"/>
    </row>
    <row r="45">
      <c r="A45" s="10" t="s">
        <v>249</v>
      </c>
      <c r="B45" s="10" t="s">
        <v>250</v>
      </c>
      <c r="C45" s="10" t="s">
        <v>251</v>
      </c>
      <c r="D45" s="10"/>
      <c r="E45" s="10"/>
      <c r="F45" s="10"/>
      <c r="G45" s="16" t="s">
        <v>330</v>
      </c>
      <c r="H45" s="10" t="s">
        <v>331</v>
      </c>
      <c r="I45" s="17">
        <f t="shared" si="1"/>
        <v>36</v>
      </c>
      <c r="J45" s="18" t="s">
        <v>254</v>
      </c>
      <c r="K45" s="10" t="s">
        <v>324</v>
      </c>
      <c r="L45" s="18" t="str">
        <f t="shared" si="2"/>
        <v>2895.6 x 121.92 x 12</v>
      </c>
      <c r="M45" s="17">
        <v>1.5</v>
      </c>
      <c r="N45" s="17">
        <v>1.5</v>
      </c>
      <c r="O45" s="17">
        <v>392111.0</v>
      </c>
      <c r="P45" s="17">
        <v>1.0</v>
      </c>
      <c r="Q45" s="18" t="s">
        <v>256</v>
      </c>
      <c r="R45" s="19">
        <v>968.7457627118644</v>
      </c>
      <c r="S45" s="8">
        <f>2000</f>
        <v>2000</v>
      </c>
      <c r="T45" s="21"/>
      <c r="U45" s="10"/>
    </row>
    <row r="46">
      <c r="A46" s="10" t="s">
        <v>249</v>
      </c>
      <c r="B46" s="10" t="s">
        <v>250</v>
      </c>
      <c r="C46" s="10" t="s">
        <v>251</v>
      </c>
      <c r="D46" s="10"/>
      <c r="E46" s="10"/>
      <c r="F46" s="10"/>
      <c r="G46" s="16" t="s">
        <v>332</v>
      </c>
      <c r="H46" s="10" t="s">
        <v>333</v>
      </c>
      <c r="I46" s="17">
        <f t="shared" si="1"/>
        <v>31</v>
      </c>
      <c r="J46" s="18" t="s">
        <v>254</v>
      </c>
      <c r="K46" s="10" t="s">
        <v>324</v>
      </c>
      <c r="L46" s="18" t="str">
        <f t="shared" si="2"/>
        <v>2895.6 x 121.92 x 12</v>
      </c>
      <c r="M46" s="17">
        <v>1.5</v>
      </c>
      <c r="N46" s="17">
        <v>1.5</v>
      </c>
      <c r="O46" s="17">
        <v>3.9269099E7</v>
      </c>
      <c r="P46" s="17">
        <v>1.0</v>
      </c>
      <c r="Q46" s="18" t="s">
        <v>256</v>
      </c>
      <c r="R46" s="19">
        <v>595.8644067796611</v>
      </c>
      <c r="S46" s="8">
        <v>1500.0</v>
      </c>
      <c r="T46" s="21"/>
      <c r="U46" s="10"/>
    </row>
    <row r="47">
      <c r="A47" s="10" t="s">
        <v>249</v>
      </c>
      <c r="B47" s="10" t="s">
        <v>250</v>
      </c>
      <c r="C47" s="10" t="s">
        <v>251</v>
      </c>
      <c r="D47" s="10"/>
      <c r="E47" s="10"/>
      <c r="F47" s="10"/>
      <c r="G47" s="16" t="s">
        <v>334</v>
      </c>
      <c r="H47" s="10" t="s">
        <v>335</v>
      </c>
      <c r="I47" s="17">
        <f t="shared" si="1"/>
        <v>36</v>
      </c>
      <c r="J47" s="18" t="s">
        <v>254</v>
      </c>
      <c r="K47" s="10" t="s">
        <v>324</v>
      </c>
      <c r="L47" s="18" t="str">
        <f t="shared" si="2"/>
        <v>2895.6 x 121.92 x 12</v>
      </c>
      <c r="M47" s="17">
        <v>1.5</v>
      </c>
      <c r="N47" s="17">
        <v>1.5</v>
      </c>
      <c r="O47" s="17">
        <v>3.9269099E7</v>
      </c>
      <c r="P47" s="17">
        <v>1.0</v>
      </c>
      <c r="Q47" s="18" t="s">
        <v>256</v>
      </c>
      <c r="R47" s="19">
        <v>1043.322033898305</v>
      </c>
      <c r="S47" s="8">
        <v>2500.0</v>
      </c>
      <c r="T47" s="21"/>
      <c r="U47" s="10"/>
    </row>
    <row r="48">
      <c r="A48" s="10" t="s">
        <v>249</v>
      </c>
      <c r="B48" s="10" t="s">
        <v>250</v>
      </c>
      <c r="C48" s="10" t="s">
        <v>251</v>
      </c>
      <c r="D48" s="10"/>
      <c r="E48" s="10"/>
      <c r="F48" s="10"/>
      <c r="G48" s="16" t="s">
        <v>336</v>
      </c>
      <c r="H48" s="10" t="s">
        <v>337</v>
      </c>
      <c r="I48" s="17">
        <f t="shared" si="1"/>
        <v>38</v>
      </c>
      <c r="J48" s="18" t="s">
        <v>254</v>
      </c>
      <c r="K48" s="10" t="s">
        <v>271</v>
      </c>
      <c r="L48" s="18" t="str">
        <f t="shared" si="2"/>
        <v>2438.4 x 127 x 12</v>
      </c>
      <c r="M48" s="17">
        <v>1.5</v>
      </c>
      <c r="N48" s="17">
        <v>1.5</v>
      </c>
      <c r="O48" s="17">
        <v>3.9269099E7</v>
      </c>
      <c r="P48" s="17">
        <v>1.0</v>
      </c>
      <c r="Q48" s="18" t="s">
        <v>256</v>
      </c>
      <c r="R48" s="19">
        <v>1043.322033898305</v>
      </c>
      <c r="S48" s="8">
        <v>2500.0</v>
      </c>
      <c r="T48" s="21"/>
      <c r="U48" s="10"/>
    </row>
    <row r="49">
      <c r="A49" s="10" t="s">
        <v>249</v>
      </c>
      <c r="B49" s="10" t="s">
        <v>250</v>
      </c>
      <c r="C49" s="10" t="s">
        <v>251</v>
      </c>
      <c r="D49" s="10"/>
      <c r="E49" s="10"/>
      <c r="F49" s="10"/>
      <c r="G49" s="16" t="s">
        <v>338</v>
      </c>
      <c r="H49" s="10" t="s">
        <v>339</v>
      </c>
      <c r="I49" s="17">
        <f t="shared" si="1"/>
        <v>31</v>
      </c>
      <c r="J49" s="18" t="s">
        <v>254</v>
      </c>
      <c r="K49" s="10" t="s">
        <v>271</v>
      </c>
      <c r="L49" s="18" t="str">
        <f t="shared" si="2"/>
        <v>2438.4 x 127 x 12</v>
      </c>
      <c r="M49" s="17">
        <v>1.5</v>
      </c>
      <c r="N49" s="17">
        <v>1.5</v>
      </c>
      <c r="O49" s="17">
        <v>3.9269099E7</v>
      </c>
      <c r="P49" s="17">
        <v>1.0</v>
      </c>
      <c r="Q49" s="18" t="s">
        <v>256</v>
      </c>
      <c r="R49" s="19">
        <v>677.2881355932204</v>
      </c>
      <c r="S49" s="8">
        <f>1500</f>
        <v>1500</v>
      </c>
      <c r="T49" s="21"/>
      <c r="U49" s="10"/>
    </row>
    <row r="50">
      <c r="A50" s="10" t="s">
        <v>249</v>
      </c>
      <c r="B50" s="10" t="s">
        <v>250</v>
      </c>
      <c r="C50" s="10" t="s">
        <v>251</v>
      </c>
      <c r="D50" s="10"/>
      <c r="E50" s="10"/>
      <c r="F50" s="10"/>
      <c r="G50" s="16" t="s">
        <v>340</v>
      </c>
      <c r="H50" s="10" t="s">
        <v>341</v>
      </c>
      <c r="I50" s="17">
        <f t="shared" si="1"/>
        <v>37</v>
      </c>
      <c r="J50" s="18" t="s">
        <v>254</v>
      </c>
      <c r="K50" s="10" t="s">
        <v>271</v>
      </c>
      <c r="L50" s="18" t="str">
        <f t="shared" si="2"/>
        <v>2438.4 x 127 x 12</v>
      </c>
      <c r="M50" s="17">
        <v>1.5</v>
      </c>
      <c r="N50" s="17">
        <v>1.5</v>
      </c>
      <c r="O50" s="17">
        <v>3.9269099E7</v>
      </c>
      <c r="P50" s="17">
        <v>1.0</v>
      </c>
      <c r="Q50" s="18" t="s">
        <v>256</v>
      </c>
      <c r="R50" s="19">
        <v>595.8644067796611</v>
      </c>
      <c r="S50" s="8">
        <v>1500.0</v>
      </c>
      <c r="T50" s="21"/>
      <c r="U50" s="10"/>
    </row>
    <row r="51">
      <c r="A51" s="10" t="s">
        <v>249</v>
      </c>
      <c r="B51" s="10" t="s">
        <v>250</v>
      </c>
      <c r="C51" s="10" t="s">
        <v>251</v>
      </c>
      <c r="D51" s="10"/>
      <c r="E51" s="10"/>
      <c r="F51" s="10"/>
      <c r="G51" s="16" t="s">
        <v>342</v>
      </c>
      <c r="H51" s="10" t="s">
        <v>343</v>
      </c>
      <c r="I51" s="17">
        <f t="shared" si="1"/>
        <v>36</v>
      </c>
      <c r="J51" s="18" t="s">
        <v>254</v>
      </c>
      <c r="K51" s="10" t="s">
        <v>278</v>
      </c>
      <c r="L51" s="18" t="str">
        <f t="shared" si="2"/>
        <v>2438.4 x 127 x 11</v>
      </c>
      <c r="M51" s="17">
        <v>1.5</v>
      </c>
      <c r="N51" s="17">
        <v>1.5</v>
      </c>
      <c r="O51" s="17">
        <v>3.9269099E7</v>
      </c>
      <c r="P51" s="17">
        <v>1.0</v>
      </c>
      <c r="Q51" s="18" t="s">
        <v>256</v>
      </c>
      <c r="R51" s="19">
        <v>595.8644067796611</v>
      </c>
      <c r="S51" s="8">
        <v>1500.0</v>
      </c>
      <c r="T51" s="21"/>
      <c r="U51" s="10"/>
    </row>
    <row r="52">
      <c r="A52" s="10" t="s">
        <v>249</v>
      </c>
      <c r="B52" s="10" t="s">
        <v>250</v>
      </c>
      <c r="C52" s="10" t="s">
        <v>251</v>
      </c>
      <c r="D52" s="10"/>
      <c r="E52" s="10"/>
      <c r="F52" s="10"/>
      <c r="G52" s="16" t="s">
        <v>151</v>
      </c>
      <c r="H52" s="10" t="s">
        <v>344</v>
      </c>
      <c r="I52" s="17">
        <f t="shared" si="1"/>
        <v>38</v>
      </c>
      <c r="J52" s="18" t="s">
        <v>254</v>
      </c>
      <c r="K52" s="10" t="s">
        <v>278</v>
      </c>
      <c r="L52" s="18" t="str">
        <f t="shared" si="2"/>
        <v>2438.4 x 127 x 11</v>
      </c>
      <c r="M52" s="17">
        <v>1.5</v>
      </c>
      <c r="N52" s="17">
        <v>1.5</v>
      </c>
      <c r="O52" s="17">
        <v>3.9269099E7</v>
      </c>
      <c r="P52" s="17">
        <v>1.0</v>
      </c>
      <c r="Q52" s="18" t="s">
        <v>256</v>
      </c>
      <c r="R52" s="19">
        <v>670.4406779661017</v>
      </c>
      <c r="S52" s="8">
        <v>1500.0</v>
      </c>
      <c r="T52" s="21"/>
      <c r="U52" s="10"/>
    </row>
    <row r="53">
      <c r="A53" s="10" t="s">
        <v>249</v>
      </c>
      <c r="B53" s="10" t="s">
        <v>250</v>
      </c>
      <c r="C53" s="10" t="s">
        <v>251</v>
      </c>
      <c r="D53" s="10"/>
      <c r="E53" s="10"/>
      <c r="F53" s="10"/>
      <c r="G53" s="16" t="s">
        <v>345</v>
      </c>
      <c r="H53" s="10" t="s">
        <v>346</v>
      </c>
      <c r="I53" s="17">
        <f t="shared" si="1"/>
        <v>32</v>
      </c>
      <c r="J53" s="18" t="s">
        <v>254</v>
      </c>
      <c r="K53" s="10" t="s">
        <v>278</v>
      </c>
      <c r="L53" s="18" t="str">
        <f t="shared" si="2"/>
        <v>2438.4 x 127 x 11</v>
      </c>
      <c r="M53" s="17">
        <v>1.5</v>
      </c>
      <c r="N53" s="17">
        <v>1.5</v>
      </c>
      <c r="O53" s="17">
        <v>3.9269099E7</v>
      </c>
      <c r="P53" s="17">
        <v>1.0</v>
      </c>
      <c r="Q53" s="18" t="s">
        <v>256</v>
      </c>
      <c r="R53" s="19">
        <v>670.4406779661017</v>
      </c>
      <c r="S53" s="8">
        <v>1500.0</v>
      </c>
      <c r="T53" s="21"/>
      <c r="U53" s="10"/>
    </row>
    <row r="54">
      <c r="A54" s="10" t="s">
        <v>249</v>
      </c>
      <c r="B54" s="10" t="s">
        <v>250</v>
      </c>
      <c r="C54" s="10" t="s">
        <v>251</v>
      </c>
      <c r="D54" s="10"/>
      <c r="E54" s="10"/>
      <c r="F54" s="10"/>
      <c r="G54" s="16" t="s">
        <v>347</v>
      </c>
      <c r="H54" s="10" t="s">
        <v>348</v>
      </c>
      <c r="I54" s="17">
        <f t="shared" si="1"/>
        <v>37</v>
      </c>
      <c r="J54" s="18" t="s">
        <v>254</v>
      </c>
      <c r="K54" s="10" t="s">
        <v>278</v>
      </c>
      <c r="L54" s="18" t="str">
        <f t="shared" si="2"/>
        <v>2438.4 x 127 x 11</v>
      </c>
      <c r="M54" s="17">
        <v>1.5</v>
      </c>
      <c r="N54" s="17">
        <v>1.5</v>
      </c>
      <c r="O54" s="17">
        <v>3.9269099E7</v>
      </c>
      <c r="P54" s="17">
        <v>1.0</v>
      </c>
      <c r="Q54" s="18" t="s">
        <v>256</v>
      </c>
      <c r="R54" s="19">
        <v>948.4745762711865</v>
      </c>
      <c r="S54" s="8">
        <f>2000</f>
        <v>2000</v>
      </c>
      <c r="T54" s="21"/>
      <c r="U54" s="10"/>
    </row>
    <row r="55">
      <c r="A55" s="10" t="s">
        <v>249</v>
      </c>
      <c r="B55" s="10" t="s">
        <v>250</v>
      </c>
      <c r="C55" s="10" t="s">
        <v>251</v>
      </c>
      <c r="D55" s="10"/>
      <c r="E55" s="10"/>
      <c r="F55" s="10"/>
      <c r="G55" s="16" t="s">
        <v>349</v>
      </c>
      <c r="H55" s="10" t="s">
        <v>350</v>
      </c>
      <c r="I55" s="17">
        <f t="shared" si="1"/>
        <v>35</v>
      </c>
      <c r="J55" s="18" t="s">
        <v>254</v>
      </c>
      <c r="K55" s="10" t="s">
        <v>278</v>
      </c>
      <c r="L55" s="18" t="str">
        <f t="shared" si="2"/>
        <v>2438.4 x 127 x 11</v>
      </c>
      <c r="M55" s="17">
        <v>1.5</v>
      </c>
      <c r="N55" s="17">
        <v>1.5</v>
      </c>
      <c r="O55" s="17">
        <v>3.9269099E7</v>
      </c>
      <c r="P55" s="17">
        <v>1.0</v>
      </c>
      <c r="Q55" s="18" t="s">
        <v>256</v>
      </c>
      <c r="R55" s="19">
        <v>1043.322033898305</v>
      </c>
      <c r="S55" s="8">
        <v>2500.0</v>
      </c>
      <c r="T55" s="21"/>
      <c r="U55" s="10"/>
    </row>
    <row r="56">
      <c r="A56" s="10" t="s">
        <v>249</v>
      </c>
      <c r="B56" s="10" t="s">
        <v>250</v>
      </c>
      <c r="C56" s="10" t="s">
        <v>251</v>
      </c>
      <c r="D56" s="10"/>
      <c r="E56" s="10"/>
      <c r="F56" s="10"/>
      <c r="G56" s="16" t="s">
        <v>146</v>
      </c>
      <c r="H56" s="10" t="s">
        <v>351</v>
      </c>
      <c r="I56" s="17">
        <f t="shared" si="1"/>
        <v>38</v>
      </c>
      <c r="J56" s="18" t="s">
        <v>254</v>
      </c>
      <c r="K56" s="10" t="s">
        <v>278</v>
      </c>
      <c r="L56" s="18" t="str">
        <f t="shared" si="2"/>
        <v>2438.4 x 127 x 11</v>
      </c>
      <c r="M56" s="17">
        <v>1.5</v>
      </c>
      <c r="N56" s="17">
        <v>1.5</v>
      </c>
      <c r="O56" s="17">
        <v>392111.0</v>
      </c>
      <c r="P56" s="17">
        <v>1.0</v>
      </c>
      <c r="Q56" s="18" t="s">
        <v>256</v>
      </c>
      <c r="R56" s="19">
        <v>968.7457627118644</v>
      </c>
      <c r="S56" s="8">
        <f t="shared" ref="S56:S58" si="5">2000</f>
        <v>2000</v>
      </c>
      <c r="T56" s="21"/>
      <c r="U56" s="10"/>
    </row>
    <row r="57">
      <c r="A57" s="10" t="s">
        <v>249</v>
      </c>
      <c r="B57" s="10" t="s">
        <v>250</v>
      </c>
      <c r="C57" s="10" t="s">
        <v>251</v>
      </c>
      <c r="D57" s="10"/>
      <c r="E57" s="10"/>
      <c r="F57" s="10"/>
      <c r="G57" s="16" t="s">
        <v>352</v>
      </c>
      <c r="H57" s="10" t="s">
        <v>353</v>
      </c>
      <c r="I57" s="17">
        <f t="shared" si="1"/>
        <v>38</v>
      </c>
      <c r="J57" s="18" t="s">
        <v>254</v>
      </c>
      <c r="K57" s="10" t="s">
        <v>278</v>
      </c>
      <c r="L57" s="18" t="str">
        <f t="shared" si="2"/>
        <v>2438.4 x 127 x 11</v>
      </c>
      <c r="M57" s="17">
        <v>1.5</v>
      </c>
      <c r="N57" s="17">
        <v>1.5</v>
      </c>
      <c r="O57" s="17">
        <v>392111.0</v>
      </c>
      <c r="P57" s="17">
        <v>1.0</v>
      </c>
      <c r="Q57" s="18" t="s">
        <v>256</v>
      </c>
      <c r="R57" s="19">
        <v>968.7457627118644</v>
      </c>
      <c r="S57" s="8">
        <f t="shared" si="5"/>
        <v>2000</v>
      </c>
      <c r="T57" s="21"/>
      <c r="U57" s="10"/>
    </row>
    <row r="58">
      <c r="A58" s="10" t="s">
        <v>249</v>
      </c>
      <c r="B58" s="10" t="s">
        <v>250</v>
      </c>
      <c r="C58" s="10" t="s">
        <v>251</v>
      </c>
      <c r="D58" s="10"/>
      <c r="E58" s="10"/>
      <c r="F58" s="10"/>
      <c r="G58" s="16" t="s">
        <v>354</v>
      </c>
      <c r="H58" s="10" t="s">
        <v>355</v>
      </c>
      <c r="I58" s="17">
        <f t="shared" si="1"/>
        <v>37</v>
      </c>
      <c r="J58" s="18" t="s">
        <v>254</v>
      </c>
      <c r="K58" s="10" t="s">
        <v>278</v>
      </c>
      <c r="L58" s="18" t="str">
        <f t="shared" si="2"/>
        <v>2438.4 x 127 x 11</v>
      </c>
      <c r="M58" s="17">
        <v>1.5</v>
      </c>
      <c r="N58" s="17">
        <v>1.5</v>
      </c>
      <c r="O58" s="17">
        <v>392111.0</v>
      </c>
      <c r="P58" s="17">
        <v>1.0</v>
      </c>
      <c r="Q58" s="18" t="s">
        <v>256</v>
      </c>
      <c r="R58" s="19">
        <v>968.7457627118644</v>
      </c>
      <c r="S58" s="8">
        <f t="shared" si="5"/>
        <v>2000</v>
      </c>
      <c r="T58" s="21"/>
      <c r="U58" s="10"/>
    </row>
    <row r="59">
      <c r="A59" s="10" t="s">
        <v>249</v>
      </c>
      <c r="B59" s="10" t="s">
        <v>250</v>
      </c>
      <c r="C59" s="10" t="s">
        <v>251</v>
      </c>
      <c r="D59" s="10"/>
      <c r="E59" s="10"/>
      <c r="F59" s="10"/>
      <c r="G59" s="16" t="s">
        <v>356</v>
      </c>
      <c r="H59" s="10" t="s">
        <v>357</v>
      </c>
      <c r="I59" s="17">
        <f t="shared" si="1"/>
        <v>35</v>
      </c>
      <c r="J59" s="18" t="s">
        <v>254</v>
      </c>
      <c r="K59" s="10" t="s">
        <v>278</v>
      </c>
      <c r="L59" s="18" t="str">
        <f t="shared" si="2"/>
        <v>2438.4 x 127 x 11</v>
      </c>
      <c r="M59" s="17">
        <v>1.5</v>
      </c>
      <c r="N59" s="17">
        <v>1.5</v>
      </c>
      <c r="O59" s="17">
        <v>392111.0</v>
      </c>
      <c r="P59" s="17">
        <v>1.0</v>
      </c>
      <c r="Q59" s="18" t="s">
        <v>256</v>
      </c>
      <c r="R59" s="19">
        <v>670.4406779661017</v>
      </c>
      <c r="S59" s="8">
        <v>1500.0</v>
      </c>
      <c r="T59" s="21"/>
      <c r="U59" s="10"/>
    </row>
    <row r="60">
      <c r="A60" s="10" t="s">
        <v>249</v>
      </c>
      <c r="B60" s="10" t="s">
        <v>250</v>
      </c>
      <c r="C60" s="10" t="s">
        <v>251</v>
      </c>
      <c r="D60" s="10"/>
      <c r="E60" s="10"/>
      <c r="F60" s="10"/>
      <c r="G60" s="16" t="s">
        <v>358</v>
      </c>
      <c r="H60" s="10" t="s">
        <v>359</v>
      </c>
      <c r="I60" s="17">
        <f t="shared" si="1"/>
        <v>36</v>
      </c>
      <c r="J60" s="18" t="s">
        <v>254</v>
      </c>
      <c r="K60" s="10" t="s">
        <v>360</v>
      </c>
      <c r="L60" s="18" t="str">
        <f t="shared" si="2"/>
        <v>2438.4 x 203.2 x 14</v>
      </c>
      <c r="M60" s="17">
        <v>1.5</v>
      </c>
      <c r="N60" s="17">
        <v>1.5</v>
      </c>
      <c r="O60" s="17">
        <v>3.9269099E7</v>
      </c>
      <c r="P60" s="17">
        <v>1.0</v>
      </c>
      <c r="Q60" s="18" t="s">
        <v>256</v>
      </c>
      <c r="R60" s="19">
        <v>595.8644067796611</v>
      </c>
      <c r="S60" s="8">
        <v>1500.0</v>
      </c>
      <c r="T60" s="21"/>
      <c r="U60" s="10"/>
    </row>
    <row r="61">
      <c r="A61" s="10" t="s">
        <v>249</v>
      </c>
      <c r="B61" s="10" t="s">
        <v>250</v>
      </c>
      <c r="C61" s="10" t="s">
        <v>251</v>
      </c>
      <c r="D61" s="10"/>
      <c r="E61" s="10"/>
      <c r="F61" s="10"/>
      <c r="G61" s="16" t="s">
        <v>200</v>
      </c>
      <c r="H61" s="10" t="s">
        <v>361</v>
      </c>
      <c r="I61" s="17">
        <f t="shared" si="1"/>
        <v>36</v>
      </c>
      <c r="J61" s="18" t="s">
        <v>254</v>
      </c>
      <c r="K61" s="10" t="s">
        <v>360</v>
      </c>
      <c r="L61" s="18" t="str">
        <f t="shared" si="2"/>
        <v>2438.4 x 203.2 x 14</v>
      </c>
      <c r="M61" s="17">
        <v>1.5</v>
      </c>
      <c r="N61" s="17">
        <v>1.5</v>
      </c>
      <c r="O61" s="17">
        <v>3.9269099E7</v>
      </c>
      <c r="P61" s="17">
        <v>1.0</v>
      </c>
      <c r="Q61" s="18" t="s">
        <v>256</v>
      </c>
      <c r="R61" s="19">
        <v>677.2881355932204</v>
      </c>
      <c r="S61" s="8">
        <f t="shared" ref="S61:S62" si="6">1500</f>
        <v>1500</v>
      </c>
      <c r="T61" s="21"/>
      <c r="U61" s="10"/>
    </row>
    <row r="62">
      <c r="A62" s="10" t="s">
        <v>249</v>
      </c>
      <c r="B62" s="10" t="s">
        <v>250</v>
      </c>
      <c r="C62" s="10" t="s">
        <v>251</v>
      </c>
      <c r="D62" s="10"/>
      <c r="E62" s="10"/>
      <c r="F62" s="10"/>
      <c r="G62" s="16" t="s">
        <v>362</v>
      </c>
      <c r="H62" s="10" t="s">
        <v>363</v>
      </c>
      <c r="I62" s="17">
        <f t="shared" si="1"/>
        <v>37</v>
      </c>
      <c r="J62" s="18" t="s">
        <v>254</v>
      </c>
      <c r="K62" s="10" t="s">
        <v>360</v>
      </c>
      <c r="L62" s="18" t="str">
        <f t="shared" si="2"/>
        <v>2438.4 x 203.2 x 14</v>
      </c>
      <c r="M62" s="17">
        <v>1.5</v>
      </c>
      <c r="N62" s="17">
        <v>1.5</v>
      </c>
      <c r="O62" s="17">
        <v>3.9269099E7</v>
      </c>
      <c r="P62" s="17">
        <v>1.0</v>
      </c>
      <c r="Q62" s="18" t="s">
        <v>256</v>
      </c>
      <c r="R62" s="19">
        <v>677.2881355932204</v>
      </c>
      <c r="S62" s="8">
        <f t="shared" si="6"/>
        <v>1500</v>
      </c>
      <c r="T62" s="21"/>
      <c r="U62" s="10"/>
    </row>
    <row r="63">
      <c r="A63" s="10" t="s">
        <v>249</v>
      </c>
      <c r="B63" s="10" t="s">
        <v>250</v>
      </c>
      <c r="C63" s="10" t="s">
        <v>251</v>
      </c>
      <c r="D63" s="10"/>
      <c r="E63" s="10"/>
      <c r="F63" s="10"/>
      <c r="G63" s="16" t="s">
        <v>364</v>
      </c>
      <c r="H63" s="10" t="s">
        <v>365</v>
      </c>
      <c r="I63" s="17">
        <f t="shared" si="1"/>
        <v>36</v>
      </c>
      <c r="J63" s="18" t="s">
        <v>254</v>
      </c>
      <c r="K63" s="10" t="s">
        <v>366</v>
      </c>
      <c r="L63" s="18" t="str">
        <f t="shared" si="2"/>
        <v>2438.4 x 149.86 x 8</v>
      </c>
      <c r="M63" s="17">
        <v>1.5</v>
      </c>
      <c r="N63" s="17">
        <v>1.5</v>
      </c>
      <c r="O63" s="17">
        <v>3.9269099E7</v>
      </c>
      <c r="P63" s="17">
        <v>1.0</v>
      </c>
      <c r="Q63" s="18" t="s">
        <v>256</v>
      </c>
      <c r="R63" s="19">
        <v>1161.1016949152543</v>
      </c>
      <c r="S63" s="8">
        <f>2500</f>
        <v>2500</v>
      </c>
      <c r="T63" s="21"/>
      <c r="U63" s="10"/>
    </row>
    <row r="64">
      <c r="A64" s="10" t="s">
        <v>249</v>
      </c>
      <c r="B64" s="10" t="s">
        <v>250</v>
      </c>
      <c r="C64" s="10" t="s">
        <v>251</v>
      </c>
      <c r="D64" s="10"/>
      <c r="E64" s="10"/>
      <c r="F64" s="10"/>
      <c r="G64" s="16" t="s">
        <v>205</v>
      </c>
      <c r="H64" s="10" t="s">
        <v>367</v>
      </c>
      <c r="I64" s="17">
        <f t="shared" si="1"/>
        <v>38</v>
      </c>
      <c r="J64" s="18" t="s">
        <v>254</v>
      </c>
      <c r="K64" s="10" t="s">
        <v>360</v>
      </c>
      <c r="L64" s="18" t="str">
        <f t="shared" si="2"/>
        <v>2438.4 x 203.2 x 14</v>
      </c>
      <c r="M64" s="17">
        <v>1.5</v>
      </c>
      <c r="N64" s="17">
        <v>1.5</v>
      </c>
      <c r="O64" s="17">
        <v>3.9269099E7</v>
      </c>
      <c r="P64" s="17">
        <v>1.0</v>
      </c>
      <c r="Q64" s="18" t="s">
        <v>256</v>
      </c>
      <c r="R64" s="19">
        <v>595.8644067796611</v>
      </c>
      <c r="S64" s="8">
        <v>1500.0</v>
      </c>
      <c r="T64" s="21"/>
      <c r="U64" s="10"/>
    </row>
    <row r="65">
      <c r="A65" s="10" t="s">
        <v>249</v>
      </c>
      <c r="B65" s="10" t="s">
        <v>250</v>
      </c>
      <c r="C65" s="10" t="s">
        <v>251</v>
      </c>
      <c r="D65" s="10"/>
      <c r="E65" s="10"/>
      <c r="F65" s="10"/>
      <c r="G65" s="16" t="s">
        <v>368</v>
      </c>
      <c r="H65" s="10" t="s">
        <v>369</v>
      </c>
      <c r="I65" s="17">
        <f t="shared" si="1"/>
        <v>32</v>
      </c>
      <c r="J65" s="18" t="s">
        <v>254</v>
      </c>
      <c r="K65" s="10" t="s">
        <v>360</v>
      </c>
      <c r="L65" s="18" t="str">
        <f t="shared" si="2"/>
        <v>2438.4 x 203.2 x 14</v>
      </c>
      <c r="M65" s="17">
        <v>1.5</v>
      </c>
      <c r="N65" s="17">
        <v>1.5</v>
      </c>
      <c r="O65" s="17">
        <v>3.9269099E7</v>
      </c>
      <c r="P65" s="17">
        <v>1.0</v>
      </c>
      <c r="Q65" s="18" t="s">
        <v>256</v>
      </c>
      <c r="R65" s="19">
        <v>609.4915254237288</v>
      </c>
      <c r="S65" s="8">
        <v>1500.0</v>
      </c>
      <c r="T65" s="21"/>
      <c r="U65" s="10"/>
    </row>
    <row r="66">
      <c r="A66" s="10" t="s">
        <v>249</v>
      </c>
      <c r="B66" s="10" t="s">
        <v>250</v>
      </c>
      <c r="C66" s="10" t="s">
        <v>251</v>
      </c>
      <c r="D66" s="10"/>
      <c r="E66" s="10"/>
      <c r="F66" s="10"/>
      <c r="G66" s="16" t="s">
        <v>370</v>
      </c>
      <c r="H66" s="10" t="s">
        <v>371</v>
      </c>
      <c r="I66" s="17">
        <f t="shared" si="1"/>
        <v>31</v>
      </c>
      <c r="J66" s="18" t="s">
        <v>254</v>
      </c>
      <c r="K66" s="10" t="s">
        <v>360</v>
      </c>
      <c r="L66" s="18" t="str">
        <f t="shared" si="2"/>
        <v>2438.4 x 203.2 x 14</v>
      </c>
      <c r="M66" s="17">
        <v>1.5</v>
      </c>
      <c r="N66" s="17">
        <v>1.5</v>
      </c>
      <c r="O66" s="17">
        <v>3.9269099E7</v>
      </c>
      <c r="P66" s="17">
        <v>1.0</v>
      </c>
      <c r="Q66" s="18" t="s">
        <v>256</v>
      </c>
      <c r="R66" s="19">
        <v>595.8644067796611</v>
      </c>
      <c r="S66" s="8">
        <v>1500.0</v>
      </c>
      <c r="T66" s="21"/>
      <c r="U66" s="10"/>
    </row>
    <row r="67">
      <c r="A67" s="10" t="s">
        <v>249</v>
      </c>
      <c r="B67" s="10" t="s">
        <v>250</v>
      </c>
      <c r="C67" s="10" t="s">
        <v>251</v>
      </c>
      <c r="D67" s="10"/>
      <c r="E67" s="10"/>
      <c r="F67" s="10"/>
      <c r="G67" s="16" t="s">
        <v>372</v>
      </c>
      <c r="H67" s="10" t="s">
        <v>373</v>
      </c>
      <c r="I67" s="17">
        <f t="shared" si="1"/>
        <v>36</v>
      </c>
      <c r="J67" s="18" t="s">
        <v>254</v>
      </c>
      <c r="K67" s="10" t="s">
        <v>374</v>
      </c>
      <c r="L67" s="18" t="str">
        <f t="shared" si="2"/>
        <v>2895.6 x 203.2 x 14</v>
      </c>
      <c r="M67" s="17">
        <v>1.5</v>
      </c>
      <c r="N67" s="17">
        <v>1.5</v>
      </c>
      <c r="O67" s="17">
        <v>3.9269099E7</v>
      </c>
      <c r="P67" s="17">
        <v>1.0</v>
      </c>
      <c r="Q67" s="18" t="s">
        <v>256</v>
      </c>
      <c r="R67" s="19">
        <v>609.4915254237288</v>
      </c>
      <c r="S67" s="8">
        <v>1500.0</v>
      </c>
      <c r="T67" s="21"/>
      <c r="U67" s="10"/>
    </row>
    <row r="68">
      <c r="A68" s="10" t="s">
        <v>249</v>
      </c>
      <c r="B68" s="10" t="s">
        <v>250</v>
      </c>
      <c r="C68" s="10" t="s">
        <v>251</v>
      </c>
      <c r="D68" s="10"/>
      <c r="E68" s="10"/>
      <c r="F68" s="10"/>
      <c r="G68" s="16" t="s">
        <v>375</v>
      </c>
      <c r="H68" s="10" t="s">
        <v>376</v>
      </c>
      <c r="I68" s="17">
        <f t="shared" si="1"/>
        <v>32</v>
      </c>
      <c r="J68" s="18" t="s">
        <v>254</v>
      </c>
      <c r="K68" s="10" t="s">
        <v>374</v>
      </c>
      <c r="L68" s="18" t="str">
        <f t="shared" si="2"/>
        <v>2895.6 x 203.2 x 14</v>
      </c>
      <c r="M68" s="17">
        <v>1.5</v>
      </c>
      <c r="N68" s="17">
        <v>1.5</v>
      </c>
      <c r="O68" s="17">
        <v>3.9269099E7</v>
      </c>
      <c r="P68" s="17">
        <v>1.0</v>
      </c>
      <c r="Q68" s="18" t="s">
        <v>256</v>
      </c>
      <c r="R68" s="19">
        <v>595.8644067796611</v>
      </c>
      <c r="S68" s="8">
        <v>1500.0</v>
      </c>
      <c r="T68" s="21"/>
      <c r="U68" s="10"/>
    </row>
    <row r="69">
      <c r="A69" s="10" t="s">
        <v>249</v>
      </c>
      <c r="B69" s="10" t="s">
        <v>250</v>
      </c>
      <c r="C69" s="10" t="s">
        <v>251</v>
      </c>
      <c r="D69" s="10"/>
      <c r="E69" s="10"/>
      <c r="F69" s="10"/>
      <c r="G69" s="16" t="s">
        <v>377</v>
      </c>
      <c r="H69" s="10" t="s">
        <v>378</v>
      </c>
      <c r="I69" s="17">
        <f t="shared" si="1"/>
        <v>36</v>
      </c>
      <c r="J69" s="18" t="s">
        <v>254</v>
      </c>
      <c r="K69" s="10" t="s">
        <v>374</v>
      </c>
      <c r="L69" s="18" t="str">
        <f t="shared" si="2"/>
        <v>2895.6 x 203.2 x 14</v>
      </c>
      <c r="M69" s="17">
        <v>1.5</v>
      </c>
      <c r="N69" s="17">
        <v>1.5</v>
      </c>
      <c r="O69" s="17">
        <v>3.9269099E7</v>
      </c>
      <c r="P69" s="17">
        <v>1.0</v>
      </c>
      <c r="Q69" s="18" t="s">
        <v>256</v>
      </c>
      <c r="R69" s="19">
        <v>595.8644067796611</v>
      </c>
      <c r="S69" s="8">
        <v>1500.0</v>
      </c>
      <c r="T69" s="21"/>
      <c r="U69" s="10"/>
    </row>
    <row r="70">
      <c r="A70" s="10" t="s">
        <v>249</v>
      </c>
      <c r="B70" s="10" t="s">
        <v>250</v>
      </c>
      <c r="C70" s="10" t="s">
        <v>251</v>
      </c>
      <c r="D70" s="10"/>
      <c r="E70" s="10"/>
      <c r="F70" s="10"/>
      <c r="G70" s="16" t="s">
        <v>379</v>
      </c>
      <c r="H70" s="10" t="s">
        <v>380</v>
      </c>
      <c r="I70" s="17">
        <f t="shared" si="1"/>
        <v>37</v>
      </c>
      <c r="J70" s="18" t="s">
        <v>254</v>
      </c>
      <c r="K70" s="10" t="s">
        <v>374</v>
      </c>
      <c r="L70" s="18" t="str">
        <f t="shared" si="2"/>
        <v>2895.6 x 203.2 x 14</v>
      </c>
      <c r="M70" s="17">
        <v>1.5</v>
      </c>
      <c r="N70" s="17">
        <v>1.5</v>
      </c>
      <c r="O70" s="17">
        <v>3.9269099E7</v>
      </c>
      <c r="P70" s="17">
        <v>1.0</v>
      </c>
      <c r="Q70" s="18" t="s">
        <v>256</v>
      </c>
      <c r="R70" s="19">
        <v>595.8644067796611</v>
      </c>
      <c r="S70" s="8">
        <v>1500.0</v>
      </c>
      <c r="T70" s="21"/>
      <c r="U70" s="10"/>
    </row>
    <row r="71">
      <c r="A71" s="10" t="s">
        <v>249</v>
      </c>
      <c r="B71" s="10" t="s">
        <v>250</v>
      </c>
      <c r="C71" s="10" t="s">
        <v>251</v>
      </c>
      <c r="D71" s="10"/>
      <c r="E71" s="10"/>
      <c r="F71" s="10"/>
      <c r="G71" s="16" t="s">
        <v>381</v>
      </c>
      <c r="H71" s="10" t="s">
        <v>382</v>
      </c>
      <c r="I71" s="17">
        <f t="shared" si="1"/>
        <v>36</v>
      </c>
      <c r="J71" s="18" t="s">
        <v>254</v>
      </c>
      <c r="K71" s="10" t="s">
        <v>374</v>
      </c>
      <c r="L71" s="18" t="str">
        <f t="shared" si="2"/>
        <v>2895.6 x 203.2 x 14</v>
      </c>
      <c r="M71" s="17">
        <v>1.5</v>
      </c>
      <c r="N71" s="17">
        <v>1.5</v>
      </c>
      <c r="O71" s="17">
        <v>3.9269099E7</v>
      </c>
      <c r="P71" s="17">
        <v>1.0</v>
      </c>
      <c r="Q71" s="18" t="s">
        <v>256</v>
      </c>
      <c r="R71" s="19">
        <v>1117.8983050847457</v>
      </c>
      <c r="S71" s="8">
        <v>2500.0</v>
      </c>
      <c r="T71" s="21"/>
      <c r="U71" s="10"/>
    </row>
    <row r="72">
      <c r="A72" s="10" t="s">
        <v>249</v>
      </c>
      <c r="B72" s="10" t="s">
        <v>250</v>
      </c>
      <c r="C72" s="10" t="s">
        <v>251</v>
      </c>
      <c r="D72" s="10"/>
      <c r="E72" s="10"/>
      <c r="F72" s="10"/>
      <c r="G72" s="16" t="s">
        <v>383</v>
      </c>
      <c r="H72" s="10" t="s">
        <v>384</v>
      </c>
      <c r="I72" s="17">
        <f t="shared" si="1"/>
        <v>32</v>
      </c>
      <c r="J72" s="18" t="s">
        <v>254</v>
      </c>
      <c r="K72" s="10" t="s">
        <v>374</v>
      </c>
      <c r="L72" s="18" t="str">
        <f t="shared" si="2"/>
        <v>2895.6 x 203.2 x 14</v>
      </c>
      <c r="M72" s="17">
        <v>1.5</v>
      </c>
      <c r="N72" s="17">
        <v>1.5</v>
      </c>
      <c r="O72" s="17">
        <v>3.925909E7</v>
      </c>
      <c r="P72" s="17">
        <v>1.0</v>
      </c>
      <c r="Q72" s="18" t="s">
        <v>256</v>
      </c>
      <c r="R72" s="19">
        <v>1117.8983050847457</v>
      </c>
      <c r="S72" s="8">
        <v>2500.0</v>
      </c>
      <c r="T72" s="21"/>
      <c r="U72" s="10"/>
    </row>
    <row r="73">
      <c r="A73" s="10" t="s">
        <v>249</v>
      </c>
      <c r="B73" s="10" t="s">
        <v>250</v>
      </c>
      <c r="C73" s="10" t="s">
        <v>251</v>
      </c>
      <c r="D73" s="10"/>
      <c r="E73" s="10"/>
      <c r="F73" s="10"/>
      <c r="G73" s="16" t="s">
        <v>385</v>
      </c>
      <c r="H73" s="10" t="s">
        <v>386</v>
      </c>
      <c r="I73" s="17">
        <f t="shared" si="1"/>
        <v>32</v>
      </c>
      <c r="J73" s="18" t="s">
        <v>254</v>
      </c>
      <c r="K73" s="10" t="s">
        <v>374</v>
      </c>
      <c r="L73" s="18" t="str">
        <f t="shared" si="2"/>
        <v>2895.6 x 203.2 x 14</v>
      </c>
      <c r="M73" s="17">
        <v>1.5</v>
      </c>
      <c r="N73" s="17">
        <v>1.5</v>
      </c>
      <c r="O73" s="17">
        <v>3.9269099E7</v>
      </c>
      <c r="P73" s="17">
        <v>1.0</v>
      </c>
      <c r="Q73" s="18" t="s">
        <v>256</v>
      </c>
      <c r="R73" s="19">
        <v>595.8644067796611</v>
      </c>
      <c r="S73" s="8">
        <v>1500.0</v>
      </c>
      <c r="T73" s="21"/>
      <c r="U73" s="10"/>
    </row>
    <row r="74">
      <c r="A74" s="10" t="s">
        <v>249</v>
      </c>
      <c r="B74" s="10" t="s">
        <v>250</v>
      </c>
      <c r="C74" s="10" t="s">
        <v>251</v>
      </c>
      <c r="D74" s="10"/>
      <c r="E74" s="10"/>
      <c r="F74" s="10"/>
      <c r="G74" s="16" t="s">
        <v>387</v>
      </c>
      <c r="H74" s="10" t="s">
        <v>388</v>
      </c>
      <c r="I74" s="17">
        <f t="shared" si="1"/>
        <v>37</v>
      </c>
      <c r="J74" s="18" t="s">
        <v>254</v>
      </c>
      <c r="K74" s="10" t="s">
        <v>271</v>
      </c>
      <c r="L74" s="18" t="str">
        <f t="shared" si="2"/>
        <v>2438.4 x 127 x 12</v>
      </c>
      <c r="M74" s="17">
        <v>1.5</v>
      </c>
      <c r="N74" s="17">
        <v>1.5</v>
      </c>
      <c r="O74" s="17">
        <v>3.925909E7</v>
      </c>
      <c r="P74" s="17">
        <v>1.0</v>
      </c>
      <c r="Q74" s="18" t="s">
        <v>256</v>
      </c>
      <c r="R74" s="19">
        <v>745.0847457627119</v>
      </c>
      <c r="S74" s="8">
        <f t="shared" ref="S74:S75" si="7">1500</f>
        <v>1500</v>
      </c>
      <c r="T74" s="21"/>
      <c r="U74" s="10"/>
    </row>
    <row r="75">
      <c r="A75" s="10" t="s">
        <v>249</v>
      </c>
      <c r="B75" s="10" t="s">
        <v>250</v>
      </c>
      <c r="C75" s="10" t="s">
        <v>251</v>
      </c>
      <c r="D75" s="10"/>
      <c r="E75" s="10"/>
      <c r="F75" s="10"/>
      <c r="G75" s="16" t="s">
        <v>389</v>
      </c>
      <c r="H75" s="10" t="s">
        <v>390</v>
      </c>
      <c r="I75" s="17">
        <f t="shared" si="1"/>
        <v>31</v>
      </c>
      <c r="J75" s="18" t="s">
        <v>254</v>
      </c>
      <c r="K75" s="10" t="s">
        <v>271</v>
      </c>
      <c r="L75" s="18" t="str">
        <f t="shared" si="2"/>
        <v>2438.4 x 127 x 12</v>
      </c>
      <c r="M75" s="17">
        <v>1.5</v>
      </c>
      <c r="N75" s="17">
        <v>1.5</v>
      </c>
      <c r="O75" s="17">
        <v>3.925909E7</v>
      </c>
      <c r="P75" s="17">
        <v>1.0</v>
      </c>
      <c r="Q75" s="18" t="s">
        <v>256</v>
      </c>
      <c r="R75" s="19">
        <v>745.0847457627119</v>
      </c>
      <c r="S75" s="8">
        <f t="shared" si="7"/>
        <v>1500</v>
      </c>
      <c r="T75" s="21"/>
      <c r="U75" s="10"/>
    </row>
    <row r="76">
      <c r="A76" s="10" t="s">
        <v>249</v>
      </c>
      <c r="B76" s="10" t="s">
        <v>250</v>
      </c>
      <c r="C76" s="10" t="s">
        <v>251</v>
      </c>
      <c r="D76" s="10"/>
      <c r="E76" s="10"/>
      <c r="F76" s="10"/>
      <c r="G76" s="16" t="s">
        <v>391</v>
      </c>
      <c r="H76" s="10" t="s">
        <v>392</v>
      </c>
      <c r="I76" s="17">
        <f t="shared" si="1"/>
        <v>38</v>
      </c>
      <c r="J76" s="18" t="s">
        <v>254</v>
      </c>
      <c r="K76" s="10" t="s">
        <v>271</v>
      </c>
      <c r="L76" s="18" t="str">
        <f t="shared" si="2"/>
        <v>2438.4 x 127 x 12</v>
      </c>
      <c r="M76" s="17">
        <v>1.5</v>
      </c>
      <c r="N76" s="17">
        <v>1.5</v>
      </c>
      <c r="O76" s="17">
        <v>3.9269099E7</v>
      </c>
      <c r="P76" s="17">
        <v>1.0</v>
      </c>
      <c r="Q76" s="18" t="s">
        <v>256</v>
      </c>
      <c r="R76" s="19">
        <v>609.4915254237288</v>
      </c>
      <c r="S76" s="8">
        <v>1500.0</v>
      </c>
      <c r="T76" s="21"/>
      <c r="U76" s="10"/>
    </row>
    <row r="77">
      <c r="A77" s="10" t="s">
        <v>249</v>
      </c>
      <c r="B77" s="10" t="s">
        <v>250</v>
      </c>
      <c r="C77" s="10" t="s">
        <v>251</v>
      </c>
      <c r="D77" s="10"/>
      <c r="E77" s="10"/>
      <c r="F77" s="10"/>
      <c r="G77" s="16" t="s">
        <v>150</v>
      </c>
      <c r="H77" s="10" t="s">
        <v>393</v>
      </c>
      <c r="I77" s="17">
        <f t="shared" si="1"/>
        <v>36</v>
      </c>
      <c r="J77" s="18" t="s">
        <v>254</v>
      </c>
      <c r="K77" s="10" t="s">
        <v>271</v>
      </c>
      <c r="L77" s="18" t="str">
        <f t="shared" si="2"/>
        <v>2438.4 x 127 x 12</v>
      </c>
      <c r="M77" s="17">
        <v>1.5</v>
      </c>
      <c r="N77" s="17">
        <v>1.5</v>
      </c>
      <c r="O77" s="17">
        <v>3.9269099E7</v>
      </c>
      <c r="P77" s="17">
        <v>1.0</v>
      </c>
      <c r="Q77" s="18" t="s">
        <v>256</v>
      </c>
      <c r="R77" s="19">
        <v>609.4915254237288</v>
      </c>
      <c r="S77" s="8">
        <v>1500.0</v>
      </c>
      <c r="T77" s="21"/>
      <c r="U77" s="10"/>
    </row>
    <row r="78">
      <c r="A78" s="10" t="s">
        <v>249</v>
      </c>
      <c r="B78" s="10" t="s">
        <v>250</v>
      </c>
      <c r="C78" s="10" t="s">
        <v>251</v>
      </c>
      <c r="D78" s="10"/>
      <c r="E78" s="10"/>
      <c r="F78" s="10"/>
      <c r="G78" s="16" t="s">
        <v>394</v>
      </c>
      <c r="H78" s="10" t="s">
        <v>395</v>
      </c>
      <c r="I78" s="17">
        <f t="shared" si="1"/>
        <v>32</v>
      </c>
      <c r="J78" s="18" t="s">
        <v>254</v>
      </c>
      <c r="K78" s="10" t="s">
        <v>271</v>
      </c>
      <c r="L78" s="18" t="str">
        <f t="shared" si="2"/>
        <v>2438.4 x 127 x 12</v>
      </c>
      <c r="M78" s="17">
        <v>1.5</v>
      </c>
      <c r="N78" s="17">
        <v>1.5</v>
      </c>
      <c r="O78" s="17">
        <v>3.9269099E7</v>
      </c>
      <c r="P78" s="17">
        <v>1.0</v>
      </c>
      <c r="Q78" s="18" t="s">
        <v>256</v>
      </c>
      <c r="R78" s="19">
        <v>677.2881355932204</v>
      </c>
      <c r="S78" s="8">
        <f>1500</f>
        <v>1500</v>
      </c>
      <c r="T78" s="21"/>
      <c r="U78" s="10"/>
    </row>
    <row r="79">
      <c r="A79" s="10" t="s">
        <v>249</v>
      </c>
      <c r="B79" s="10" t="s">
        <v>250</v>
      </c>
      <c r="C79" s="10" t="s">
        <v>251</v>
      </c>
      <c r="D79" s="10"/>
      <c r="E79" s="10"/>
      <c r="F79" s="10"/>
      <c r="G79" s="16" t="s">
        <v>189</v>
      </c>
      <c r="H79" s="10" t="s">
        <v>396</v>
      </c>
      <c r="I79" s="17">
        <f t="shared" si="1"/>
        <v>37</v>
      </c>
      <c r="J79" s="18" t="s">
        <v>254</v>
      </c>
      <c r="K79" s="10" t="s">
        <v>271</v>
      </c>
      <c r="L79" s="18" t="str">
        <f t="shared" si="2"/>
        <v>2438.4 x 127 x 12</v>
      </c>
      <c r="M79" s="17">
        <v>1.5</v>
      </c>
      <c r="N79" s="17">
        <v>1.5</v>
      </c>
      <c r="O79" s="17">
        <v>3.9269099E7</v>
      </c>
      <c r="P79" s="17">
        <v>1.0</v>
      </c>
      <c r="Q79" s="18" t="s">
        <v>256</v>
      </c>
      <c r="R79" s="19">
        <v>1016.2711864406781</v>
      </c>
      <c r="S79" s="8">
        <v>2500.0</v>
      </c>
      <c r="T79" s="21"/>
      <c r="U79" s="10"/>
    </row>
    <row r="80">
      <c r="A80" s="10" t="s">
        <v>249</v>
      </c>
      <c r="B80" s="10" t="s">
        <v>250</v>
      </c>
      <c r="C80" s="10" t="s">
        <v>251</v>
      </c>
      <c r="D80" s="10"/>
      <c r="E80" s="10"/>
      <c r="F80" s="10"/>
      <c r="G80" s="16" t="s">
        <v>140</v>
      </c>
      <c r="H80" s="10" t="s">
        <v>397</v>
      </c>
      <c r="I80" s="17">
        <f t="shared" si="1"/>
        <v>37</v>
      </c>
      <c r="J80" s="18" t="s">
        <v>254</v>
      </c>
      <c r="K80" s="10" t="s">
        <v>398</v>
      </c>
      <c r="L80" s="18" t="str">
        <f t="shared" si="2"/>
        <v>2438.4 x 127 x 10</v>
      </c>
      <c r="M80" s="17">
        <v>1.5</v>
      </c>
      <c r="N80" s="17">
        <v>1.5</v>
      </c>
      <c r="O80" s="17">
        <v>392111.0</v>
      </c>
      <c r="P80" s="17">
        <v>1.0</v>
      </c>
      <c r="Q80" s="18" t="s">
        <v>256</v>
      </c>
      <c r="R80" s="19">
        <v>894.1694915254237</v>
      </c>
      <c r="S80" s="8">
        <f>2000</f>
        <v>2000</v>
      </c>
      <c r="T80" s="21"/>
      <c r="U80" s="10"/>
    </row>
    <row r="81">
      <c r="A81" s="10" t="s">
        <v>249</v>
      </c>
      <c r="B81" s="10" t="s">
        <v>250</v>
      </c>
      <c r="C81" s="10" t="s">
        <v>251</v>
      </c>
      <c r="D81" s="10"/>
      <c r="E81" s="10"/>
      <c r="F81" s="10"/>
      <c r="G81" s="16" t="s">
        <v>399</v>
      </c>
      <c r="H81" s="10" t="s">
        <v>400</v>
      </c>
      <c r="I81" s="17">
        <f t="shared" si="1"/>
        <v>31</v>
      </c>
      <c r="J81" s="18" t="s">
        <v>254</v>
      </c>
      <c r="K81" s="10" t="s">
        <v>398</v>
      </c>
      <c r="L81" s="18" t="str">
        <f t="shared" si="2"/>
        <v>2438.4 x 127 x 10</v>
      </c>
      <c r="M81" s="17">
        <v>1.5</v>
      </c>
      <c r="N81" s="17">
        <v>1.5</v>
      </c>
      <c r="O81" s="17">
        <v>3.9269099E7</v>
      </c>
      <c r="P81" s="17">
        <v>1.0</v>
      </c>
      <c r="Q81" s="18" t="s">
        <v>256</v>
      </c>
      <c r="R81" s="19">
        <v>595.8644067796611</v>
      </c>
      <c r="S81" s="8">
        <v>1500.0</v>
      </c>
      <c r="T81" s="21"/>
      <c r="U81" s="10"/>
    </row>
    <row r="82">
      <c r="A82" s="10" t="s">
        <v>249</v>
      </c>
      <c r="B82" s="10" t="s">
        <v>250</v>
      </c>
      <c r="C82" s="10" t="s">
        <v>251</v>
      </c>
      <c r="D82" s="10"/>
      <c r="E82" s="10"/>
      <c r="F82" s="10"/>
      <c r="G82" s="16" t="s">
        <v>401</v>
      </c>
      <c r="H82" s="10" t="s">
        <v>402</v>
      </c>
      <c r="I82" s="17">
        <f t="shared" si="1"/>
        <v>32</v>
      </c>
      <c r="J82" s="18" t="s">
        <v>254</v>
      </c>
      <c r="K82" s="10" t="s">
        <v>398</v>
      </c>
      <c r="L82" s="18" t="str">
        <f t="shared" si="2"/>
        <v>2438.4 x 127 x 10</v>
      </c>
      <c r="M82" s="17">
        <v>1.5</v>
      </c>
      <c r="N82" s="17">
        <v>1.5</v>
      </c>
      <c r="O82" s="17">
        <v>3.9269099E7</v>
      </c>
      <c r="P82" s="17">
        <v>1.0</v>
      </c>
      <c r="Q82" s="18" t="s">
        <v>256</v>
      </c>
      <c r="R82" s="19">
        <v>745.0169491525425</v>
      </c>
      <c r="S82" s="8">
        <f t="shared" ref="S82:S83" si="8">1500</f>
        <v>1500</v>
      </c>
      <c r="T82" s="21"/>
      <c r="U82" s="10"/>
    </row>
    <row r="83">
      <c r="A83" s="10" t="s">
        <v>249</v>
      </c>
      <c r="B83" s="10" t="s">
        <v>250</v>
      </c>
      <c r="C83" s="10" t="s">
        <v>251</v>
      </c>
      <c r="D83" s="10"/>
      <c r="E83" s="10"/>
      <c r="F83" s="10"/>
      <c r="G83" s="16" t="s">
        <v>403</v>
      </c>
      <c r="H83" s="10" t="s">
        <v>404</v>
      </c>
      <c r="I83" s="17">
        <f t="shared" si="1"/>
        <v>36</v>
      </c>
      <c r="J83" s="18" t="s">
        <v>254</v>
      </c>
      <c r="K83" s="10" t="s">
        <v>398</v>
      </c>
      <c r="L83" s="18" t="str">
        <f t="shared" si="2"/>
        <v>2438.4 x 127 x 10</v>
      </c>
      <c r="M83" s="17">
        <v>1.5</v>
      </c>
      <c r="N83" s="17">
        <v>1.5</v>
      </c>
      <c r="O83" s="17">
        <v>3.925909E7</v>
      </c>
      <c r="P83" s="17">
        <v>1.0</v>
      </c>
      <c r="Q83" s="18" t="s">
        <v>256</v>
      </c>
      <c r="R83" s="19">
        <v>745.0847457627119</v>
      </c>
      <c r="S83" s="8">
        <f t="shared" si="8"/>
        <v>1500</v>
      </c>
      <c r="T83" s="21"/>
      <c r="U83" s="10"/>
    </row>
    <row r="84">
      <c r="A84" s="10" t="s">
        <v>249</v>
      </c>
      <c r="B84" s="10" t="s">
        <v>250</v>
      </c>
      <c r="C84" s="10" t="s">
        <v>251</v>
      </c>
      <c r="D84" s="10"/>
      <c r="E84" s="10"/>
      <c r="F84" s="10"/>
      <c r="G84" s="16" t="s">
        <v>405</v>
      </c>
      <c r="H84" s="10" t="s">
        <v>406</v>
      </c>
      <c r="I84" s="17">
        <f t="shared" si="1"/>
        <v>36</v>
      </c>
      <c r="J84" s="18" t="s">
        <v>254</v>
      </c>
      <c r="K84" s="10" t="s">
        <v>398</v>
      </c>
      <c r="L84" s="18" t="str">
        <f t="shared" si="2"/>
        <v>2438.4 x 127 x 10</v>
      </c>
      <c r="M84" s="17">
        <v>1.5</v>
      </c>
      <c r="N84" s="17">
        <v>1.5</v>
      </c>
      <c r="O84" s="17">
        <v>3.925909E7</v>
      </c>
      <c r="P84" s="17">
        <v>1.0</v>
      </c>
      <c r="Q84" s="18" t="s">
        <v>256</v>
      </c>
      <c r="R84" s="19">
        <v>894.1694915254237</v>
      </c>
      <c r="S84" s="8">
        <f>2000</f>
        <v>2000</v>
      </c>
      <c r="T84" s="21"/>
      <c r="U84" s="10"/>
    </row>
    <row r="85">
      <c r="A85" s="10" t="s">
        <v>249</v>
      </c>
      <c r="B85" s="10" t="s">
        <v>250</v>
      </c>
      <c r="C85" s="10" t="s">
        <v>251</v>
      </c>
      <c r="D85" s="10"/>
      <c r="E85" s="10"/>
      <c r="F85" s="10"/>
      <c r="G85" s="16" t="s">
        <v>407</v>
      </c>
      <c r="H85" s="10" t="s">
        <v>408</v>
      </c>
      <c r="I85" s="17">
        <f t="shared" si="1"/>
        <v>32</v>
      </c>
      <c r="J85" s="18" t="s">
        <v>254</v>
      </c>
      <c r="K85" s="10" t="s">
        <v>398</v>
      </c>
      <c r="L85" s="18" t="str">
        <f t="shared" si="2"/>
        <v>2438.4 x 127 x 10</v>
      </c>
      <c r="M85" s="17">
        <v>1.5</v>
      </c>
      <c r="N85" s="17">
        <v>1.5</v>
      </c>
      <c r="O85" s="17">
        <v>3.9269099E7</v>
      </c>
      <c r="P85" s="17">
        <v>1.0</v>
      </c>
      <c r="Q85" s="18" t="s">
        <v>256</v>
      </c>
      <c r="R85" s="19">
        <v>745.0169491525425</v>
      </c>
      <c r="S85" s="8">
        <f t="shared" ref="S85:S87" si="9">1500</f>
        <v>1500</v>
      </c>
      <c r="T85" s="21"/>
      <c r="U85" s="10"/>
    </row>
    <row r="86">
      <c r="A86" s="10" t="s">
        <v>249</v>
      </c>
      <c r="B86" s="10" t="s">
        <v>250</v>
      </c>
      <c r="C86" s="10" t="s">
        <v>251</v>
      </c>
      <c r="D86" s="10"/>
      <c r="E86" s="10"/>
      <c r="F86" s="10"/>
      <c r="G86" s="16" t="s">
        <v>409</v>
      </c>
      <c r="H86" s="10" t="s">
        <v>410</v>
      </c>
      <c r="I86" s="17">
        <f t="shared" si="1"/>
        <v>32</v>
      </c>
      <c r="J86" s="18" t="s">
        <v>254</v>
      </c>
      <c r="K86" s="10" t="s">
        <v>398</v>
      </c>
      <c r="L86" s="18" t="str">
        <f t="shared" si="2"/>
        <v>2438.4 x 127 x 10</v>
      </c>
      <c r="M86" s="17">
        <v>1.5</v>
      </c>
      <c r="N86" s="17">
        <v>1.5</v>
      </c>
      <c r="O86" s="17">
        <v>3.9269099E7</v>
      </c>
      <c r="P86" s="17">
        <v>1.0</v>
      </c>
      <c r="Q86" s="18" t="s">
        <v>256</v>
      </c>
      <c r="R86" s="19">
        <v>745.0169491525425</v>
      </c>
      <c r="S86" s="8">
        <f t="shared" si="9"/>
        <v>1500</v>
      </c>
      <c r="T86" s="21"/>
      <c r="U86" s="10"/>
    </row>
    <row r="87">
      <c r="A87" s="10" t="s">
        <v>249</v>
      </c>
      <c r="B87" s="10" t="s">
        <v>250</v>
      </c>
      <c r="C87" s="10" t="s">
        <v>251</v>
      </c>
      <c r="D87" s="10"/>
      <c r="E87" s="10"/>
      <c r="F87" s="10"/>
      <c r="G87" s="16" t="s">
        <v>411</v>
      </c>
      <c r="H87" s="10" t="s">
        <v>412</v>
      </c>
      <c r="I87" s="17">
        <f t="shared" si="1"/>
        <v>37</v>
      </c>
      <c r="J87" s="18" t="s">
        <v>254</v>
      </c>
      <c r="K87" s="10" t="s">
        <v>398</v>
      </c>
      <c r="L87" s="18" t="str">
        <f t="shared" si="2"/>
        <v>2438.4 x 127 x 10</v>
      </c>
      <c r="M87" s="17">
        <v>1.5</v>
      </c>
      <c r="N87" s="17">
        <v>1.5</v>
      </c>
      <c r="O87" s="17">
        <v>3.9269099E7</v>
      </c>
      <c r="P87" s="17">
        <v>1.0</v>
      </c>
      <c r="Q87" s="18" t="s">
        <v>256</v>
      </c>
      <c r="R87" s="19">
        <v>745.0169491525425</v>
      </c>
      <c r="S87" s="8">
        <f t="shared" si="9"/>
        <v>1500</v>
      </c>
      <c r="T87" s="21"/>
      <c r="U87" s="10"/>
    </row>
    <row r="88">
      <c r="A88" s="10" t="s">
        <v>249</v>
      </c>
      <c r="B88" s="10" t="s">
        <v>250</v>
      </c>
      <c r="C88" s="10" t="s">
        <v>251</v>
      </c>
      <c r="D88" s="10"/>
      <c r="E88" s="10"/>
      <c r="F88" s="10"/>
      <c r="G88" s="16" t="s">
        <v>413</v>
      </c>
      <c r="H88" s="10" t="s">
        <v>414</v>
      </c>
      <c r="I88" s="17">
        <f t="shared" si="1"/>
        <v>36</v>
      </c>
      <c r="J88" s="18" t="s">
        <v>254</v>
      </c>
      <c r="K88" s="10" t="s">
        <v>398</v>
      </c>
      <c r="L88" s="18" t="str">
        <f t="shared" si="2"/>
        <v>2438.4 x 127 x 10</v>
      </c>
      <c r="M88" s="17">
        <v>1.5</v>
      </c>
      <c r="N88" s="17">
        <v>1.5</v>
      </c>
      <c r="O88" s="17">
        <v>3.9269099E7</v>
      </c>
      <c r="P88" s="17">
        <v>1.0</v>
      </c>
      <c r="Q88" s="18" t="s">
        <v>256</v>
      </c>
      <c r="R88" s="19">
        <v>609.4915254237288</v>
      </c>
      <c r="S88" s="8">
        <v>1500.0</v>
      </c>
      <c r="T88" s="21"/>
      <c r="U88" s="10"/>
    </row>
    <row r="89">
      <c r="A89" s="10" t="s">
        <v>249</v>
      </c>
      <c r="B89" s="10" t="s">
        <v>250</v>
      </c>
      <c r="C89" s="10" t="s">
        <v>251</v>
      </c>
      <c r="D89" s="10"/>
      <c r="E89" s="10"/>
      <c r="F89" s="10"/>
      <c r="G89" s="16" t="s">
        <v>206</v>
      </c>
      <c r="H89" s="10" t="s">
        <v>415</v>
      </c>
      <c r="I89" s="17">
        <f t="shared" si="1"/>
        <v>38</v>
      </c>
      <c r="J89" s="18" t="s">
        <v>254</v>
      </c>
      <c r="K89" s="10" t="s">
        <v>398</v>
      </c>
      <c r="L89" s="18" t="str">
        <f t="shared" si="2"/>
        <v>2438.4 x 127 x 10</v>
      </c>
      <c r="M89" s="17">
        <v>1.5</v>
      </c>
      <c r="N89" s="17">
        <v>1.5</v>
      </c>
      <c r="O89" s="17">
        <v>3.9269099E7</v>
      </c>
      <c r="P89" s="17">
        <v>1.0</v>
      </c>
      <c r="Q89" s="18" t="s">
        <v>256</v>
      </c>
      <c r="R89" s="19">
        <v>948.4745762711865</v>
      </c>
      <c r="S89" s="8">
        <f t="shared" ref="S89:S90" si="10">2000</f>
        <v>2000</v>
      </c>
      <c r="T89" s="21"/>
      <c r="U89" s="10"/>
    </row>
    <row r="90">
      <c r="A90" s="10" t="s">
        <v>249</v>
      </c>
      <c r="B90" s="10" t="s">
        <v>250</v>
      </c>
      <c r="C90" s="10" t="s">
        <v>251</v>
      </c>
      <c r="D90" s="10"/>
      <c r="E90" s="10"/>
      <c r="F90" s="10"/>
      <c r="G90" s="16" t="s">
        <v>416</v>
      </c>
      <c r="H90" s="10" t="s">
        <v>417</v>
      </c>
      <c r="I90" s="17">
        <f t="shared" si="1"/>
        <v>35</v>
      </c>
      <c r="J90" s="18" t="s">
        <v>254</v>
      </c>
      <c r="K90" s="10" t="s">
        <v>398</v>
      </c>
      <c r="L90" s="18" t="str">
        <f t="shared" si="2"/>
        <v>2438.4 x 127 x 10</v>
      </c>
      <c r="M90" s="17">
        <v>1.5</v>
      </c>
      <c r="N90" s="17">
        <v>1.5</v>
      </c>
      <c r="O90" s="17">
        <v>3.9269099E7</v>
      </c>
      <c r="P90" s="17">
        <v>1.0</v>
      </c>
      <c r="Q90" s="18" t="s">
        <v>256</v>
      </c>
      <c r="R90" s="19">
        <v>948.4745762711865</v>
      </c>
      <c r="S90" s="8">
        <f t="shared" si="10"/>
        <v>2000</v>
      </c>
      <c r="T90" s="21"/>
      <c r="U90" s="10"/>
    </row>
    <row r="91">
      <c r="A91" s="10" t="s">
        <v>249</v>
      </c>
      <c r="B91" s="10" t="s">
        <v>250</v>
      </c>
      <c r="C91" s="10" t="s">
        <v>251</v>
      </c>
      <c r="D91" s="10"/>
      <c r="E91" s="10"/>
      <c r="F91" s="10"/>
      <c r="G91" s="16" t="s">
        <v>418</v>
      </c>
      <c r="H91" s="10" t="s">
        <v>419</v>
      </c>
      <c r="I91" s="17">
        <f t="shared" si="1"/>
        <v>38</v>
      </c>
      <c r="J91" s="18" t="s">
        <v>254</v>
      </c>
      <c r="K91" s="10" t="s">
        <v>398</v>
      </c>
      <c r="L91" s="18" t="str">
        <f t="shared" si="2"/>
        <v>2438.4 x 127 x 10</v>
      </c>
      <c r="M91" s="17">
        <v>1.5</v>
      </c>
      <c r="N91" s="17">
        <v>1.5</v>
      </c>
      <c r="O91" s="17">
        <v>3.9269099E7</v>
      </c>
      <c r="P91" s="17">
        <v>1.0</v>
      </c>
      <c r="Q91" s="18" t="s">
        <v>256</v>
      </c>
      <c r="R91" s="19">
        <v>711.1864406779662</v>
      </c>
      <c r="S91" s="8">
        <f t="shared" ref="S91:S96" si="11">1500</f>
        <v>1500</v>
      </c>
      <c r="T91" s="21"/>
      <c r="U91" s="10"/>
    </row>
    <row r="92">
      <c r="A92" s="10" t="s">
        <v>249</v>
      </c>
      <c r="B92" s="10" t="s">
        <v>250</v>
      </c>
      <c r="C92" s="10" t="s">
        <v>251</v>
      </c>
      <c r="D92" s="10"/>
      <c r="E92" s="10"/>
      <c r="F92" s="10"/>
      <c r="G92" s="16" t="s">
        <v>420</v>
      </c>
      <c r="H92" s="10" t="s">
        <v>421</v>
      </c>
      <c r="I92" s="17">
        <f t="shared" si="1"/>
        <v>38</v>
      </c>
      <c r="J92" s="18" t="s">
        <v>254</v>
      </c>
      <c r="K92" s="10" t="s">
        <v>398</v>
      </c>
      <c r="L92" s="18" t="str">
        <f t="shared" si="2"/>
        <v>2438.4 x 127 x 10</v>
      </c>
      <c r="M92" s="17">
        <v>1.5</v>
      </c>
      <c r="N92" s="17">
        <v>1.5</v>
      </c>
      <c r="O92" s="17">
        <v>3.9269099E7</v>
      </c>
      <c r="P92" s="17">
        <v>1.0</v>
      </c>
      <c r="Q92" s="18" t="s">
        <v>256</v>
      </c>
      <c r="R92" s="19">
        <v>711.1864406779662</v>
      </c>
      <c r="S92" s="8">
        <f t="shared" si="11"/>
        <v>1500</v>
      </c>
      <c r="T92" s="21"/>
      <c r="U92" s="10"/>
    </row>
    <row r="93">
      <c r="A93" s="10" t="s">
        <v>249</v>
      </c>
      <c r="B93" s="10" t="s">
        <v>250</v>
      </c>
      <c r="C93" s="10" t="s">
        <v>251</v>
      </c>
      <c r="D93" s="10"/>
      <c r="E93" s="10"/>
      <c r="F93" s="10"/>
      <c r="G93" s="16" t="s">
        <v>422</v>
      </c>
      <c r="H93" s="10" t="s">
        <v>423</v>
      </c>
      <c r="I93" s="17">
        <f t="shared" si="1"/>
        <v>32</v>
      </c>
      <c r="J93" s="18" t="s">
        <v>254</v>
      </c>
      <c r="K93" s="10" t="s">
        <v>398</v>
      </c>
      <c r="L93" s="18" t="str">
        <f t="shared" si="2"/>
        <v>2438.4 x 127 x 10</v>
      </c>
      <c r="M93" s="17">
        <v>1.5</v>
      </c>
      <c r="N93" s="17">
        <v>1.5</v>
      </c>
      <c r="O93" s="17">
        <v>3.9269099E7</v>
      </c>
      <c r="P93" s="17">
        <v>1.0</v>
      </c>
      <c r="Q93" s="18" t="s">
        <v>256</v>
      </c>
      <c r="R93" s="19">
        <v>711.1864406779662</v>
      </c>
      <c r="S93" s="8">
        <f t="shared" si="11"/>
        <v>1500</v>
      </c>
      <c r="T93" s="21"/>
      <c r="U93" s="10"/>
    </row>
    <row r="94">
      <c r="A94" s="10" t="s">
        <v>249</v>
      </c>
      <c r="B94" s="10" t="s">
        <v>250</v>
      </c>
      <c r="C94" s="10" t="s">
        <v>251</v>
      </c>
      <c r="D94" s="10"/>
      <c r="E94" s="10"/>
      <c r="F94" s="10"/>
      <c r="G94" s="16" t="s">
        <v>424</v>
      </c>
      <c r="H94" s="10" t="s">
        <v>425</v>
      </c>
      <c r="I94" s="17">
        <f t="shared" si="1"/>
        <v>35</v>
      </c>
      <c r="J94" s="18" t="s">
        <v>254</v>
      </c>
      <c r="K94" s="10" t="s">
        <v>398</v>
      </c>
      <c r="L94" s="18" t="str">
        <f t="shared" si="2"/>
        <v>2438.4 x 127 x 10</v>
      </c>
      <c r="M94" s="17">
        <v>1.5</v>
      </c>
      <c r="N94" s="17">
        <v>1.5</v>
      </c>
      <c r="O94" s="17">
        <v>3.9269099E7</v>
      </c>
      <c r="P94" s="17">
        <v>1.0</v>
      </c>
      <c r="Q94" s="18" t="s">
        <v>256</v>
      </c>
      <c r="R94" s="19">
        <v>711.1864406779662</v>
      </c>
      <c r="S94" s="8">
        <f t="shared" si="11"/>
        <v>1500</v>
      </c>
      <c r="T94" s="21"/>
      <c r="U94" s="10"/>
    </row>
    <row r="95">
      <c r="A95" s="10" t="s">
        <v>249</v>
      </c>
      <c r="B95" s="10" t="s">
        <v>250</v>
      </c>
      <c r="C95" s="10" t="s">
        <v>251</v>
      </c>
      <c r="D95" s="10"/>
      <c r="E95" s="10"/>
      <c r="F95" s="10"/>
      <c r="G95" s="16" t="s">
        <v>426</v>
      </c>
      <c r="H95" s="10" t="s">
        <v>427</v>
      </c>
      <c r="I95" s="17">
        <f t="shared" si="1"/>
        <v>32</v>
      </c>
      <c r="J95" s="18" t="s">
        <v>254</v>
      </c>
      <c r="K95" s="10" t="s">
        <v>398</v>
      </c>
      <c r="L95" s="18" t="str">
        <f t="shared" si="2"/>
        <v>2438.4 x 127 x 10</v>
      </c>
      <c r="M95" s="17">
        <v>1.5</v>
      </c>
      <c r="N95" s="17">
        <v>1.5</v>
      </c>
      <c r="O95" s="17">
        <v>3.9269099E7</v>
      </c>
      <c r="P95" s="17">
        <v>1.0</v>
      </c>
      <c r="Q95" s="18" t="s">
        <v>256</v>
      </c>
      <c r="R95" s="19">
        <v>711.1864406779662</v>
      </c>
      <c r="S95" s="8">
        <f t="shared" si="11"/>
        <v>1500</v>
      </c>
      <c r="T95" s="21"/>
      <c r="U95" s="10"/>
    </row>
    <row r="96">
      <c r="A96" s="10" t="s">
        <v>249</v>
      </c>
      <c r="B96" s="10" t="s">
        <v>250</v>
      </c>
      <c r="C96" s="10" t="s">
        <v>251</v>
      </c>
      <c r="D96" s="10"/>
      <c r="E96" s="10"/>
      <c r="F96" s="10"/>
      <c r="G96" s="16" t="s">
        <v>428</v>
      </c>
      <c r="H96" s="10" t="s">
        <v>429</v>
      </c>
      <c r="I96" s="17">
        <f t="shared" si="1"/>
        <v>32</v>
      </c>
      <c r="J96" s="18" t="s">
        <v>254</v>
      </c>
      <c r="K96" s="10" t="s">
        <v>398</v>
      </c>
      <c r="L96" s="18" t="str">
        <f t="shared" si="2"/>
        <v>2438.4 x 127 x 10</v>
      </c>
      <c r="M96" s="17">
        <v>1.5</v>
      </c>
      <c r="N96" s="17">
        <v>1.5</v>
      </c>
      <c r="O96" s="17">
        <v>3.9269099E7</v>
      </c>
      <c r="P96" s="17">
        <v>1.0</v>
      </c>
      <c r="Q96" s="18" t="s">
        <v>256</v>
      </c>
      <c r="R96" s="19">
        <v>711.1864406779662</v>
      </c>
      <c r="S96" s="8">
        <f t="shared" si="11"/>
        <v>1500</v>
      </c>
      <c r="T96" s="21"/>
      <c r="U96" s="10"/>
    </row>
    <row r="97">
      <c r="A97" s="10" t="s">
        <v>249</v>
      </c>
      <c r="B97" s="10" t="s">
        <v>250</v>
      </c>
      <c r="C97" s="10" t="s">
        <v>251</v>
      </c>
      <c r="D97" s="10"/>
      <c r="E97" s="10"/>
      <c r="F97" s="10"/>
      <c r="G97" s="16" t="s">
        <v>430</v>
      </c>
      <c r="H97" s="10" t="s">
        <v>431</v>
      </c>
      <c r="I97" s="17">
        <f t="shared" si="1"/>
        <v>37</v>
      </c>
      <c r="J97" s="18" t="s">
        <v>254</v>
      </c>
      <c r="K97" s="10" t="s">
        <v>398</v>
      </c>
      <c r="L97" s="18" t="str">
        <f t="shared" si="2"/>
        <v>2438.4 x 127 x 10</v>
      </c>
      <c r="M97" s="17">
        <v>1.5</v>
      </c>
      <c r="N97" s="17">
        <v>1.5</v>
      </c>
      <c r="O97" s="17">
        <v>392590.0</v>
      </c>
      <c r="P97" s="17">
        <v>1.0</v>
      </c>
      <c r="Q97" s="18" t="s">
        <v>256</v>
      </c>
      <c r="R97" s="19">
        <v>595.8644067796611</v>
      </c>
      <c r="S97" s="8">
        <v>1500.0</v>
      </c>
      <c r="T97" s="21"/>
      <c r="U97" s="10"/>
    </row>
    <row r="98">
      <c r="A98" s="10" t="s">
        <v>249</v>
      </c>
      <c r="B98" s="10" t="s">
        <v>250</v>
      </c>
      <c r="C98" s="10" t="s">
        <v>251</v>
      </c>
      <c r="D98" s="10"/>
      <c r="E98" s="10"/>
      <c r="F98" s="10"/>
      <c r="G98" s="16" t="s">
        <v>432</v>
      </c>
      <c r="H98" s="10" t="s">
        <v>433</v>
      </c>
      <c r="I98" s="17">
        <f t="shared" si="1"/>
        <v>36</v>
      </c>
      <c r="J98" s="18" t="s">
        <v>254</v>
      </c>
      <c r="K98" s="10" t="s">
        <v>398</v>
      </c>
      <c r="L98" s="18" t="str">
        <f t="shared" si="2"/>
        <v>2438.4 x 127 x 10</v>
      </c>
      <c r="M98" s="17">
        <v>1.5</v>
      </c>
      <c r="N98" s="17">
        <v>1.5</v>
      </c>
      <c r="O98" s="17">
        <v>392111.0</v>
      </c>
      <c r="P98" s="17">
        <v>1.0</v>
      </c>
      <c r="Q98" s="18" t="s">
        <v>256</v>
      </c>
      <c r="R98" s="19">
        <v>894.1694915254237</v>
      </c>
      <c r="S98" s="8">
        <f>2000</f>
        <v>2000</v>
      </c>
      <c r="T98" s="21"/>
      <c r="U98" s="10"/>
    </row>
    <row r="99">
      <c r="A99" s="10" t="s">
        <v>249</v>
      </c>
      <c r="B99" s="10" t="s">
        <v>250</v>
      </c>
      <c r="C99" s="10" t="s">
        <v>251</v>
      </c>
      <c r="D99" s="10"/>
      <c r="E99" s="10"/>
      <c r="F99" s="10"/>
      <c r="G99" s="16" t="s">
        <v>434</v>
      </c>
      <c r="H99" s="10" t="s">
        <v>435</v>
      </c>
      <c r="I99" s="17">
        <f t="shared" si="1"/>
        <v>38</v>
      </c>
      <c r="J99" s="18" t="s">
        <v>254</v>
      </c>
      <c r="K99" s="10" t="s">
        <v>398</v>
      </c>
      <c r="L99" s="18" t="str">
        <f t="shared" si="2"/>
        <v>2438.4 x 127 x 10</v>
      </c>
      <c r="M99" s="17">
        <v>1.5</v>
      </c>
      <c r="N99" s="17">
        <v>1.5</v>
      </c>
      <c r="O99" s="17">
        <v>392690.0</v>
      </c>
      <c r="P99" s="17">
        <v>1.0</v>
      </c>
      <c r="Q99" s="18" t="s">
        <v>256</v>
      </c>
      <c r="R99" s="19">
        <v>745.0847457627119</v>
      </c>
      <c r="S99" s="8">
        <f t="shared" ref="S99:S100" si="12">1500</f>
        <v>1500</v>
      </c>
      <c r="T99" s="21"/>
      <c r="U99" s="10"/>
    </row>
    <row r="100">
      <c r="A100" s="10" t="s">
        <v>249</v>
      </c>
      <c r="B100" s="10" t="s">
        <v>250</v>
      </c>
      <c r="C100" s="10" t="s">
        <v>251</v>
      </c>
      <c r="D100" s="10"/>
      <c r="E100" s="10"/>
      <c r="F100" s="10"/>
      <c r="G100" s="16" t="s">
        <v>436</v>
      </c>
      <c r="H100" s="10" t="s">
        <v>437</v>
      </c>
      <c r="I100" s="17">
        <f t="shared" si="1"/>
        <v>31</v>
      </c>
      <c r="J100" s="18" t="s">
        <v>254</v>
      </c>
      <c r="K100" s="10" t="s">
        <v>398</v>
      </c>
      <c r="L100" s="18" t="str">
        <f t="shared" si="2"/>
        <v>2438.4 x 127 x 10</v>
      </c>
      <c r="M100" s="17">
        <v>1.5</v>
      </c>
      <c r="N100" s="17">
        <v>1.5</v>
      </c>
      <c r="O100" s="17">
        <v>392690.0</v>
      </c>
      <c r="P100" s="17">
        <v>1.0</v>
      </c>
      <c r="Q100" s="18" t="s">
        <v>256</v>
      </c>
      <c r="R100" s="19">
        <v>745.0847457627119</v>
      </c>
      <c r="S100" s="8">
        <f t="shared" si="12"/>
        <v>1500</v>
      </c>
      <c r="T100" s="21"/>
      <c r="U100" s="10"/>
    </row>
    <row r="101">
      <c r="A101" s="10" t="s">
        <v>249</v>
      </c>
      <c r="B101" s="10" t="s">
        <v>250</v>
      </c>
      <c r="C101" s="10" t="s">
        <v>251</v>
      </c>
      <c r="D101" s="10"/>
      <c r="E101" s="10"/>
      <c r="F101" s="10"/>
      <c r="G101" s="16" t="s">
        <v>438</v>
      </c>
      <c r="H101" s="10" t="s">
        <v>439</v>
      </c>
      <c r="I101" s="17">
        <f t="shared" si="1"/>
        <v>32</v>
      </c>
      <c r="J101" s="18" t="s">
        <v>254</v>
      </c>
      <c r="K101" s="10" t="s">
        <v>398</v>
      </c>
      <c r="L101" s="18" t="str">
        <f t="shared" si="2"/>
        <v>2438.4 x 127 x 10</v>
      </c>
      <c r="M101" s="17">
        <v>1.5</v>
      </c>
      <c r="N101" s="17">
        <v>1.5</v>
      </c>
      <c r="O101" s="17">
        <v>392111.0</v>
      </c>
      <c r="P101" s="17">
        <v>1.0</v>
      </c>
      <c r="Q101" s="18" t="s">
        <v>256</v>
      </c>
      <c r="R101" s="19">
        <v>670.4406779661017</v>
      </c>
      <c r="S101" s="8">
        <v>1500.0</v>
      </c>
      <c r="T101" s="21"/>
      <c r="U101" s="10"/>
    </row>
    <row r="102">
      <c r="A102" s="10" t="s">
        <v>249</v>
      </c>
      <c r="B102" s="10" t="s">
        <v>250</v>
      </c>
      <c r="C102" s="10" t="s">
        <v>251</v>
      </c>
      <c r="D102" s="10"/>
      <c r="E102" s="10"/>
      <c r="F102" s="10"/>
      <c r="G102" s="16" t="s">
        <v>440</v>
      </c>
      <c r="H102" s="10" t="s">
        <v>441</v>
      </c>
      <c r="I102" s="17">
        <f t="shared" si="1"/>
        <v>37</v>
      </c>
      <c r="J102" s="18" t="s">
        <v>254</v>
      </c>
      <c r="K102" s="10" t="s">
        <v>398</v>
      </c>
      <c r="L102" s="18" t="str">
        <f t="shared" si="2"/>
        <v>2438.4 x 127 x 10</v>
      </c>
      <c r="M102" s="17">
        <v>1.5</v>
      </c>
      <c r="N102" s="17">
        <v>1.5</v>
      </c>
      <c r="O102" s="17">
        <v>3.9269099E7</v>
      </c>
      <c r="P102" s="17">
        <v>1.0</v>
      </c>
      <c r="Q102" s="18" t="s">
        <v>256</v>
      </c>
      <c r="R102" s="19">
        <v>609.4915254237288</v>
      </c>
      <c r="S102" s="8">
        <v>1500.0</v>
      </c>
      <c r="T102" s="21"/>
      <c r="U102" s="10"/>
    </row>
    <row r="103">
      <c r="A103" s="10" t="s">
        <v>249</v>
      </c>
      <c r="B103" s="10" t="s">
        <v>250</v>
      </c>
      <c r="C103" s="10" t="s">
        <v>251</v>
      </c>
      <c r="D103" s="10"/>
      <c r="E103" s="10"/>
      <c r="F103" s="10"/>
      <c r="G103" s="16" t="s">
        <v>149</v>
      </c>
      <c r="H103" s="10" t="s">
        <v>442</v>
      </c>
      <c r="I103" s="17">
        <f t="shared" si="1"/>
        <v>32</v>
      </c>
      <c r="J103" s="18" t="s">
        <v>254</v>
      </c>
      <c r="K103" s="10" t="s">
        <v>398</v>
      </c>
      <c r="L103" s="18" t="str">
        <f t="shared" si="2"/>
        <v>2438.4 x 127 x 10</v>
      </c>
      <c r="M103" s="17">
        <v>1.5</v>
      </c>
      <c r="N103" s="17">
        <v>1.5</v>
      </c>
      <c r="O103" s="17">
        <v>3.9269099E7</v>
      </c>
      <c r="P103" s="17">
        <v>1.0</v>
      </c>
      <c r="Q103" s="18" t="s">
        <v>256</v>
      </c>
      <c r="R103" s="19">
        <v>609.4915254237288</v>
      </c>
      <c r="S103" s="8">
        <v>1500.0</v>
      </c>
      <c r="T103" s="21"/>
      <c r="U103" s="10"/>
    </row>
    <row r="104">
      <c r="A104" s="10" t="s">
        <v>249</v>
      </c>
      <c r="B104" s="10" t="s">
        <v>250</v>
      </c>
      <c r="C104" s="10" t="s">
        <v>251</v>
      </c>
      <c r="D104" s="10"/>
      <c r="E104" s="10"/>
      <c r="F104" s="10"/>
      <c r="G104" s="16" t="s">
        <v>139</v>
      </c>
      <c r="H104" s="10" t="s">
        <v>443</v>
      </c>
      <c r="I104" s="17">
        <f t="shared" si="1"/>
        <v>37</v>
      </c>
      <c r="J104" s="18" t="s">
        <v>254</v>
      </c>
      <c r="K104" s="10" t="s">
        <v>398</v>
      </c>
      <c r="L104" s="18" t="str">
        <f t="shared" si="2"/>
        <v>2438.4 x 127 x 10</v>
      </c>
      <c r="M104" s="17">
        <v>1.5</v>
      </c>
      <c r="N104" s="17">
        <v>1.5</v>
      </c>
      <c r="O104" s="17">
        <v>3.9269099E7</v>
      </c>
      <c r="P104" s="17">
        <v>1.0</v>
      </c>
      <c r="Q104" s="18" t="s">
        <v>256</v>
      </c>
      <c r="R104" s="19">
        <v>609.4915254237288</v>
      </c>
      <c r="S104" s="8">
        <v>1500.0</v>
      </c>
      <c r="T104" s="21"/>
      <c r="U104" s="10"/>
    </row>
    <row r="105">
      <c r="A105" s="10" t="s">
        <v>249</v>
      </c>
      <c r="B105" s="10" t="s">
        <v>250</v>
      </c>
      <c r="C105" s="10" t="s">
        <v>251</v>
      </c>
      <c r="D105" s="10"/>
      <c r="E105" s="10"/>
      <c r="F105" s="10"/>
      <c r="G105" s="16" t="s">
        <v>444</v>
      </c>
      <c r="H105" s="10" t="s">
        <v>445</v>
      </c>
      <c r="I105" s="17">
        <f t="shared" si="1"/>
        <v>31</v>
      </c>
      <c r="J105" s="18" t="s">
        <v>254</v>
      </c>
      <c r="K105" s="10" t="s">
        <v>398</v>
      </c>
      <c r="L105" s="18" t="str">
        <f t="shared" si="2"/>
        <v>2438.4 x 127 x 10</v>
      </c>
      <c r="M105" s="17">
        <v>1.5</v>
      </c>
      <c r="N105" s="17">
        <v>1.5</v>
      </c>
      <c r="O105" s="17">
        <v>3.9269099E7</v>
      </c>
      <c r="P105" s="17">
        <v>1.0</v>
      </c>
      <c r="Q105" s="18" t="s">
        <v>256</v>
      </c>
      <c r="R105" s="19">
        <v>609.4915254237288</v>
      </c>
      <c r="S105" s="8">
        <v>1500.0</v>
      </c>
      <c r="T105" s="21"/>
      <c r="U105" s="10"/>
    </row>
    <row r="106">
      <c r="A106" s="10" t="s">
        <v>249</v>
      </c>
      <c r="B106" s="10" t="s">
        <v>250</v>
      </c>
      <c r="C106" s="10" t="s">
        <v>251</v>
      </c>
      <c r="D106" s="10"/>
      <c r="E106" s="10"/>
      <c r="F106" s="10"/>
      <c r="G106" s="16" t="s">
        <v>446</v>
      </c>
      <c r="H106" s="10" t="s">
        <v>447</v>
      </c>
      <c r="I106" s="17">
        <f t="shared" si="1"/>
        <v>37</v>
      </c>
      <c r="J106" s="18" t="s">
        <v>254</v>
      </c>
      <c r="K106" s="10" t="s">
        <v>398</v>
      </c>
      <c r="L106" s="18" t="str">
        <f t="shared" si="2"/>
        <v>2438.4 x 127 x 10</v>
      </c>
      <c r="M106" s="17">
        <v>1.5</v>
      </c>
      <c r="N106" s="17">
        <v>1.5</v>
      </c>
      <c r="O106" s="17">
        <v>3.9269099E7</v>
      </c>
      <c r="P106" s="17">
        <v>1.0</v>
      </c>
      <c r="Q106" s="18" t="s">
        <v>256</v>
      </c>
      <c r="R106" s="19">
        <v>745.0169491525425</v>
      </c>
      <c r="S106" s="8">
        <f t="shared" ref="S106:S107" si="13">1500</f>
        <v>1500</v>
      </c>
      <c r="T106" s="21"/>
      <c r="U106" s="10"/>
    </row>
    <row r="107">
      <c r="A107" s="10" t="s">
        <v>249</v>
      </c>
      <c r="B107" s="10" t="s">
        <v>250</v>
      </c>
      <c r="C107" s="10" t="s">
        <v>251</v>
      </c>
      <c r="D107" s="10"/>
      <c r="E107" s="10"/>
      <c r="F107" s="10"/>
      <c r="G107" s="16" t="s">
        <v>147</v>
      </c>
      <c r="H107" s="10" t="s">
        <v>448</v>
      </c>
      <c r="I107" s="17">
        <f t="shared" si="1"/>
        <v>36</v>
      </c>
      <c r="J107" s="18" t="s">
        <v>254</v>
      </c>
      <c r="K107" s="10" t="s">
        <v>398</v>
      </c>
      <c r="L107" s="18" t="str">
        <f t="shared" si="2"/>
        <v>2438.4 x 127 x 10</v>
      </c>
      <c r="M107" s="17">
        <v>1.5</v>
      </c>
      <c r="N107" s="17">
        <v>1.5</v>
      </c>
      <c r="O107" s="17">
        <v>3.9269099E7</v>
      </c>
      <c r="P107" s="17">
        <v>1.0</v>
      </c>
      <c r="Q107" s="18" t="s">
        <v>256</v>
      </c>
      <c r="R107" s="19">
        <v>745.0169491525425</v>
      </c>
      <c r="S107" s="8">
        <f t="shared" si="13"/>
        <v>1500</v>
      </c>
      <c r="T107" s="21"/>
      <c r="U107" s="10"/>
    </row>
    <row r="108">
      <c r="A108" s="10" t="s">
        <v>249</v>
      </c>
      <c r="B108" s="10" t="s">
        <v>250</v>
      </c>
      <c r="C108" s="10" t="s">
        <v>251</v>
      </c>
      <c r="D108" s="10"/>
      <c r="E108" s="10"/>
      <c r="F108" s="10"/>
      <c r="G108" s="16" t="s">
        <v>449</v>
      </c>
      <c r="H108" s="10" t="s">
        <v>450</v>
      </c>
      <c r="I108" s="17">
        <f t="shared" si="1"/>
        <v>31</v>
      </c>
      <c r="J108" s="18" t="s">
        <v>254</v>
      </c>
      <c r="K108" s="10" t="s">
        <v>398</v>
      </c>
      <c r="L108" s="18" t="str">
        <f t="shared" si="2"/>
        <v>2438.4 x 127 x 10</v>
      </c>
      <c r="M108" s="17">
        <v>1.5</v>
      </c>
      <c r="N108" s="17">
        <v>1.5</v>
      </c>
      <c r="O108" s="17">
        <v>3.9269099E7</v>
      </c>
      <c r="P108" s="17">
        <v>1.0</v>
      </c>
      <c r="Q108" s="18" t="s">
        <v>256</v>
      </c>
      <c r="R108" s="19">
        <v>819.5932203389831</v>
      </c>
      <c r="S108" s="8">
        <f t="shared" ref="S108:S109" si="14">2000</f>
        <v>2000</v>
      </c>
      <c r="T108" s="21"/>
      <c r="U108" s="10"/>
    </row>
    <row r="109">
      <c r="A109" s="10" t="s">
        <v>249</v>
      </c>
      <c r="B109" s="10" t="s">
        <v>250</v>
      </c>
      <c r="C109" s="10" t="s">
        <v>251</v>
      </c>
      <c r="D109" s="10"/>
      <c r="E109" s="10"/>
      <c r="F109" s="10"/>
      <c r="G109" s="16" t="s">
        <v>451</v>
      </c>
      <c r="H109" s="10" t="s">
        <v>452</v>
      </c>
      <c r="I109" s="17">
        <f t="shared" si="1"/>
        <v>32</v>
      </c>
      <c r="J109" s="18" t="s">
        <v>254</v>
      </c>
      <c r="K109" s="10" t="s">
        <v>398</v>
      </c>
      <c r="L109" s="18" t="str">
        <f t="shared" si="2"/>
        <v>2438.4 x 127 x 10</v>
      </c>
      <c r="M109" s="17">
        <v>1.5</v>
      </c>
      <c r="N109" s="17">
        <v>1.5</v>
      </c>
      <c r="O109" s="17">
        <v>392111.0</v>
      </c>
      <c r="P109" s="17">
        <v>1.0</v>
      </c>
      <c r="Q109" s="18" t="s">
        <v>256</v>
      </c>
      <c r="R109" s="19">
        <v>819.5932203389831</v>
      </c>
      <c r="S109" s="8">
        <f t="shared" si="14"/>
        <v>2000</v>
      </c>
      <c r="T109" s="21"/>
      <c r="U109" s="10"/>
    </row>
    <row r="110">
      <c r="A110" s="10" t="s">
        <v>249</v>
      </c>
      <c r="B110" s="10" t="s">
        <v>250</v>
      </c>
      <c r="C110" s="10" t="s">
        <v>251</v>
      </c>
      <c r="D110" s="10"/>
      <c r="E110" s="10"/>
      <c r="F110" s="10"/>
      <c r="G110" s="16" t="s">
        <v>453</v>
      </c>
      <c r="H110" s="10" t="s">
        <v>454</v>
      </c>
      <c r="I110" s="17">
        <f t="shared" si="1"/>
        <v>34</v>
      </c>
      <c r="J110" s="18" t="s">
        <v>254</v>
      </c>
      <c r="K110" s="10" t="s">
        <v>455</v>
      </c>
      <c r="L110" s="18" t="str">
        <f t="shared" si="2"/>
        <v>2438.4 x 609.6 x 6</v>
      </c>
      <c r="M110" s="17">
        <v>1.5</v>
      </c>
      <c r="N110" s="17">
        <v>1.5</v>
      </c>
      <c r="O110" s="17">
        <v>392111.0</v>
      </c>
      <c r="P110" s="17">
        <v>1.0</v>
      </c>
      <c r="Q110" s="18" t="s">
        <v>256</v>
      </c>
      <c r="R110" s="19">
        <v>745.0169491525425</v>
      </c>
      <c r="S110" s="8">
        <f>1500</f>
        <v>1500</v>
      </c>
      <c r="T110" s="21"/>
      <c r="U110" s="10"/>
    </row>
    <row r="111">
      <c r="A111" s="10" t="s">
        <v>249</v>
      </c>
      <c r="B111" s="10" t="s">
        <v>250</v>
      </c>
      <c r="C111" s="10" t="s">
        <v>251</v>
      </c>
      <c r="D111" s="10"/>
      <c r="E111" s="10"/>
      <c r="F111" s="10"/>
      <c r="G111" s="16" t="s">
        <v>456</v>
      </c>
      <c r="H111" s="10" t="s">
        <v>457</v>
      </c>
      <c r="I111" s="17">
        <f t="shared" si="1"/>
        <v>38</v>
      </c>
      <c r="J111" s="18" t="s">
        <v>254</v>
      </c>
      <c r="K111" s="10" t="s">
        <v>455</v>
      </c>
      <c r="L111" s="18" t="str">
        <f t="shared" si="2"/>
        <v>2438.4 x 609.6 x 6</v>
      </c>
      <c r="M111" s="17">
        <v>1.5</v>
      </c>
      <c r="N111" s="17">
        <v>1.5</v>
      </c>
      <c r="O111" s="17">
        <v>3.9269099E7</v>
      </c>
      <c r="P111" s="17">
        <v>1.0</v>
      </c>
      <c r="Q111" s="18" t="s">
        <v>256</v>
      </c>
      <c r="R111" s="19">
        <v>521.2881355932203</v>
      </c>
      <c r="S111" s="8">
        <f>1000</f>
        <v>1000</v>
      </c>
      <c r="T111" s="21"/>
      <c r="U111" s="10"/>
    </row>
    <row r="112">
      <c r="A112" s="10" t="s">
        <v>249</v>
      </c>
      <c r="B112" s="10" t="s">
        <v>250</v>
      </c>
      <c r="C112" s="10" t="s">
        <v>251</v>
      </c>
      <c r="D112" s="10"/>
      <c r="E112" s="10"/>
      <c r="F112" s="10"/>
      <c r="G112" s="16" t="s">
        <v>458</v>
      </c>
      <c r="H112" s="18" t="s">
        <v>459</v>
      </c>
      <c r="I112" s="17">
        <f t="shared" si="1"/>
        <v>38</v>
      </c>
      <c r="J112" s="10" t="s">
        <v>254</v>
      </c>
      <c r="K112" s="18" t="s">
        <v>460</v>
      </c>
      <c r="L112" s="18" t="s">
        <v>460</v>
      </c>
      <c r="M112" s="8">
        <v>10.0</v>
      </c>
      <c r="N112" s="8">
        <v>10.0</v>
      </c>
      <c r="O112" s="17">
        <v>4.412339E7</v>
      </c>
      <c r="P112" s="17">
        <v>1.0</v>
      </c>
      <c r="Q112" s="18" t="s">
        <v>256</v>
      </c>
      <c r="R112" s="19">
        <v>2956.8000000000006</v>
      </c>
      <c r="S112" s="8">
        <f t="shared" ref="S112:S113" si="15">7500</f>
        <v>7500</v>
      </c>
      <c r="T112" s="21"/>
      <c r="U112" s="10"/>
    </row>
    <row r="113">
      <c r="A113" s="10" t="s">
        <v>249</v>
      </c>
      <c r="B113" s="10" t="s">
        <v>250</v>
      </c>
      <c r="C113" s="10" t="s">
        <v>251</v>
      </c>
      <c r="D113" s="10"/>
      <c r="E113" s="10"/>
      <c r="F113" s="10"/>
      <c r="G113" s="16" t="s">
        <v>179</v>
      </c>
      <c r="H113" s="18" t="s">
        <v>178</v>
      </c>
      <c r="I113" s="17">
        <f t="shared" si="1"/>
        <v>39</v>
      </c>
      <c r="J113" s="10" t="s">
        <v>254</v>
      </c>
      <c r="K113" s="18" t="s">
        <v>461</v>
      </c>
      <c r="L113" s="18" t="s">
        <v>461</v>
      </c>
      <c r="M113" s="8">
        <v>10.0</v>
      </c>
      <c r="N113" s="8">
        <v>10.0</v>
      </c>
      <c r="O113" s="17">
        <v>4.41899E7</v>
      </c>
      <c r="P113" s="17">
        <v>1.0</v>
      </c>
      <c r="Q113" s="18" t="s">
        <v>256</v>
      </c>
      <c r="R113" s="19">
        <v>4148.387118644067</v>
      </c>
      <c r="S113" s="8">
        <f t="shared" si="15"/>
        <v>7500</v>
      </c>
      <c r="T113" s="21"/>
      <c r="U113" s="10"/>
    </row>
    <row r="114">
      <c r="A114" s="10" t="s">
        <v>249</v>
      </c>
      <c r="B114" s="10" t="s">
        <v>250</v>
      </c>
      <c r="C114" s="10" t="s">
        <v>251</v>
      </c>
      <c r="D114" s="10"/>
      <c r="E114" s="10"/>
      <c r="F114" s="10"/>
      <c r="G114" s="16" t="s">
        <v>462</v>
      </c>
      <c r="H114" s="18" t="s">
        <v>463</v>
      </c>
      <c r="I114" s="17">
        <f t="shared" si="1"/>
        <v>40</v>
      </c>
      <c r="J114" s="10" t="s">
        <v>254</v>
      </c>
      <c r="K114" s="18" t="s">
        <v>464</v>
      </c>
      <c r="L114" s="18" t="s">
        <v>464</v>
      </c>
      <c r="M114" s="8">
        <v>2.5</v>
      </c>
      <c r="N114" s="8">
        <v>2.5</v>
      </c>
      <c r="O114" s="17">
        <v>4.41899E7</v>
      </c>
      <c r="P114" s="17">
        <v>1.0</v>
      </c>
      <c r="Q114" s="18" t="s">
        <v>256</v>
      </c>
      <c r="R114" s="19">
        <v>1014.5505084745764</v>
      </c>
      <c r="S114" s="8">
        <v>2500.0</v>
      </c>
      <c r="T114" s="21"/>
      <c r="U114" s="10"/>
    </row>
    <row r="115">
      <c r="A115" s="10" t="s">
        <v>249</v>
      </c>
      <c r="B115" s="10" t="s">
        <v>250</v>
      </c>
      <c r="C115" s="10" t="s">
        <v>251</v>
      </c>
      <c r="D115" s="10"/>
      <c r="E115" s="10"/>
      <c r="F115" s="10"/>
      <c r="G115" s="16" t="s">
        <v>194</v>
      </c>
      <c r="H115" s="18" t="s">
        <v>193</v>
      </c>
      <c r="I115" s="17">
        <f t="shared" si="1"/>
        <v>39</v>
      </c>
      <c r="J115" s="10" t="s">
        <v>254</v>
      </c>
      <c r="K115" s="18" t="s">
        <v>464</v>
      </c>
      <c r="L115" s="18" t="s">
        <v>464</v>
      </c>
      <c r="M115" s="8">
        <v>2.5</v>
      </c>
      <c r="N115" s="8">
        <v>2.5</v>
      </c>
      <c r="O115" s="17">
        <v>4.41899E7</v>
      </c>
      <c r="P115" s="17">
        <v>1.0</v>
      </c>
      <c r="Q115" s="18" t="s">
        <v>256</v>
      </c>
      <c r="R115" s="19">
        <v>1014.5505084745764</v>
      </c>
      <c r="S115" s="8">
        <v>2500.0</v>
      </c>
      <c r="T115" s="21"/>
      <c r="U115" s="10"/>
    </row>
    <row r="116">
      <c r="A116" s="10" t="s">
        <v>249</v>
      </c>
      <c r="B116" s="10" t="s">
        <v>250</v>
      </c>
      <c r="C116" s="10" t="s">
        <v>251</v>
      </c>
      <c r="D116" s="10"/>
      <c r="E116" s="10"/>
      <c r="F116" s="10"/>
      <c r="G116" s="16" t="s">
        <v>177</v>
      </c>
      <c r="H116" s="18" t="s">
        <v>176</v>
      </c>
      <c r="I116" s="17">
        <f t="shared" si="1"/>
        <v>40</v>
      </c>
      <c r="J116" s="10" t="s">
        <v>254</v>
      </c>
      <c r="K116" s="18" t="s">
        <v>461</v>
      </c>
      <c r="L116" s="18" t="s">
        <v>461</v>
      </c>
      <c r="M116" s="8">
        <v>10.0</v>
      </c>
      <c r="N116" s="8">
        <v>10.0</v>
      </c>
      <c r="O116" s="17">
        <v>4.41899E7</v>
      </c>
      <c r="P116" s="17">
        <v>1.0</v>
      </c>
      <c r="Q116" s="18" t="s">
        <v>256</v>
      </c>
      <c r="R116" s="19">
        <v>4148.387118644067</v>
      </c>
      <c r="S116" s="8">
        <f>7500</f>
        <v>7500</v>
      </c>
      <c r="T116" s="21"/>
      <c r="U116" s="10"/>
    </row>
    <row r="117">
      <c r="A117" s="10" t="s">
        <v>249</v>
      </c>
      <c r="B117" s="10" t="s">
        <v>250</v>
      </c>
      <c r="C117" s="10" t="s">
        <v>251</v>
      </c>
      <c r="D117" s="10"/>
      <c r="E117" s="10"/>
      <c r="F117" s="10"/>
      <c r="G117" s="16" t="s">
        <v>465</v>
      </c>
      <c r="H117" s="18" t="s">
        <v>466</v>
      </c>
      <c r="I117" s="17">
        <f t="shared" si="1"/>
        <v>39</v>
      </c>
      <c r="J117" s="10" t="s">
        <v>254</v>
      </c>
      <c r="K117" s="18" t="s">
        <v>464</v>
      </c>
      <c r="L117" s="18" t="s">
        <v>464</v>
      </c>
      <c r="M117" s="8">
        <v>2.5</v>
      </c>
      <c r="N117" s="8">
        <v>2.5</v>
      </c>
      <c r="O117" s="17">
        <v>4.41899E7</v>
      </c>
      <c r="P117" s="17">
        <v>1.0</v>
      </c>
      <c r="Q117" s="18" t="s">
        <v>256</v>
      </c>
      <c r="R117" s="19">
        <v>1087.0237288135593</v>
      </c>
      <c r="S117" s="8">
        <v>2500.0</v>
      </c>
      <c r="T117" s="21"/>
      <c r="U117" s="10"/>
    </row>
    <row r="118">
      <c r="A118" s="10" t="s">
        <v>249</v>
      </c>
      <c r="B118" s="10" t="s">
        <v>250</v>
      </c>
      <c r="C118" s="10" t="s">
        <v>251</v>
      </c>
      <c r="D118" s="10"/>
      <c r="E118" s="10"/>
      <c r="F118" s="10"/>
      <c r="G118" s="16" t="s">
        <v>467</v>
      </c>
      <c r="H118" s="18" t="s">
        <v>468</v>
      </c>
      <c r="I118" s="17">
        <f t="shared" si="1"/>
        <v>36</v>
      </c>
      <c r="J118" s="10" t="s">
        <v>254</v>
      </c>
      <c r="K118" s="18" t="s">
        <v>461</v>
      </c>
      <c r="L118" s="18" t="s">
        <v>461</v>
      </c>
      <c r="M118" s="8">
        <v>10.0</v>
      </c>
      <c r="N118" s="8">
        <v>10.0</v>
      </c>
      <c r="O118" s="17">
        <v>4.41899E7</v>
      </c>
      <c r="P118" s="17">
        <v>1.0</v>
      </c>
      <c r="Q118" s="18" t="s">
        <v>256</v>
      </c>
      <c r="R118" s="19">
        <v>4444.701016949152</v>
      </c>
      <c r="S118" s="8">
        <f t="shared" ref="S118:S119" si="16">7500</f>
        <v>7500</v>
      </c>
      <c r="T118" s="21"/>
      <c r="U118" s="10"/>
    </row>
    <row r="119">
      <c r="A119" s="10" t="s">
        <v>249</v>
      </c>
      <c r="B119" s="10" t="s">
        <v>250</v>
      </c>
      <c r="C119" s="10" t="s">
        <v>251</v>
      </c>
      <c r="D119" s="10"/>
      <c r="E119" s="10"/>
      <c r="F119" s="10"/>
      <c r="G119" s="16" t="s">
        <v>155</v>
      </c>
      <c r="H119" s="18" t="s">
        <v>154</v>
      </c>
      <c r="I119" s="17">
        <f t="shared" si="1"/>
        <v>40</v>
      </c>
      <c r="J119" s="10" t="s">
        <v>254</v>
      </c>
      <c r="K119" s="18" t="s">
        <v>461</v>
      </c>
      <c r="L119" s="18" t="s">
        <v>461</v>
      </c>
      <c r="M119" s="8">
        <v>10.0</v>
      </c>
      <c r="N119" s="8">
        <v>10.0</v>
      </c>
      <c r="O119" s="17">
        <v>4.41899E7</v>
      </c>
      <c r="P119" s="17">
        <v>1.0</v>
      </c>
      <c r="Q119" s="18" t="s">
        <v>256</v>
      </c>
      <c r="R119" s="19">
        <v>4148.387118644067</v>
      </c>
      <c r="S119" s="8">
        <f t="shared" si="16"/>
        <v>7500</v>
      </c>
      <c r="T119" s="21"/>
      <c r="U119" s="10"/>
    </row>
    <row r="120">
      <c r="A120" s="10" t="s">
        <v>249</v>
      </c>
      <c r="B120" s="10" t="s">
        <v>250</v>
      </c>
      <c r="C120" s="10" t="s">
        <v>251</v>
      </c>
      <c r="D120" s="10"/>
      <c r="E120" s="10"/>
      <c r="F120" s="10"/>
      <c r="G120" s="16" t="s">
        <v>469</v>
      </c>
      <c r="H120" s="18" t="s">
        <v>470</v>
      </c>
      <c r="I120" s="17">
        <f t="shared" si="1"/>
        <v>40</v>
      </c>
      <c r="J120" s="10" t="s">
        <v>254</v>
      </c>
      <c r="K120" s="18" t="s">
        <v>464</v>
      </c>
      <c r="L120" s="18" t="s">
        <v>464</v>
      </c>
      <c r="M120" s="8">
        <v>2.5</v>
      </c>
      <c r="N120" s="8">
        <v>2.5</v>
      </c>
      <c r="O120" s="17">
        <v>4.41899E7</v>
      </c>
      <c r="P120" s="17">
        <v>1.0</v>
      </c>
      <c r="Q120" s="18" t="s">
        <v>256</v>
      </c>
      <c r="R120" s="19">
        <v>1014.5505084745764</v>
      </c>
      <c r="S120" s="8">
        <v>2500.0</v>
      </c>
      <c r="T120" s="21"/>
      <c r="U120" s="10"/>
    </row>
    <row r="121">
      <c r="A121" s="10" t="s">
        <v>249</v>
      </c>
      <c r="B121" s="10" t="s">
        <v>250</v>
      </c>
      <c r="C121" s="10" t="s">
        <v>251</v>
      </c>
      <c r="D121" s="10"/>
      <c r="E121" s="10"/>
      <c r="F121" s="10"/>
      <c r="G121" s="16" t="s">
        <v>471</v>
      </c>
      <c r="H121" s="18" t="s">
        <v>472</v>
      </c>
      <c r="I121" s="17">
        <f t="shared" si="1"/>
        <v>34</v>
      </c>
      <c r="J121" s="10" t="s">
        <v>254</v>
      </c>
      <c r="K121" s="18" t="s">
        <v>464</v>
      </c>
      <c r="L121" s="18" t="s">
        <v>464</v>
      </c>
      <c r="M121" s="8">
        <v>2.5</v>
      </c>
      <c r="N121" s="8">
        <v>2.5</v>
      </c>
      <c r="O121" s="17">
        <v>4.41899E7</v>
      </c>
      <c r="P121" s="17">
        <v>1.0</v>
      </c>
      <c r="Q121" s="18" t="s">
        <v>256</v>
      </c>
      <c r="R121" s="19">
        <v>1087.0237288135593</v>
      </c>
      <c r="S121" s="8">
        <v>2500.0</v>
      </c>
      <c r="T121" s="21"/>
      <c r="U121" s="10"/>
    </row>
    <row r="122">
      <c r="A122" s="10" t="s">
        <v>249</v>
      </c>
      <c r="B122" s="10" t="s">
        <v>250</v>
      </c>
      <c r="C122" s="10" t="s">
        <v>251</v>
      </c>
      <c r="D122" s="10"/>
      <c r="E122" s="10"/>
      <c r="F122" s="10"/>
      <c r="G122" s="16" t="s">
        <v>473</v>
      </c>
      <c r="H122" s="18" t="s">
        <v>474</v>
      </c>
      <c r="I122" s="17">
        <f t="shared" si="1"/>
        <v>31</v>
      </c>
      <c r="J122" s="10" t="s">
        <v>254</v>
      </c>
      <c r="K122" s="18" t="s">
        <v>461</v>
      </c>
      <c r="L122" s="18" t="s">
        <v>461</v>
      </c>
      <c r="M122" s="8">
        <v>10.0</v>
      </c>
      <c r="N122" s="8">
        <v>10.0</v>
      </c>
      <c r="O122" s="17">
        <v>4.41899E7</v>
      </c>
      <c r="P122" s="17">
        <v>1.0</v>
      </c>
      <c r="Q122" s="18" t="s">
        <v>256</v>
      </c>
      <c r="R122" s="19">
        <v>4444.701016949152</v>
      </c>
      <c r="S122" s="8">
        <f>7500</f>
        <v>7500</v>
      </c>
      <c r="T122" s="21"/>
      <c r="U122" s="10"/>
    </row>
    <row r="123">
      <c r="A123" s="10" t="s">
        <v>249</v>
      </c>
      <c r="B123" s="10" t="s">
        <v>250</v>
      </c>
      <c r="C123" s="10" t="s">
        <v>251</v>
      </c>
      <c r="D123" s="10"/>
      <c r="E123" s="10"/>
      <c r="F123" s="10"/>
      <c r="G123" s="16" t="s">
        <v>475</v>
      </c>
      <c r="H123" s="18" t="s">
        <v>476</v>
      </c>
      <c r="I123" s="17">
        <f t="shared" si="1"/>
        <v>40</v>
      </c>
      <c r="J123" s="10" t="s">
        <v>254</v>
      </c>
      <c r="K123" s="18" t="s">
        <v>464</v>
      </c>
      <c r="L123" s="18" t="s">
        <v>464</v>
      </c>
      <c r="M123" s="8">
        <v>2.5</v>
      </c>
      <c r="N123" s="8">
        <v>2.5</v>
      </c>
      <c r="O123" s="17">
        <v>4.41899E7</v>
      </c>
      <c r="P123" s="17">
        <v>1.0</v>
      </c>
      <c r="Q123" s="18" t="s">
        <v>256</v>
      </c>
      <c r="R123" s="19">
        <v>1159.4894915254238</v>
      </c>
      <c r="S123" s="8">
        <f>2500</f>
        <v>2500</v>
      </c>
      <c r="T123" s="21"/>
      <c r="U123" s="10"/>
    </row>
    <row r="124">
      <c r="A124" s="10" t="s">
        <v>249</v>
      </c>
      <c r="B124" s="10" t="s">
        <v>250</v>
      </c>
      <c r="C124" s="10" t="s">
        <v>251</v>
      </c>
      <c r="D124" s="10"/>
      <c r="E124" s="10"/>
      <c r="F124" s="10"/>
      <c r="G124" s="16" t="s">
        <v>477</v>
      </c>
      <c r="H124" s="18" t="s">
        <v>478</v>
      </c>
      <c r="I124" s="17">
        <f t="shared" si="1"/>
        <v>39</v>
      </c>
      <c r="J124" s="10" t="s">
        <v>254</v>
      </c>
      <c r="K124" s="18" t="s">
        <v>461</v>
      </c>
      <c r="L124" s="18" t="s">
        <v>461</v>
      </c>
      <c r="M124" s="8">
        <v>10.0</v>
      </c>
      <c r="N124" s="8">
        <v>10.0</v>
      </c>
      <c r="O124" s="17">
        <v>4.41899E7</v>
      </c>
      <c r="P124" s="17">
        <v>1.0</v>
      </c>
      <c r="Q124" s="18" t="s">
        <v>256</v>
      </c>
      <c r="R124" s="19">
        <v>4741.014915254238</v>
      </c>
      <c r="S124" s="8">
        <f t="shared" ref="S124:S125" si="17">7500</f>
        <v>7500</v>
      </c>
      <c r="T124" s="21"/>
      <c r="U124" s="10"/>
    </row>
    <row r="125">
      <c r="A125" s="10" t="s">
        <v>249</v>
      </c>
      <c r="B125" s="10" t="s">
        <v>250</v>
      </c>
      <c r="C125" s="10" t="s">
        <v>251</v>
      </c>
      <c r="D125" s="10"/>
      <c r="E125" s="10"/>
      <c r="F125" s="10"/>
      <c r="G125" s="16" t="s">
        <v>171</v>
      </c>
      <c r="H125" s="18" t="s">
        <v>170</v>
      </c>
      <c r="I125" s="17">
        <f t="shared" si="1"/>
        <v>38</v>
      </c>
      <c r="J125" s="10" t="s">
        <v>254</v>
      </c>
      <c r="K125" s="18" t="s">
        <v>461</v>
      </c>
      <c r="L125" s="18" t="s">
        <v>461</v>
      </c>
      <c r="M125" s="8">
        <v>10.0</v>
      </c>
      <c r="N125" s="8">
        <v>10.0</v>
      </c>
      <c r="O125" s="17">
        <v>4.41899E7</v>
      </c>
      <c r="P125" s="17">
        <v>1.0</v>
      </c>
      <c r="Q125" s="18" t="s">
        <v>256</v>
      </c>
      <c r="R125" s="19">
        <v>4741.014915254238</v>
      </c>
      <c r="S125" s="8">
        <f t="shared" si="17"/>
        <v>7500</v>
      </c>
      <c r="T125" s="21"/>
      <c r="U125" s="10"/>
    </row>
    <row r="126">
      <c r="A126" s="10" t="s">
        <v>249</v>
      </c>
      <c r="B126" s="10" t="s">
        <v>250</v>
      </c>
      <c r="C126" s="10" t="s">
        <v>251</v>
      </c>
      <c r="D126" s="10"/>
      <c r="E126" s="10"/>
      <c r="F126" s="10"/>
      <c r="G126" s="16" t="s">
        <v>479</v>
      </c>
      <c r="H126" s="18" t="s">
        <v>480</v>
      </c>
      <c r="I126" s="17">
        <f t="shared" si="1"/>
        <v>40</v>
      </c>
      <c r="J126" s="10" t="s">
        <v>254</v>
      </c>
      <c r="K126" s="18" t="s">
        <v>464</v>
      </c>
      <c r="L126" s="18" t="s">
        <v>464</v>
      </c>
      <c r="M126" s="8">
        <v>2.5</v>
      </c>
      <c r="N126" s="8">
        <v>2.5</v>
      </c>
      <c r="O126" s="17">
        <v>4.41899E7</v>
      </c>
      <c r="P126" s="17">
        <v>1.0</v>
      </c>
      <c r="Q126" s="18" t="s">
        <v>256</v>
      </c>
      <c r="R126" s="19">
        <v>1159.4894915254238</v>
      </c>
      <c r="S126" s="8">
        <f>2500</f>
        <v>2500</v>
      </c>
      <c r="T126" s="21"/>
      <c r="U126" s="10"/>
    </row>
    <row r="127">
      <c r="A127" s="10" t="s">
        <v>249</v>
      </c>
      <c r="B127" s="10" t="s">
        <v>250</v>
      </c>
      <c r="C127" s="10" t="s">
        <v>251</v>
      </c>
      <c r="D127" s="10"/>
      <c r="E127" s="10"/>
      <c r="F127" s="10"/>
      <c r="G127" s="16" t="s">
        <v>481</v>
      </c>
      <c r="H127" s="18" t="s">
        <v>482</v>
      </c>
      <c r="I127" s="17">
        <f t="shared" si="1"/>
        <v>35</v>
      </c>
      <c r="J127" s="10" t="s">
        <v>254</v>
      </c>
      <c r="K127" s="18" t="s">
        <v>464</v>
      </c>
      <c r="L127" s="18" t="s">
        <v>464</v>
      </c>
      <c r="M127" s="8">
        <v>2.5</v>
      </c>
      <c r="N127" s="8">
        <v>2.5</v>
      </c>
      <c r="O127" s="17">
        <v>4.41899E7</v>
      </c>
      <c r="P127" s="17">
        <v>1.0</v>
      </c>
      <c r="Q127" s="18" t="s">
        <v>256</v>
      </c>
      <c r="R127" s="19">
        <v>1014.5505084745764</v>
      </c>
      <c r="S127" s="8">
        <v>2500.0</v>
      </c>
      <c r="T127" s="21"/>
      <c r="U127" s="10"/>
    </row>
    <row r="128">
      <c r="A128" s="10" t="s">
        <v>249</v>
      </c>
      <c r="B128" s="10" t="s">
        <v>250</v>
      </c>
      <c r="C128" s="10" t="s">
        <v>251</v>
      </c>
      <c r="D128" s="10"/>
      <c r="E128" s="10"/>
      <c r="F128" s="10"/>
      <c r="G128" s="16" t="s">
        <v>169</v>
      </c>
      <c r="H128" s="18" t="s">
        <v>168</v>
      </c>
      <c r="I128" s="17">
        <f t="shared" si="1"/>
        <v>39</v>
      </c>
      <c r="J128" s="10" t="s">
        <v>254</v>
      </c>
      <c r="K128" s="18" t="s">
        <v>461</v>
      </c>
      <c r="L128" s="18" t="s">
        <v>461</v>
      </c>
      <c r="M128" s="8">
        <v>10.0</v>
      </c>
      <c r="N128" s="8">
        <v>10.0</v>
      </c>
      <c r="O128" s="17">
        <v>4.41899E7</v>
      </c>
      <c r="P128" s="17">
        <v>1.0</v>
      </c>
      <c r="Q128" s="18" t="s">
        <v>256</v>
      </c>
      <c r="R128" s="19">
        <v>4148.387118644067</v>
      </c>
      <c r="S128" s="8">
        <f t="shared" ref="S128:S129" si="18">7500</f>
        <v>7500</v>
      </c>
      <c r="T128" s="21"/>
      <c r="U128" s="10"/>
    </row>
    <row r="129">
      <c r="A129" s="10" t="s">
        <v>249</v>
      </c>
      <c r="B129" s="10" t="s">
        <v>250</v>
      </c>
      <c r="C129" s="10" t="s">
        <v>251</v>
      </c>
      <c r="D129" s="10"/>
      <c r="E129" s="10"/>
      <c r="F129" s="10"/>
      <c r="G129" s="16" t="s">
        <v>167</v>
      </c>
      <c r="H129" s="18" t="s">
        <v>166</v>
      </c>
      <c r="I129" s="17">
        <f t="shared" si="1"/>
        <v>39</v>
      </c>
      <c r="J129" s="10" t="s">
        <v>254</v>
      </c>
      <c r="K129" s="18" t="s">
        <v>461</v>
      </c>
      <c r="L129" s="18" t="s">
        <v>461</v>
      </c>
      <c r="M129" s="8">
        <v>10.0</v>
      </c>
      <c r="N129" s="8">
        <v>10.0</v>
      </c>
      <c r="O129" s="17">
        <v>4.41899E7</v>
      </c>
      <c r="P129" s="17">
        <v>1.0</v>
      </c>
      <c r="Q129" s="18" t="s">
        <v>256</v>
      </c>
      <c r="R129" s="19">
        <v>4148.387118644067</v>
      </c>
      <c r="S129" s="8">
        <f t="shared" si="18"/>
        <v>7500</v>
      </c>
      <c r="T129" s="21"/>
      <c r="U129" s="10"/>
    </row>
    <row r="130">
      <c r="A130" s="10" t="s">
        <v>249</v>
      </c>
      <c r="B130" s="10" t="s">
        <v>250</v>
      </c>
      <c r="C130" s="10" t="s">
        <v>251</v>
      </c>
      <c r="D130" s="10"/>
      <c r="E130" s="10"/>
      <c r="F130" s="10"/>
      <c r="G130" s="16" t="s">
        <v>204</v>
      </c>
      <c r="H130" s="18" t="s">
        <v>203</v>
      </c>
      <c r="I130" s="17">
        <f t="shared" si="1"/>
        <v>40</v>
      </c>
      <c r="J130" s="10" t="s">
        <v>254</v>
      </c>
      <c r="K130" s="18" t="s">
        <v>464</v>
      </c>
      <c r="L130" s="18" t="s">
        <v>464</v>
      </c>
      <c r="M130" s="8">
        <v>2.5</v>
      </c>
      <c r="N130" s="8">
        <v>2.5</v>
      </c>
      <c r="O130" s="17">
        <v>4.41899E7</v>
      </c>
      <c r="P130" s="17">
        <v>1.0</v>
      </c>
      <c r="Q130" s="18" t="s">
        <v>256</v>
      </c>
      <c r="R130" s="19">
        <v>1014.5505084745764</v>
      </c>
      <c r="S130" s="8">
        <v>2500.0</v>
      </c>
      <c r="T130" s="21"/>
      <c r="U130" s="10"/>
    </row>
    <row r="131">
      <c r="A131" s="10" t="s">
        <v>249</v>
      </c>
      <c r="B131" s="10" t="s">
        <v>250</v>
      </c>
      <c r="C131" s="10" t="s">
        <v>251</v>
      </c>
      <c r="D131" s="10"/>
      <c r="E131" s="10"/>
      <c r="F131" s="10"/>
      <c r="G131" s="16" t="s">
        <v>175</v>
      </c>
      <c r="H131" s="18" t="s">
        <v>174</v>
      </c>
      <c r="I131" s="17">
        <f t="shared" si="1"/>
        <v>40</v>
      </c>
      <c r="J131" s="10" t="s">
        <v>254</v>
      </c>
      <c r="K131" s="18" t="s">
        <v>464</v>
      </c>
      <c r="L131" s="18" t="s">
        <v>464</v>
      </c>
      <c r="M131" s="8">
        <v>2.5</v>
      </c>
      <c r="N131" s="8">
        <v>2.5</v>
      </c>
      <c r="O131" s="17">
        <v>4.41899E7</v>
      </c>
      <c r="P131" s="17">
        <v>1.0</v>
      </c>
      <c r="Q131" s="18" t="s">
        <v>256</v>
      </c>
      <c r="R131" s="19">
        <v>1014.5505084745764</v>
      </c>
      <c r="S131" s="8">
        <v>2500.0</v>
      </c>
      <c r="T131" s="21"/>
      <c r="U131" s="10"/>
    </row>
    <row r="132">
      <c r="A132" s="10" t="s">
        <v>249</v>
      </c>
      <c r="B132" s="10" t="s">
        <v>250</v>
      </c>
      <c r="C132" s="10" t="s">
        <v>251</v>
      </c>
      <c r="D132" s="10"/>
      <c r="E132" s="10"/>
      <c r="F132" s="10"/>
      <c r="G132" s="16" t="s">
        <v>165</v>
      </c>
      <c r="H132" s="18" t="s">
        <v>164</v>
      </c>
      <c r="I132" s="17">
        <f t="shared" si="1"/>
        <v>32</v>
      </c>
      <c r="J132" s="10" t="s">
        <v>254</v>
      </c>
      <c r="K132" s="18" t="s">
        <v>461</v>
      </c>
      <c r="L132" s="18" t="s">
        <v>461</v>
      </c>
      <c r="M132" s="8">
        <v>10.0</v>
      </c>
      <c r="N132" s="8">
        <v>10.0</v>
      </c>
      <c r="O132" s="17">
        <v>4.41899E7</v>
      </c>
      <c r="P132" s="17">
        <v>1.0</v>
      </c>
      <c r="Q132" s="18" t="s">
        <v>256</v>
      </c>
      <c r="R132" s="19">
        <v>4148.387118644067</v>
      </c>
      <c r="S132" s="8">
        <f t="shared" ref="S132:S133" si="19">7500</f>
        <v>7500</v>
      </c>
      <c r="T132" s="21"/>
      <c r="U132" s="10"/>
    </row>
    <row r="133">
      <c r="A133" s="10" t="s">
        <v>249</v>
      </c>
      <c r="B133" s="10" t="s">
        <v>250</v>
      </c>
      <c r="C133" s="10" t="s">
        <v>251</v>
      </c>
      <c r="D133" s="10"/>
      <c r="E133" s="10"/>
      <c r="F133" s="10"/>
      <c r="G133" s="16" t="s">
        <v>161</v>
      </c>
      <c r="H133" s="18" t="s">
        <v>160</v>
      </c>
      <c r="I133" s="17">
        <f t="shared" si="1"/>
        <v>39</v>
      </c>
      <c r="J133" s="10" t="s">
        <v>254</v>
      </c>
      <c r="K133" s="18" t="s">
        <v>461</v>
      </c>
      <c r="L133" s="18" t="s">
        <v>461</v>
      </c>
      <c r="M133" s="8">
        <v>10.0</v>
      </c>
      <c r="N133" s="8">
        <v>10.0</v>
      </c>
      <c r="O133" s="17">
        <v>4.41899E7</v>
      </c>
      <c r="P133" s="17">
        <v>1.0</v>
      </c>
      <c r="Q133" s="18" t="s">
        <v>256</v>
      </c>
      <c r="R133" s="19">
        <v>4148.387118644067</v>
      </c>
      <c r="S133" s="8">
        <f t="shared" si="19"/>
        <v>7500</v>
      </c>
      <c r="T133" s="21"/>
      <c r="U133" s="10"/>
    </row>
    <row r="134">
      <c r="A134" s="10" t="s">
        <v>249</v>
      </c>
      <c r="B134" s="10" t="s">
        <v>250</v>
      </c>
      <c r="C134" s="10" t="s">
        <v>251</v>
      </c>
      <c r="D134" s="10"/>
      <c r="E134" s="10"/>
      <c r="F134" s="10"/>
      <c r="G134" s="16" t="s">
        <v>173</v>
      </c>
      <c r="H134" s="18" t="s">
        <v>172</v>
      </c>
      <c r="I134" s="17">
        <f t="shared" si="1"/>
        <v>40</v>
      </c>
      <c r="J134" s="10" t="s">
        <v>254</v>
      </c>
      <c r="K134" s="18" t="s">
        <v>464</v>
      </c>
      <c r="L134" s="18" t="s">
        <v>464</v>
      </c>
      <c r="M134" s="8">
        <v>2.5</v>
      </c>
      <c r="N134" s="8">
        <v>2.5</v>
      </c>
      <c r="O134" s="17">
        <v>4.41899E7</v>
      </c>
      <c r="P134" s="17">
        <v>1.0</v>
      </c>
      <c r="Q134" s="18" t="s">
        <v>256</v>
      </c>
      <c r="R134" s="19">
        <v>1014.5505084745764</v>
      </c>
      <c r="S134" s="8">
        <v>2500.0</v>
      </c>
      <c r="T134" s="21"/>
      <c r="U134" s="10"/>
    </row>
    <row r="135">
      <c r="A135" s="10" t="s">
        <v>249</v>
      </c>
      <c r="B135" s="10" t="s">
        <v>250</v>
      </c>
      <c r="C135" s="10" t="s">
        <v>251</v>
      </c>
      <c r="D135" s="10"/>
      <c r="E135" s="10"/>
      <c r="F135" s="10"/>
      <c r="G135" s="16" t="s">
        <v>483</v>
      </c>
      <c r="H135" s="18" t="s">
        <v>484</v>
      </c>
      <c r="I135" s="17">
        <f t="shared" si="1"/>
        <v>39</v>
      </c>
      <c r="J135" s="10" t="s">
        <v>254</v>
      </c>
      <c r="K135" s="18" t="s">
        <v>464</v>
      </c>
      <c r="L135" s="18" t="s">
        <v>464</v>
      </c>
      <c r="M135" s="8">
        <v>2.5</v>
      </c>
      <c r="N135" s="8">
        <v>2.5</v>
      </c>
      <c r="O135" s="17">
        <v>4.41899E7</v>
      </c>
      <c r="P135" s="17">
        <v>1.0</v>
      </c>
      <c r="Q135" s="18" t="s">
        <v>256</v>
      </c>
      <c r="R135" s="19">
        <v>1014.5505084745764</v>
      </c>
      <c r="S135" s="8">
        <v>2500.0</v>
      </c>
      <c r="T135" s="21"/>
      <c r="U135" s="10"/>
    </row>
    <row r="136">
      <c r="A136" s="10" t="s">
        <v>249</v>
      </c>
      <c r="B136" s="10" t="s">
        <v>250</v>
      </c>
      <c r="C136" s="10" t="s">
        <v>251</v>
      </c>
      <c r="D136" s="10"/>
      <c r="E136" s="10"/>
      <c r="F136" s="10"/>
      <c r="G136" s="16" t="s">
        <v>485</v>
      </c>
      <c r="H136" s="18" t="s">
        <v>486</v>
      </c>
      <c r="I136" s="17">
        <f t="shared" si="1"/>
        <v>36</v>
      </c>
      <c r="J136" s="10" t="s">
        <v>254</v>
      </c>
      <c r="K136" s="18" t="s">
        <v>461</v>
      </c>
      <c r="L136" s="18" t="s">
        <v>461</v>
      </c>
      <c r="M136" s="8">
        <v>10.0</v>
      </c>
      <c r="N136" s="8">
        <v>10.0</v>
      </c>
      <c r="O136" s="17">
        <v>4.41899E7</v>
      </c>
      <c r="P136" s="17">
        <v>1.0</v>
      </c>
      <c r="Q136" s="18" t="s">
        <v>256</v>
      </c>
      <c r="R136" s="19">
        <v>4148.387118644067</v>
      </c>
      <c r="S136" s="8">
        <f>7500</f>
        <v>7500</v>
      </c>
      <c r="T136" s="21"/>
      <c r="U136" s="10"/>
    </row>
    <row r="137">
      <c r="A137" s="10" t="s">
        <v>249</v>
      </c>
      <c r="B137" s="10" t="s">
        <v>250</v>
      </c>
      <c r="C137" s="10" t="s">
        <v>251</v>
      </c>
      <c r="D137" s="10"/>
      <c r="E137" s="10"/>
      <c r="F137" s="10"/>
      <c r="G137" s="16" t="s">
        <v>202</v>
      </c>
      <c r="H137" s="18" t="s">
        <v>201</v>
      </c>
      <c r="I137" s="17">
        <f t="shared" si="1"/>
        <v>39</v>
      </c>
      <c r="J137" s="10" t="s">
        <v>254</v>
      </c>
      <c r="K137" s="18" t="s">
        <v>464</v>
      </c>
      <c r="L137" s="18" t="s">
        <v>464</v>
      </c>
      <c r="M137" s="8">
        <v>2.5</v>
      </c>
      <c r="N137" s="8">
        <v>2.5</v>
      </c>
      <c r="O137" s="17">
        <v>4.41899E7</v>
      </c>
      <c r="P137" s="17">
        <v>1.0</v>
      </c>
      <c r="Q137" s="18" t="s">
        <v>256</v>
      </c>
      <c r="R137" s="19">
        <v>1014.5505084745764</v>
      </c>
      <c r="S137" s="8">
        <v>2500.0</v>
      </c>
      <c r="T137" s="21"/>
      <c r="U137" s="10"/>
    </row>
    <row r="138">
      <c r="A138" s="10" t="s">
        <v>249</v>
      </c>
      <c r="B138" s="10" t="s">
        <v>250</v>
      </c>
      <c r="C138" s="10" t="s">
        <v>251</v>
      </c>
      <c r="D138" s="10"/>
      <c r="E138" s="10"/>
      <c r="F138" s="10"/>
      <c r="G138" s="16" t="s">
        <v>487</v>
      </c>
      <c r="H138" s="18" t="s">
        <v>488</v>
      </c>
      <c r="I138" s="17">
        <f t="shared" si="1"/>
        <v>37</v>
      </c>
      <c r="J138" s="10" t="s">
        <v>254</v>
      </c>
      <c r="K138" s="18" t="s">
        <v>461</v>
      </c>
      <c r="L138" s="18" t="s">
        <v>461</v>
      </c>
      <c r="M138" s="8">
        <v>10.0</v>
      </c>
      <c r="N138" s="8">
        <v>10.0</v>
      </c>
      <c r="O138" s="17">
        <v>4.41899E7</v>
      </c>
      <c r="P138" s="17">
        <v>1.0</v>
      </c>
      <c r="Q138" s="18" t="s">
        <v>256</v>
      </c>
      <c r="R138" s="19">
        <v>4148.387118644067</v>
      </c>
      <c r="S138" s="8">
        <f t="shared" ref="S138:S139" si="20">7500</f>
        <v>7500</v>
      </c>
      <c r="T138" s="21"/>
      <c r="U138" s="10"/>
    </row>
    <row r="139">
      <c r="A139" s="10" t="s">
        <v>249</v>
      </c>
      <c r="B139" s="10" t="s">
        <v>250</v>
      </c>
      <c r="C139" s="10" t="s">
        <v>251</v>
      </c>
      <c r="D139" s="10"/>
      <c r="E139" s="10"/>
      <c r="F139" s="10"/>
      <c r="G139" s="16" t="s">
        <v>159</v>
      </c>
      <c r="H139" s="18" t="s">
        <v>158</v>
      </c>
      <c r="I139" s="17">
        <f t="shared" si="1"/>
        <v>37</v>
      </c>
      <c r="J139" s="10" t="s">
        <v>254</v>
      </c>
      <c r="K139" s="18" t="s">
        <v>461</v>
      </c>
      <c r="L139" s="18" t="s">
        <v>461</v>
      </c>
      <c r="M139" s="8">
        <v>10.0</v>
      </c>
      <c r="N139" s="8">
        <v>10.0</v>
      </c>
      <c r="O139" s="17">
        <v>4.41899E7</v>
      </c>
      <c r="P139" s="17">
        <v>1.0</v>
      </c>
      <c r="Q139" s="18" t="s">
        <v>256</v>
      </c>
      <c r="R139" s="19">
        <v>4148.387118644067</v>
      </c>
      <c r="S139" s="8">
        <f t="shared" si="20"/>
        <v>7500</v>
      </c>
      <c r="T139" s="21"/>
      <c r="U139" s="10"/>
    </row>
    <row r="140">
      <c r="A140" s="10" t="s">
        <v>249</v>
      </c>
      <c r="B140" s="10" t="s">
        <v>250</v>
      </c>
      <c r="C140" s="10" t="s">
        <v>251</v>
      </c>
      <c r="D140" s="10"/>
      <c r="E140" s="10"/>
      <c r="F140" s="10"/>
      <c r="G140" s="16" t="s">
        <v>489</v>
      </c>
      <c r="H140" s="18" t="s">
        <v>490</v>
      </c>
      <c r="I140" s="17">
        <f t="shared" si="1"/>
        <v>40</v>
      </c>
      <c r="J140" s="10" t="s">
        <v>254</v>
      </c>
      <c r="K140" s="18" t="s">
        <v>464</v>
      </c>
      <c r="L140" s="18" t="s">
        <v>464</v>
      </c>
      <c r="M140" s="8">
        <v>2.5</v>
      </c>
      <c r="N140" s="8">
        <v>2.5</v>
      </c>
      <c r="O140" s="17">
        <v>4.41899E7</v>
      </c>
      <c r="P140" s="17">
        <v>1.0</v>
      </c>
      <c r="Q140" s="18" t="s">
        <v>256</v>
      </c>
      <c r="R140" s="19">
        <v>1014.5505084745764</v>
      </c>
      <c r="S140" s="8">
        <v>2500.0</v>
      </c>
      <c r="T140" s="21"/>
      <c r="U140" s="10"/>
    </row>
    <row r="141">
      <c r="A141" s="10" t="s">
        <v>249</v>
      </c>
      <c r="B141" s="10" t="s">
        <v>250</v>
      </c>
      <c r="C141" s="10" t="s">
        <v>251</v>
      </c>
      <c r="D141" s="10"/>
      <c r="E141" s="10"/>
      <c r="F141" s="10"/>
      <c r="G141" s="16" t="s">
        <v>192</v>
      </c>
      <c r="H141" s="18" t="s">
        <v>191</v>
      </c>
      <c r="I141" s="17">
        <f t="shared" si="1"/>
        <v>34</v>
      </c>
      <c r="J141" s="10" t="s">
        <v>254</v>
      </c>
      <c r="K141" s="18" t="s">
        <v>464</v>
      </c>
      <c r="L141" s="18" t="s">
        <v>464</v>
      </c>
      <c r="M141" s="8">
        <v>2.5</v>
      </c>
      <c r="N141" s="8">
        <v>2.5</v>
      </c>
      <c r="O141" s="17">
        <v>4.41899E7</v>
      </c>
      <c r="P141" s="17">
        <v>1.0</v>
      </c>
      <c r="Q141" s="18" t="s">
        <v>256</v>
      </c>
      <c r="R141" s="19">
        <v>1087.0237288135593</v>
      </c>
      <c r="S141" s="8">
        <v>2500.0</v>
      </c>
      <c r="T141" s="21"/>
      <c r="U141" s="10"/>
    </row>
    <row r="142">
      <c r="A142" s="10" t="s">
        <v>249</v>
      </c>
      <c r="B142" s="10" t="s">
        <v>250</v>
      </c>
      <c r="C142" s="10" t="s">
        <v>251</v>
      </c>
      <c r="D142" s="10"/>
      <c r="E142" s="10"/>
      <c r="F142" s="10"/>
      <c r="G142" s="16" t="s">
        <v>491</v>
      </c>
      <c r="H142" s="18" t="s">
        <v>492</v>
      </c>
      <c r="I142" s="17">
        <f t="shared" si="1"/>
        <v>31</v>
      </c>
      <c r="J142" s="10" t="s">
        <v>254</v>
      </c>
      <c r="K142" s="18" t="s">
        <v>461</v>
      </c>
      <c r="L142" s="18" t="s">
        <v>461</v>
      </c>
      <c r="M142" s="8">
        <v>10.0</v>
      </c>
      <c r="N142" s="8">
        <v>10.0</v>
      </c>
      <c r="O142" s="17">
        <v>4.41899E7</v>
      </c>
      <c r="P142" s="17">
        <v>1.0</v>
      </c>
      <c r="Q142" s="18" t="s">
        <v>256</v>
      </c>
      <c r="R142" s="19">
        <v>4444.701016949152</v>
      </c>
      <c r="S142" s="8">
        <f>7500</f>
        <v>7500</v>
      </c>
      <c r="T142" s="21"/>
      <c r="U142" s="10"/>
    </row>
    <row r="143">
      <c r="A143" s="10" t="s">
        <v>249</v>
      </c>
      <c r="B143" s="10" t="s">
        <v>250</v>
      </c>
      <c r="C143" s="10" t="s">
        <v>251</v>
      </c>
      <c r="D143" s="10"/>
      <c r="E143" s="10"/>
      <c r="F143" s="10"/>
      <c r="G143" s="16" t="s">
        <v>493</v>
      </c>
      <c r="H143" s="18" t="s">
        <v>494</v>
      </c>
      <c r="I143" s="17">
        <f t="shared" si="1"/>
        <v>39</v>
      </c>
      <c r="J143" s="10" t="s">
        <v>254</v>
      </c>
      <c r="K143" s="18" t="s">
        <v>464</v>
      </c>
      <c r="L143" s="18" t="s">
        <v>464</v>
      </c>
      <c r="M143" s="8">
        <v>2.5</v>
      </c>
      <c r="N143" s="8">
        <v>2.5</v>
      </c>
      <c r="O143" s="17">
        <v>4.41899E7</v>
      </c>
      <c r="P143" s="17">
        <v>1.0</v>
      </c>
      <c r="Q143" s="18" t="s">
        <v>256</v>
      </c>
      <c r="R143" s="19">
        <v>1087.0237288135593</v>
      </c>
      <c r="S143" s="8">
        <v>2500.0</v>
      </c>
      <c r="T143" s="21"/>
      <c r="U143" s="10"/>
    </row>
    <row r="144">
      <c r="A144" s="10" t="s">
        <v>249</v>
      </c>
      <c r="B144" s="10" t="s">
        <v>250</v>
      </c>
      <c r="C144" s="10" t="s">
        <v>251</v>
      </c>
      <c r="D144" s="10"/>
      <c r="E144" s="10"/>
      <c r="F144" s="10"/>
      <c r="G144" s="16" t="s">
        <v>495</v>
      </c>
      <c r="H144" s="18" t="s">
        <v>496</v>
      </c>
      <c r="I144" s="17">
        <f t="shared" si="1"/>
        <v>39</v>
      </c>
      <c r="J144" s="10" t="s">
        <v>254</v>
      </c>
      <c r="K144" s="18" t="s">
        <v>461</v>
      </c>
      <c r="L144" s="18" t="s">
        <v>461</v>
      </c>
      <c r="M144" s="8">
        <v>10.0</v>
      </c>
      <c r="N144" s="8">
        <v>10.0</v>
      </c>
      <c r="O144" s="17">
        <v>4.41899E7</v>
      </c>
      <c r="P144" s="17">
        <v>1.0</v>
      </c>
      <c r="Q144" s="18" t="s">
        <v>256</v>
      </c>
      <c r="R144" s="19">
        <v>4444.701016949152</v>
      </c>
      <c r="S144" s="8">
        <f t="shared" ref="S144:S145" si="21">7500</f>
        <v>7500</v>
      </c>
      <c r="T144" s="21"/>
      <c r="U144" s="10"/>
    </row>
    <row r="145">
      <c r="A145" s="10" t="s">
        <v>249</v>
      </c>
      <c r="B145" s="10" t="s">
        <v>250</v>
      </c>
      <c r="C145" s="10" t="s">
        <v>251</v>
      </c>
      <c r="D145" s="10"/>
      <c r="E145" s="10"/>
      <c r="F145" s="10"/>
      <c r="G145" s="16" t="s">
        <v>497</v>
      </c>
      <c r="H145" s="18" t="s">
        <v>498</v>
      </c>
      <c r="I145" s="17">
        <f t="shared" si="1"/>
        <v>37</v>
      </c>
      <c r="J145" s="10" t="s">
        <v>254</v>
      </c>
      <c r="K145" s="18" t="s">
        <v>461</v>
      </c>
      <c r="L145" s="18" t="s">
        <v>461</v>
      </c>
      <c r="M145" s="8">
        <v>10.0</v>
      </c>
      <c r="N145" s="8">
        <v>10.0</v>
      </c>
      <c r="O145" s="17">
        <v>4.41899E7</v>
      </c>
      <c r="P145" s="17">
        <v>1.0</v>
      </c>
      <c r="Q145" s="18" t="s">
        <v>256</v>
      </c>
      <c r="R145" s="19">
        <v>4148.387118644067</v>
      </c>
      <c r="S145" s="8">
        <f t="shared" si="21"/>
        <v>7500</v>
      </c>
      <c r="T145" s="21"/>
      <c r="U145" s="10"/>
    </row>
    <row r="146">
      <c r="A146" s="10" t="s">
        <v>249</v>
      </c>
      <c r="B146" s="10" t="s">
        <v>250</v>
      </c>
      <c r="C146" s="10" t="s">
        <v>251</v>
      </c>
      <c r="D146" s="10"/>
      <c r="E146" s="10"/>
      <c r="F146" s="10"/>
      <c r="G146" s="16" t="s">
        <v>499</v>
      </c>
      <c r="H146" s="18" t="s">
        <v>500</v>
      </c>
      <c r="I146" s="17">
        <f t="shared" si="1"/>
        <v>40</v>
      </c>
      <c r="J146" s="10" t="s">
        <v>254</v>
      </c>
      <c r="K146" s="18" t="s">
        <v>464</v>
      </c>
      <c r="L146" s="18" t="s">
        <v>464</v>
      </c>
      <c r="M146" s="8">
        <v>2.5</v>
      </c>
      <c r="N146" s="8">
        <v>2.5</v>
      </c>
      <c r="O146" s="17">
        <v>4.41899E7</v>
      </c>
      <c r="P146" s="17">
        <v>1.0</v>
      </c>
      <c r="Q146" s="18" t="s">
        <v>256</v>
      </c>
      <c r="R146" s="19">
        <v>1014.5505084745764</v>
      </c>
      <c r="S146" s="8">
        <v>2500.0</v>
      </c>
      <c r="T146" s="21"/>
      <c r="U146" s="10"/>
    </row>
    <row r="147">
      <c r="A147" s="10" t="s">
        <v>249</v>
      </c>
      <c r="B147" s="10" t="s">
        <v>250</v>
      </c>
      <c r="C147" s="10" t="s">
        <v>251</v>
      </c>
      <c r="D147" s="10"/>
      <c r="E147" s="10"/>
      <c r="F147" s="10"/>
      <c r="G147" s="16" t="s">
        <v>501</v>
      </c>
      <c r="H147" s="18" t="s">
        <v>502</v>
      </c>
      <c r="I147" s="17">
        <f t="shared" si="1"/>
        <v>39</v>
      </c>
      <c r="J147" s="10" t="s">
        <v>254</v>
      </c>
      <c r="K147" s="18" t="s">
        <v>460</v>
      </c>
      <c r="L147" s="18" t="s">
        <v>460</v>
      </c>
      <c r="M147" s="8">
        <v>10.0</v>
      </c>
      <c r="N147" s="8">
        <v>10.0</v>
      </c>
      <c r="O147" s="17">
        <v>4.412339E7</v>
      </c>
      <c r="P147" s="17">
        <v>1.0</v>
      </c>
      <c r="Q147" s="18" t="s">
        <v>256</v>
      </c>
      <c r="R147" s="19">
        <v>2796.6101694915255</v>
      </c>
      <c r="S147" s="8">
        <f t="shared" ref="S147:S148" si="22">7500</f>
        <v>7500</v>
      </c>
      <c r="T147" s="21"/>
      <c r="U147" s="10"/>
    </row>
    <row r="148">
      <c r="A148" s="10" t="s">
        <v>249</v>
      </c>
      <c r="B148" s="10" t="s">
        <v>250</v>
      </c>
      <c r="C148" s="10" t="s">
        <v>251</v>
      </c>
      <c r="D148" s="10"/>
      <c r="E148" s="10"/>
      <c r="F148" s="10"/>
      <c r="G148" s="16" t="s">
        <v>503</v>
      </c>
      <c r="H148" s="18" t="s">
        <v>504</v>
      </c>
      <c r="I148" s="17">
        <f t="shared" si="1"/>
        <v>39</v>
      </c>
      <c r="J148" s="10" t="s">
        <v>254</v>
      </c>
      <c r="K148" s="18" t="s">
        <v>461</v>
      </c>
      <c r="L148" s="18" t="s">
        <v>461</v>
      </c>
      <c r="M148" s="8">
        <v>10.0</v>
      </c>
      <c r="N148" s="8">
        <v>10.0</v>
      </c>
      <c r="O148" s="17">
        <v>4.41899E7</v>
      </c>
      <c r="P148" s="17">
        <v>1.0</v>
      </c>
      <c r="Q148" s="18" t="s">
        <v>256</v>
      </c>
      <c r="R148" s="19">
        <v>4444.701016949152</v>
      </c>
      <c r="S148" s="8">
        <f t="shared" si="22"/>
        <v>7500</v>
      </c>
      <c r="T148" s="21"/>
      <c r="U148" s="10"/>
    </row>
    <row r="149">
      <c r="A149" s="10" t="s">
        <v>249</v>
      </c>
      <c r="B149" s="10" t="s">
        <v>250</v>
      </c>
      <c r="C149" s="10" t="s">
        <v>251</v>
      </c>
      <c r="D149" s="10"/>
      <c r="E149" s="10"/>
      <c r="F149" s="10"/>
      <c r="G149" s="16" t="s">
        <v>505</v>
      </c>
      <c r="H149" s="18" t="s">
        <v>506</v>
      </c>
      <c r="I149" s="17">
        <f t="shared" si="1"/>
        <v>40</v>
      </c>
      <c r="J149" s="10" t="s">
        <v>254</v>
      </c>
      <c r="K149" s="18" t="s">
        <v>464</v>
      </c>
      <c r="L149" s="18" t="s">
        <v>464</v>
      </c>
      <c r="M149" s="8">
        <v>2.5</v>
      </c>
      <c r="N149" s="8">
        <v>2.5</v>
      </c>
      <c r="O149" s="17">
        <v>4.41899E7</v>
      </c>
      <c r="P149" s="17">
        <v>1.0</v>
      </c>
      <c r="Q149" s="18" t="s">
        <v>256</v>
      </c>
      <c r="R149" s="19">
        <v>1087.0237288135593</v>
      </c>
      <c r="S149" s="8">
        <v>2500.0</v>
      </c>
      <c r="T149" s="21"/>
      <c r="U149" s="10"/>
    </row>
    <row r="150">
      <c r="A150" s="10" t="s">
        <v>249</v>
      </c>
      <c r="B150" s="10" t="s">
        <v>250</v>
      </c>
      <c r="C150" s="10" t="s">
        <v>251</v>
      </c>
      <c r="D150" s="10"/>
      <c r="E150" s="10"/>
      <c r="F150" s="10"/>
      <c r="G150" s="16" t="s">
        <v>507</v>
      </c>
      <c r="H150" s="18" t="s">
        <v>508</v>
      </c>
      <c r="I150" s="17">
        <f t="shared" si="1"/>
        <v>40</v>
      </c>
      <c r="J150" s="10" t="s">
        <v>254</v>
      </c>
      <c r="K150" s="18" t="s">
        <v>464</v>
      </c>
      <c r="L150" s="18" t="s">
        <v>464</v>
      </c>
      <c r="M150" s="8">
        <v>2.5</v>
      </c>
      <c r="N150" s="8">
        <v>2.5</v>
      </c>
      <c r="O150" s="17">
        <v>4.41899E7</v>
      </c>
      <c r="P150" s="17">
        <v>1.0</v>
      </c>
      <c r="Q150" s="18" t="s">
        <v>256</v>
      </c>
      <c r="R150" s="19">
        <v>1014.5505084745764</v>
      </c>
      <c r="S150" s="8">
        <v>2500.0</v>
      </c>
      <c r="T150" s="21"/>
      <c r="U150" s="10"/>
    </row>
    <row r="151">
      <c r="A151" s="10" t="s">
        <v>249</v>
      </c>
      <c r="B151" s="10" t="s">
        <v>250</v>
      </c>
      <c r="C151" s="10" t="s">
        <v>251</v>
      </c>
      <c r="D151" s="10"/>
      <c r="E151" s="10"/>
      <c r="F151" s="10"/>
      <c r="G151" s="16" t="s">
        <v>157</v>
      </c>
      <c r="H151" s="18" t="s">
        <v>156</v>
      </c>
      <c r="I151" s="17">
        <f t="shared" si="1"/>
        <v>39</v>
      </c>
      <c r="J151" s="10" t="s">
        <v>254</v>
      </c>
      <c r="K151" s="18" t="s">
        <v>461</v>
      </c>
      <c r="L151" s="18" t="s">
        <v>461</v>
      </c>
      <c r="M151" s="8">
        <v>10.0</v>
      </c>
      <c r="N151" s="8">
        <v>10.0</v>
      </c>
      <c r="O151" s="17">
        <v>4.41899E7</v>
      </c>
      <c r="P151" s="17">
        <v>1.0</v>
      </c>
      <c r="Q151" s="18" t="s">
        <v>256</v>
      </c>
      <c r="R151" s="19">
        <v>4148.387118644067</v>
      </c>
      <c r="S151" s="8">
        <f>7500</f>
        <v>7500</v>
      </c>
      <c r="T151" s="21"/>
      <c r="U151" s="10"/>
    </row>
    <row r="152">
      <c r="A152" s="10" t="s">
        <v>249</v>
      </c>
      <c r="B152" s="10" t="s">
        <v>250</v>
      </c>
      <c r="C152" s="10" t="s">
        <v>251</v>
      </c>
      <c r="D152" s="10"/>
      <c r="E152" s="10"/>
      <c r="F152" s="10"/>
      <c r="G152" s="16" t="s">
        <v>509</v>
      </c>
      <c r="H152" s="18" t="s">
        <v>510</v>
      </c>
      <c r="I152" s="17">
        <f t="shared" si="1"/>
        <v>40</v>
      </c>
      <c r="J152" s="10" t="s">
        <v>254</v>
      </c>
      <c r="K152" s="18" t="s">
        <v>464</v>
      </c>
      <c r="L152" s="18" t="s">
        <v>464</v>
      </c>
      <c r="M152" s="8">
        <v>2.5</v>
      </c>
      <c r="N152" s="8">
        <v>2.5</v>
      </c>
      <c r="O152" s="17">
        <v>4.41899E7</v>
      </c>
      <c r="P152" s="17">
        <v>1.0</v>
      </c>
      <c r="Q152" s="18" t="s">
        <v>256</v>
      </c>
      <c r="R152" s="19">
        <v>1014.5505084745764</v>
      </c>
      <c r="S152" s="8">
        <v>2500.0</v>
      </c>
      <c r="T152" s="21"/>
      <c r="U152" s="10"/>
    </row>
    <row r="153">
      <c r="A153" s="10" t="s">
        <v>249</v>
      </c>
      <c r="B153" s="10" t="s">
        <v>250</v>
      </c>
      <c r="C153" s="10" t="s">
        <v>251</v>
      </c>
      <c r="D153" s="10"/>
      <c r="E153" s="10"/>
      <c r="F153" s="10"/>
      <c r="G153" s="16" t="s">
        <v>183</v>
      </c>
      <c r="H153" s="18" t="s">
        <v>182</v>
      </c>
      <c r="I153" s="17">
        <f t="shared" si="1"/>
        <v>39</v>
      </c>
      <c r="J153" s="10" t="s">
        <v>254</v>
      </c>
      <c r="K153" s="18" t="s">
        <v>461</v>
      </c>
      <c r="L153" s="18" t="s">
        <v>461</v>
      </c>
      <c r="M153" s="8">
        <v>10.0</v>
      </c>
      <c r="N153" s="8">
        <v>10.0</v>
      </c>
      <c r="O153" s="17">
        <v>4.41899E7</v>
      </c>
      <c r="P153" s="17">
        <v>1.0</v>
      </c>
      <c r="Q153" s="18" t="s">
        <v>256</v>
      </c>
      <c r="R153" s="19">
        <v>4148.387118644067</v>
      </c>
      <c r="S153" s="8">
        <f t="shared" ref="S153:S154" si="23">7500</f>
        <v>7500</v>
      </c>
      <c r="T153" s="21"/>
      <c r="U153" s="10"/>
    </row>
    <row r="154">
      <c r="A154" s="10" t="s">
        <v>249</v>
      </c>
      <c r="B154" s="10" t="s">
        <v>250</v>
      </c>
      <c r="C154" s="10" t="s">
        <v>251</v>
      </c>
      <c r="D154" s="10"/>
      <c r="E154" s="10"/>
      <c r="F154" s="10"/>
      <c r="G154" s="16" t="s">
        <v>163</v>
      </c>
      <c r="H154" s="18" t="s">
        <v>162</v>
      </c>
      <c r="I154" s="17">
        <f t="shared" si="1"/>
        <v>39</v>
      </c>
      <c r="J154" s="10" t="s">
        <v>254</v>
      </c>
      <c r="K154" s="18" t="s">
        <v>461</v>
      </c>
      <c r="L154" s="18" t="s">
        <v>461</v>
      </c>
      <c r="M154" s="8">
        <v>10.0</v>
      </c>
      <c r="N154" s="8">
        <v>10.0</v>
      </c>
      <c r="O154" s="17">
        <v>4.41899E7</v>
      </c>
      <c r="P154" s="17">
        <v>1.0</v>
      </c>
      <c r="Q154" s="18" t="s">
        <v>256</v>
      </c>
      <c r="R154" s="19">
        <v>4148.387118644067</v>
      </c>
      <c r="S154" s="8">
        <f t="shared" si="23"/>
        <v>7500</v>
      </c>
      <c r="T154" s="21"/>
      <c r="U154" s="10"/>
    </row>
    <row r="155">
      <c r="A155" s="10" t="s">
        <v>249</v>
      </c>
      <c r="B155" s="10" t="s">
        <v>250</v>
      </c>
      <c r="C155" s="10" t="s">
        <v>251</v>
      </c>
      <c r="D155" s="10"/>
      <c r="E155" s="10"/>
      <c r="F155" s="10"/>
      <c r="G155" s="16" t="s">
        <v>196</v>
      </c>
      <c r="H155" s="18" t="s">
        <v>195</v>
      </c>
      <c r="I155" s="17">
        <f t="shared" si="1"/>
        <v>40</v>
      </c>
      <c r="J155" s="10" t="s">
        <v>254</v>
      </c>
      <c r="K155" s="18" t="s">
        <v>464</v>
      </c>
      <c r="L155" s="18" t="s">
        <v>464</v>
      </c>
      <c r="M155" s="8">
        <v>2.5</v>
      </c>
      <c r="N155" s="8">
        <v>2.5</v>
      </c>
      <c r="O155" s="17">
        <v>4.41899E7</v>
      </c>
      <c r="P155" s="17">
        <v>1.0</v>
      </c>
      <c r="Q155" s="18" t="s">
        <v>256</v>
      </c>
      <c r="R155" s="19">
        <v>1014.5505084745764</v>
      </c>
      <c r="S155" s="8">
        <v>2500.0</v>
      </c>
      <c r="T155" s="21"/>
      <c r="U155" s="10"/>
    </row>
    <row r="156">
      <c r="A156" s="10" t="s">
        <v>249</v>
      </c>
      <c r="B156" s="10" t="s">
        <v>250</v>
      </c>
      <c r="C156" s="10" t="s">
        <v>251</v>
      </c>
      <c r="D156" s="10"/>
      <c r="E156" s="10"/>
      <c r="F156" s="10"/>
      <c r="G156" s="16" t="s">
        <v>185</v>
      </c>
      <c r="H156" s="18" t="s">
        <v>184</v>
      </c>
      <c r="I156" s="17">
        <f t="shared" si="1"/>
        <v>38</v>
      </c>
      <c r="J156" s="10" t="s">
        <v>254</v>
      </c>
      <c r="K156" s="18" t="s">
        <v>461</v>
      </c>
      <c r="L156" s="18" t="s">
        <v>461</v>
      </c>
      <c r="M156" s="8">
        <v>10.0</v>
      </c>
      <c r="N156" s="8">
        <v>10.0</v>
      </c>
      <c r="O156" s="17">
        <v>4.41899E7</v>
      </c>
      <c r="P156" s="17">
        <v>1.0</v>
      </c>
      <c r="Q156" s="18" t="s">
        <v>256</v>
      </c>
      <c r="R156" s="19">
        <v>4148.387118644067</v>
      </c>
      <c r="S156" s="8">
        <f>7500</f>
        <v>7500</v>
      </c>
      <c r="T156" s="21"/>
      <c r="U156" s="10"/>
    </row>
    <row r="157">
      <c r="A157" s="10" t="s">
        <v>249</v>
      </c>
      <c r="B157" s="10" t="s">
        <v>250</v>
      </c>
      <c r="C157" s="10" t="s">
        <v>251</v>
      </c>
      <c r="D157" s="10"/>
      <c r="E157" s="10"/>
      <c r="F157" s="10"/>
      <c r="G157" s="16" t="s">
        <v>511</v>
      </c>
      <c r="H157" s="18" t="s">
        <v>512</v>
      </c>
      <c r="I157" s="17">
        <f t="shared" si="1"/>
        <v>40</v>
      </c>
      <c r="J157" s="10" t="s">
        <v>254</v>
      </c>
      <c r="K157" s="18" t="s">
        <v>464</v>
      </c>
      <c r="L157" s="18" t="s">
        <v>464</v>
      </c>
      <c r="M157" s="8">
        <v>2.5</v>
      </c>
      <c r="N157" s="8">
        <v>2.5</v>
      </c>
      <c r="O157" s="17">
        <v>4.41899E7</v>
      </c>
      <c r="P157" s="17">
        <v>1.0</v>
      </c>
      <c r="Q157" s="18" t="s">
        <v>256</v>
      </c>
      <c r="R157" s="19">
        <v>1014.5505084745764</v>
      </c>
      <c r="S157" s="8">
        <v>2500.0</v>
      </c>
      <c r="T157" s="21"/>
      <c r="U157" s="10"/>
    </row>
    <row r="158">
      <c r="A158" s="10" t="s">
        <v>249</v>
      </c>
      <c r="B158" s="10" t="s">
        <v>250</v>
      </c>
      <c r="C158" s="10" t="s">
        <v>251</v>
      </c>
      <c r="D158" s="10"/>
      <c r="E158" s="10"/>
      <c r="F158" s="10"/>
      <c r="G158" s="16" t="s">
        <v>513</v>
      </c>
      <c r="H158" s="18" t="s">
        <v>514</v>
      </c>
      <c r="I158" s="17">
        <f t="shared" si="1"/>
        <v>36</v>
      </c>
      <c r="J158" s="10" t="s">
        <v>254</v>
      </c>
      <c r="K158" s="18" t="s">
        <v>461</v>
      </c>
      <c r="L158" s="18" t="s">
        <v>461</v>
      </c>
      <c r="M158" s="8">
        <v>10.0</v>
      </c>
      <c r="N158" s="8">
        <v>10.0</v>
      </c>
      <c r="O158" s="17">
        <v>4.41899E7</v>
      </c>
      <c r="P158" s="17">
        <v>1.0</v>
      </c>
      <c r="Q158" s="18" t="s">
        <v>256</v>
      </c>
      <c r="R158" s="19">
        <v>4444.701016949152</v>
      </c>
      <c r="S158" s="8">
        <f>7500</f>
        <v>7500</v>
      </c>
      <c r="T158" s="21"/>
      <c r="U158" s="10"/>
    </row>
    <row r="159">
      <c r="A159" s="10" t="s">
        <v>249</v>
      </c>
      <c r="B159" s="10" t="s">
        <v>250</v>
      </c>
      <c r="C159" s="10" t="s">
        <v>251</v>
      </c>
      <c r="D159" s="10"/>
      <c r="E159" s="10"/>
      <c r="F159" s="10"/>
      <c r="G159" s="16" t="s">
        <v>515</v>
      </c>
      <c r="H159" s="18" t="s">
        <v>516</v>
      </c>
      <c r="I159" s="17">
        <f t="shared" si="1"/>
        <v>39</v>
      </c>
      <c r="J159" s="10" t="s">
        <v>254</v>
      </c>
      <c r="K159" s="18" t="s">
        <v>464</v>
      </c>
      <c r="L159" s="18" t="s">
        <v>464</v>
      </c>
      <c r="M159" s="8">
        <v>2.5</v>
      </c>
      <c r="N159" s="8">
        <v>2.5</v>
      </c>
      <c r="O159" s="17">
        <v>4.41899E7</v>
      </c>
      <c r="P159" s="17">
        <v>1.0</v>
      </c>
      <c r="Q159" s="18" t="s">
        <v>256</v>
      </c>
      <c r="R159" s="19">
        <v>1087.0237288135593</v>
      </c>
      <c r="S159" s="8">
        <v>2500.0</v>
      </c>
      <c r="T159" s="21"/>
      <c r="U159" s="10"/>
    </row>
    <row r="160">
      <c r="A160" s="10" t="s">
        <v>249</v>
      </c>
      <c r="B160" s="10" t="s">
        <v>250</v>
      </c>
      <c r="C160" s="10" t="s">
        <v>251</v>
      </c>
      <c r="D160" s="10"/>
      <c r="E160" s="10"/>
      <c r="F160" s="10"/>
      <c r="G160" s="16" t="s">
        <v>181</v>
      </c>
      <c r="H160" s="18" t="s">
        <v>180</v>
      </c>
      <c r="I160" s="17">
        <f t="shared" si="1"/>
        <v>36</v>
      </c>
      <c r="J160" s="10" t="s">
        <v>254</v>
      </c>
      <c r="K160" s="18" t="s">
        <v>461</v>
      </c>
      <c r="L160" s="18" t="s">
        <v>461</v>
      </c>
      <c r="M160" s="8">
        <v>10.0</v>
      </c>
      <c r="N160" s="8">
        <v>10.0</v>
      </c>
      <c r="O160" s="17">
        <v>4.41899E7</v>
      </c>
      <c r="P160" s="17">
        <v>1.0</v>
      </c>
      <c r="Q160" s="18" t="s">
        <v>256</v>
      </c>
      <c r="R160" s="19">
        <v>4148.387118644067</v>
      </c>
      <c r="S160" s="8">
        <f>7500</f>
        <v>7500</v>
      </c>
      <c r="T160" s="21"/>
      <c r="U160" s="10"/>
    </row>
    <row r="161">
      <c r="A161" s="10" t="s">
        <v>249</v>
      </c>
      <c r="B161" s="10" t="s">
        <v>250</v>
      </c>
      <c r="C161" s="10" t="s">
        <v>251</v>
      </c>
      <c r="D161" s="10"/>
      <c r="E161" s="10"/>
      <c r="F161" s="10"/>
      <c r="G161" s="16" t="s">
        <v>517</v>
      </c>
      <c r="H161" s="18" t="s">
        <v>518</v>
      </c>
      <c r="I161" s="17">
        <f t="shared" si="1"/>
        <v>40</v>
      </c>
      <c r="J161" s="10" t="s">
        <v>254</v>
      </c>
      <c r="K161" s="18" t="s">
        <v>464</v>
      </c>
      <c r="L161" s="18" t="s">
        <v>464</v>
      </c>
      <c r="M161" s="8">
        <v>2.5</v>
      </c>
      <c r="N161" s="8">
        <v>2.5</v>
      </c>
      <c r="O161" s="17">
        <v>4.41899E7</v>
      </c>
      <c r="P161" s="17">
        <v>1.0</v>
      </c>
      <c r="Q161" s="18" t="s">
        <v>256</v>
      </c>
      <c r="R161" s="19">
        <v>1014.5505084745764</v>
      </c>
      <c r="S161" s="8">
        <v>2500.0</v>
      </c>
      <c r="T161" s="21"/>
      <c r="U161" s="10"/>
    </row>
    <row r="162">
      <c r="A162" s="10" t="s">
        <v>249</v>
      </c>
      <c r="B162" s="10" t="s">
        <v>250</v>
      </c>
      <c r="C162" s="10" t="s">
        <v>251</v>
      </c>
      <c r="D162" s="10"/>
      <c r="E162" s="10"/>
      <c r="F162" s="10"/>
      <c r="G162" s="16" t="s">
        <v>519</v>
      </c>
      <c r="H162" s="10" t="s">
        <v>520</v>
      </c>
      <c r="I162" s="17">
        <f t="shared" si="1"/>
        <v>23</v>
      </c>
      <c r="J162" s="18" t="s">
        <v>254</v>
      </c>
      <c r="K162" s="10" t="s">
        <v>521</v>
      </c>
      <c r="L162" s="18" t="str">
        <f t="shared" ref="L162:L169" si="24">K162</f>
        <v>2438.4 x 1219.2 x 11</v>
      </c>
      <c r="M162" s="8">
        <v>10.0</v>
      </c>
      <c r="N162" s="8">
        <v>10.0</v>
      </c>
      <c r="O162" s="8">
        <v>3.92112E7</v>
      </c>
      <c r="P162" s="17">
        <v>1.0</v>
      </c>
      <c r="Q162" s="18" t="s">
        <v>256</v>
      </c>
      <c r="R162" s="19">
        <v>2050.0</v>
      </c>
      <c r="S162" s="8">
        <v>2500.0</v>
      </c>
      <c r="T162" s="21"/>
      <c r="U162" s="10"/>
    </row>
    <row r="163">
      <c r="A163" s="10" t="s">
        <v>249</v>
      </c>
      <c r="B163" s="10" t="s">
        <v>522</v>
      </c>
      <c r="C163" s="10" t="s">
        <v>251</v>
      </c>
      <c r="D163" s="10"/>
      <c r="E163" s="10"/>
      <c r="F163" s="10"/>
      <c r="G163" s="16" t="s">
        <v>523</v>
      </c>
      <c r="H163" s="10" t="s">
        <v>524</v>
      </c>
      <c r="I163" s="17">
        <f t="shared" si="1"/>
        <v>36</v>
      </c>
      <c r="J163" s="18" t="s">
        <v>254</v>
      </c>
      <c r="K163" s="10" t="s">
        <v>525</v>
      </c>
      <c r="L163" s="18" t="str">
        <f t="shared" si="24"/>
        <v>3657.6 x 50 x 25</v>
      </c>
      <c r="M163" s="8">
        <v>1.5</v>
      </c>
      <c r="N163" s="8">
        <v>1.5</v>
      </c>
      <c r="O163" s="8">
        <v>7.60421E7</v>
      </c>
      <c r="P163" s="17">
        <v>1.0</v>
      </c>
      <c r="Q163" s="18" t="s">
        <v>256</v>
      </c>
      <c r="R163" s="19">
        <v>675.0</v>
      </c>
      <c r="S163" s="8">
        <v>1000.0</v>
      </c>
      <c r="T163" s="21"/>
      <c r="U163" s="10"/>
    </row>
    <row r="164">
      <c r="A164" s="10" t="s">
        <v>249</v>
      </c>
      <c r="B164" s="10" t="s">
        <v>526</v>
      </c>
      <c r="C164" s="10" t="s">
        <v>251</v>
      </c>
      <c r="D164" s="10"/>
      <c r="E164" s="10"/>
      <c r="F164" s="10"/>
      <c r="G164" s="16" t="s">
        <v>141</v>
      </c>
      <c r="H164" s="10" t="s">
        <v>527</v>
      </c>
      <c r="I164" s="17">
        <f t="shared" si="1"/>
        <v>22</v>
      </c>
      <c r="J164" s="18" t="s">
        <v>254</v>
      </c>
      <c r="K164" s="10" t="s">
        <v>528</v>
      </c>
      <c r="L164" s="18" t="str">
        <f t="shared" si="24"/>
        <v>220 x 220 x 150</v>
      </c>
      <c r="M164" s="8">
        <v>0.2</v>
      </c>
      <c r="N164" s="8">
        <v>0.1</v>
      </c>
      <c r="O164" s="8">
        <v>9.405409E7</v>
      </c>
      <c r="P164" s="17">
        <v>1.0</v>
      </c>
      <c r="Q164" s="18" t="s">
        <v>256</v>
      </c>
      <c r="R164" s="19">
        <v>450.0</v>
      </c>
      <c r="S164" s="8">
        <v>1000.0</v>
      </c>
      <c r="T164" s="21"/>
      <c r="U164" s="10"/>
    </row>
    <row r="165">
      <c r="A165" s="10" t="s">
        <v>249</v>
      </c>
      <c r="B165" s="10" t="s">
        <v>526</v>
      </c>
      <c r="C165" s="10" t="s">
        <v>251</v>
      </c>
      <c r="D165" s="10"/>
      <c r="E165" s="10"/>
      <c r="F165" s="10"/>
      <c r="G165" s="16" t="s">
        <v>529</v>
      </c>
      <c r="H165" s="10" t="s">
        <v>530</v>
      </c>
      <c r="I165" s="17">
        <f t="shared" si="1"/>
        <v>22</v>
      </c>
      <c r="J165" s="18" t="s">
        <v>254</v>
      </c>
      <c r="K165" s="10" t="s">
        <v>528</v>
      </c>
      <c r="L165" s="18" t="str">
        <f t="shared" si="24"/>
        <v>220 x 220 x 150</v>
      </c>
      <c r="M165" s="8">
        <v>0.2</v>
      </c>
      <c r="N165" s="8">
        <v>0.1</v>
      </c>
      <c r="O165" s="8">
        <v>9.405409E7</v>
      </c>
      <c r="P165" s="17">
        <v>1.0</v>
      </c>
      <c r="Q165" s="18" t="s">
        <v>256</v>
      </c>
      <c r="R165" s="19">
        <v>750.0</v>
      </c>
      <c r="S165" s="8">
        <v>1500.0</v>
      </c>
      <c r="T165" s="21"/>
      <c r="U165" s="10"/>
    </row>
    <row r="166">
      <c r="A166" s="10" t="s">
        <v>249</v>
      </c>
      <c r="B166" s="10" t="s">
        <v>531</v>
      </c>
      <c r="C166" s="10" t="s">
        <v>251</v>
      </c>
      <c r="D166" s="10"/>
      <c r="E166" s="10"/>
      <c r="F166" s="10"/>
      <c r="G166" s="16" t="s">
        <v>142</v>
      </c>
      <c r="H166" s="10" t="s">
        <v>532</v>
      </c>
      <c r="I166" s="17">
        <f t="shared" si="1"/>
        <v>33</v>
      </c>
      <c r="J166" s="18" t="s">
        <v>254</v>
      </c>
      <c r="K166" s="10" t="s">
        <v>533</v>
      </c>
      <c r="L166" s="18" t="str">
        <f t="shared" si="24"/>
        <v>914.4 x 16 x 16</v>
      </c>
      <c r="M166" s="8">
        <v>0.25</v>
      </c>
      <c r="N166" s="8">
        <v>0.15</v>
      </c>
      <c r="O166" s="8">
        <v>9.405409E7</v>
      </c>
      <c r="P166" s="17">
        <v>1.0</v>
      </c>
      <c r="Q166" s="18" t="s">
        <v>256</v>
      </c>
      <c r="R166" s="19">
        <v>270.0</v>
      </c>
      <c r="S166" s="8">
        <v>500.0</v>
      </c>
      <c r="T166" s="21"/>
      <c r="U166" s="10"/>
    </row>
    <row r="167">
      <c r="A167" s="10" t="s">
        <v>249</v>
      </c>
      <c r="B167" s="10" t="s">
        <v>534</v>
      </c>
      <c r="C167" s="10" t="s">
        <v>251</v>
      </c>
      <c r="D167" s="10"/>
      <c r="E167" s="10"/>
      <c r="F167" s="10"/>
      <c r="G167" s="16" t="s">
        <v>143</v>
      </c>
      <c r="H167" s="10" t="s">
        <v>535</v>
      </c>
      <c r="I167" s="17">
        <f t="shared" si="1"/>
        <v>27</v>
      </c>
      <c r="J167" s="18" t="s">
        <v>254</v>
      </c>
      <c r="K167" s="10" t="s">
        <v>536</v>
      </c>
      <c r="L167" s="18" t="str">
        <f t="shared" si="24"/>
        <v>62x 35x 22</v>
      </c>
      <c r="M167" s="8">
        <v>0.2</v>
      </c>
      <c r="N167" s="8">
        <v>0.1</v>
      </c>
      <c r="O167" s="8">
        <v>850440.0</v>
      </c>
      <c r="P167" s="17">
        <v>1.0</v>
      </c>
      <c r="Q167" s="18" t="s">
        <v>256</v>
      </c>
      <c r="R167" s="19">
        <v>400.0</v>
      </c>
      <c r="S167" s="8">
        <v>500.0</v>
      </c>
      <c r="T167" s="21"/>
      <c r="U167" s="10"/>
    </row>
    <row r="168">
      <c r="A168" s="10" t="s">
        <v>249</v>
      </c>
      <c r="B168" s="10" t="s">
        <v>534</v>
      </c>
      <c r="C168" s="10" t="s">
        <v>251</v>
      </c>
      <c r="D168" s="10"/>
      <c r="E168" s="10"/>
      <c r="F168" s="10"/>
      <c r="G168" s="16" t="s">
        <v>537</v>
      </c>
      <c r="H168" s="10" t="s">
        <v>538</v>
      </c>
      <c r="I168" s="17">
        <f t="shared" si="1"/>
        <v>28</v>
      </c>
      <c r="J168" s="18" t="s">
        <v>254</v>
      </c>
      <c r="K168" s="10" t="s">
        <v>536</v>
      </c>
      <c r="L168" s="18" t="str">
        <f t="shared" si="24"/>
        <v>62x 35x 22</v>
      </c>
      <c r="M168" s="8">
        <v>0.2</v>
      </c>
      <c r="N168" s="8">
        <v>0.1</v>
      </c>
      <c r="O168" s="8">
        <v>850440.0</v>
      </c>
      <c r="P168" s="17">
        <v>1.0</v>
      </c>
      <c r="Q168" s="18" t="s">
        <v>256</v>
      </c>
      <c r="R168" s="19">
        <v>750.0</v>
      </c>
      <c r="S168" s="8">
        <v>1500.0</v>
      </c>
      <c r="T168" s="21"/>
      <c r="U168" s="10"/>
    </row>
    <row r="169">
      <c r="A169" s="10" t="s">
        <v>249</v>
      </c>
      <c r="B169" s="10" t="s">
        <v>539</v>
      </c>
      <c r="C169" s="10" t="s">
        <v>251</v>
      </c>
      <c r="D169" s="10"/>
      <c r="E169" s="10"/>
      <c r="F169" s="10"/>
      <c r="G169" s="16" t="s">
        <v>211</v>
      </c>
      <c r="H169" s="10" t="s">
        <v>210</v>
      </c>
      <c r="I169" s="17">
        <f t="shared" si="1"/>
        <v>30</v>
      </c>
      <c r="J169" s="18" t="s">
        <v>254</v>
      </c>
      <c r="K169" s="10" t="s">
        <v>540</v>
      </c>
      <c r="L169" s="18" t="str">
        <f t="shared" si="24"/>
        <v>40 x 40 x 230</v>
      </c>
      <c r="M169" s="8">
        <v>0.535</v>
      </c>
      <c r="N169" s="8">
        <v>0.435</v>
      </c>
      <c r="O169" s="8">
        <v>3.2141E7</v>
      </c>
      <c r="P169" s="17">
        <v>1.0</v>
      </c>
      <c r="Q169" s="18" t="s">
        <v>256</v>
      </c>
      <c r="R169" s="19">
        <v>273.6</v>
      </c>
      <c r="S169" s="8">
        <v>500.0</v>
      </c>
      <c r="T169" s="21"/>
      <c r="U169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>
        <v>1.0</v>
      </c>
      <c r="B2" s="2" t="s">
        <v>11</v>
      </c>
      <c r="C2" s="2" t="s">
        <v>11</v>
      </c>
      <c r="D2" s="1" t="s">
        <v>12</v>
      </c>
      <c r="E2" s="1" t="s">
        <v>13</v>
      </c>
      <c r="F2" s="2">
        <v>5000.0</v>
      </c>
    </row>
    <row r="3">
      <c r="A3" s="1">
        <v>2.0</v>
      </c>
      <c r="B3" s="2" t="s">
        <v>14</v>
      </c>
      <c r="C3" s="2" t="s">
        <v>14</v>
      </c>
      <c r="D3" s="1" t="s">
        <v>12</v>
      </c>
      <c r="E3" s="1" t="s">
        <v>13</v>
      </c>
      <c r="F3" s="2">
        <v>5000.0</v>
      </c>
    </row>
    <row r="4">
      <c r="A4" s="1">
        <v>3.0</v>
      </c>
      <c r="B4" s="2" t="s">
        <v>15</v>
      </c>
      <c r="C4" s="2" t="s">
        <v>15</v>
      </c>
      <c r="D4" s="1" t="s">
        <v>12</v>
      </c>
      <c r="E4" s="1" t="s">
        <v>13</v>
      </c>
      <c r="F4" s="2">
        <v>5000.0</v>
      </c>
    </row>
    <row r="5">
      <c r="A5" s="1">
        <v>4.0</v>
      </c>
      <c r="B5" s="2" t="s">
        <v>16</v>
      </c>
      <c r="C5" s="2" t="s">
        <v>16</v>
      </c>
      <c r="D5" s="1" t="s">
        <v>12</v>
      </c>
      <c r="E5" s="1" t="s">
        <v>13</v>
      </c>
      <c r="F5" s="2">
        <v>5000.0</v>
      </c>
    </row>
    <row r="6">
      <c r="A6" s="1">
        <v>5.0</v>
      </c>
      <c r="B6" s="2" t="s">
        <v>17</v>
      </c>
      <c r="C6" s="2" t="s">
        <v>17</v>
      </c>
      <c r="D6" s="1" t="s">
        <v>13</v>
      </c>
      <c r="E6" s="1" t="s">
        <v>13</v>
      </c>
      <c r="F6" s="2">
        <v>19500.0</v>
      </c>
    </row>
    <row r="7">
      <c r="A7" s="1">
        <v>6.0</v>
      </c>
      <c r="B7" s="2" t="s">
        <v>18</v>
      </c>
      <c r="C7" s="2" t="s">
        <v>18</v>
      </c>
      <c r="D7" s="1" t="s">
        <v>13</v>
      </c>
      <c r="E7" s="1" t="s">
        <v>13</v>
      </c>
      <c r="F7" s="2">
        <v>17000.0</v>
      </c>
    </row>
    <row r="8">
      <c r="A8" s="1">
        <v>7.0</v>
      </c>
      <c r="B8" s="2" t="s">
        <v>19</v>
      </c>
      <c r="C8" s="2" t="s">
        <v>19</v>
      </c>
      <c r="D8" s="1" t="s">
        <v>13</v>
      </c>
      <c r="E8" s="1" t="s">
        <v>13</v>
      </c>
      <c r="F8" s="2">
        <v>22000.0</v>
      </c>
    </row>
    <row r="9">
      <c r="A9" s="1">
        <v>8.0</v>
      </c>
      <c r="B9" s="2" t="s">
        <v>20</v>
      </c>
      <c r="C9" s="2" t="s">
        <v>20</v>
      </c>
      <c r="D9" s="1" t="s">
        <v>13</v>
      </c>
      <c r="E9" s="1" t="s">
        <v>13</v>
      </c>
      <c r="F9" s="2">
        <v>27000.0</v>
      </c>
    </row>
    <row r="10">
      <c r="A10" s="1">
        <v>9.0</v>
      </c>
      <c r="B10" s="2" t="s">
        <v>21</v>
      </c>
      <c r="C10" s="2" t="s">
        <v>21</v>
      </c>
      <c r="D10" s="1" t="s">
        <v>12</v>
      </c>
      <c r="E10" s="1" t="s">
        <v>13</v>
      </c>
      <c r="F10" s="2">
        <v>15000.0</v>
      </c>
    </row>
    <row r="11">
      <c r="A11" s="1">
        <v>10.0</v>
      </c>
      <c r="B11" s="2" t="s">
        <v>22</v>
      </c>
      <c r="C11" s="2" t="s">
        <v>22</v>
      </c>
      <c r="D11" s="1" t="s">
        <v>12</v>
      </c>
      <c r="E11" s="1" t="s">
        <v>13</v>
      </c>
      <c r="F11" s="2">
        <v>35000.0</v>
      </c>
    </row>
    <row r="12">
      <c r="A12" s="1">
        <v>11.0</v>
      </c>
      <c r="B12" s="2" t="s">
        <v>23</v>
      </c>
      <c r="C12" s="2" t="s">
        <v>23</v>
      </c>
      <c r="D12" s="1" t="s">
        <v>13</v>
      </c>
      <c r="E12" s="1" t="s">
        <v>13</v>
      </c>
      <c r="F12" s="2">
        <v>47000.0</v>
      </c>
    </row>
    <row r="13">
      <c r="A13" s="1">
        <v>12.0</v>
      </c>
      <c r="B13" s="2" t="s">
        <v>24</v>
      </c>
      <c r="C13" s="2" t="s">
        <v>24</v>
      </c>
      <c r="D13" s="1" t="s">
        <v>13</v>
      </c>
      <c r="E13" s="1" t="s">
        <v>13</v>
      </c>
      <c r="F13" s="2">
        <v>17000.0</v>
      </c>
    </row>
    <row r="14">
      <c r="A14" s="1">
        <v>13.0</v>
      </c>
      <c r="B14" s="2" t="s">
        <v>25</v>
      </c>
      <c r="C14" s="2" t="s">
        <v>25</v>
      </c>
      <c r="D14" s="1" t="s">
        <v>12</v>
      </c>
      <c r="E14" s="1" t="s">
        <v>13</v>
      </c>
      <c r="F14" s="2">
        <v>35000.0</v>
      </c>
    </row>
    <row r="15">
      <c r="A15" s="1">
        <v>14.0</v>
      </c>
      <c r="B15" s="2" t="s">
        <v>26</v>
      </c>
      <c r="C15" s="2" t="s">
        <v>26</v>
      </c>
      <c r="D15" s="1" t="s">
        <v>12</v>
      </c>
      <c r="E15" s="1" t="s">
        <v>13</v>
      </c>
      <c r="F15" s="2">
        <v>35000.0</v>
      </c>
    </row>
    <row r="16">
      <c r="A16" s="1">
        <v>15.0</v>
      </c>
      <c r="B16" s="2" t="s">
        <v>27</v>
      </c>
      <c r="C16" s="2" t="s">
        <v>27</v>
      </c>
      <c r="D16" s="1" t="s">
        <v>13</v>
      </c>
      <c r="E16" s="1" t="s">
        <v>13</v>
      </c>
      <c r="F16" s="2">
        <v>30000.0</v>
      </c>
    </row>
    <row r="17">
      <c r="A17" s="1">
        <v>16.0</v>
      </c>
      <c r="B17" s="2" t="s">
        <v>28</v>
      </c>
      <c r="C17" s="2" t="s">
        <v>28</v>
      </c>
      <c r="D17" s="1" t="s">
        <v>13</v>
      </c>
      <c r="E17" s="1" t="s">
        <v>13</v>
      </c>
      <c r="F17" s="2">
        <v>30000.0</v>
      </c>
    </row>
    <row r="18">
      <c r="A18" s="1">
        <v>17.0</v>
      </c>
      <c r="B18" s="2" t="s">
        <v>29</v>
      </c>
      <c r="C18" s="2" t="s">
        <v>29</v>
      </c>
      <c r="D18" s="1" t="s">
        <v>13</v>
      </c>
      <c r="E18" s="1" t="s">
        <v>13</v>
      </c>
      <c r="F18" s="2">
        <v>15000.0</v>
      </c>
    </row>
    <row r="19">
      <c r="A19" s="1">
        <v>18.0</v>
      </c>
      <c r="B19" s="2" t="s">
        <v>31</v>
      </c>
      <c r="C19" s="2" t="s">
        <v>31</v>
      </c>
      <c r="D19" s="1" t="s">
        <v>12</v>
      </c>
      <c r="E19" s="1" t="s">
        <v>13</v>
      </c>
      <c r="F19" s="2">
        <v>42500.0</v>
      </c>
    </row>
    <row r="20">
      <c r="A20" s="1">
        <v>19.0</v>
      </c>
      <c r="B20" s="2" t="s">
        <v>33</v>
      </c>
      <c r="C20" s="2" t="s">
        <v>33</v>
      </c>
      <c r="D20" s="1" t="s">
        <v>13</v>
      </c>
      <c r="E20" s="1" t="s">
        <v>13</v>
      </c>
      <c r="F20" s="2">
        <v>29500.0</v>
      </c>
    </row>
    <row r="21">
      <c r="A21" s="1">
        <v>20.0</v>
      </c>
      <c r="B21" s="2" t="s">
        <v>35</v>
      </c>
      <c r="C21" s="2" t="s">
        <v>35</v>
      </c>
      <c r="D21" s="1" t="s">
        <v>13</v>
      </c>
      <c r="E21" s="1" t="s">
        <v>13</v>
      </c>
      <c r="F21" s="2">
        <v>29500.0</v>
      </c>
    </row>
    <row r="22">
      <c r="A22" s="1">
        <v>21.0</v>
      </c>
      <c r="B22" s="2" t="s">
        <v>37</v>
      </c>
      <c r="C22" s="2" t="s">
        <v>37</v>
      </c>
      <c r="D22" s="1" t="s">
        <v>12</v>
      </c>
      <c r="E22" s="1" t="s">
        <v>13</v>
      </c>
      <c r="F22" s="2">
        <v>95000.0</v>
      </c>
    </row>
    <row r="23">
      <c r="A23" s="1">
        <v>22.0</v>
      </c>
      <c r="B23" s="2" t="s">
        <v>39</v>
      </c>
      <c r="C23" s="2" t="s">
        <v>39</v>
      </c>
      <c r="D23" s="1" t="s">
        <v>12</v>
      </c>
      <c r="E23" s="1" t="s">
        <v>13</v>
      </c>
      <c r="F23" s="2">
        <v>5000.0</v>
      </c>
    </row>
    <row r="24">
      <c r="A24" s="1">
        <v>23.0</v>
      </c>
      <c r="B24" s="2" t="s">
        <v>41</v>
      </c>
      <c r="C24" s="2" t="s">
        <v>41</v>
      </c>
      <c r="D24" s="1" t="s">
        <v>13</v>
      </c>
      <c r="E24" s="1" t="s">
        <v>13</v>
      </c>
      <c r="F24" s="2">
        <v>5000.0</v>
      </c>
    </row>
    <row r="25">
      <c r="A25" s="1">
        <v>24.0</v>
      </c>
      <c r="B25" s="2" t="s">
        <v>42</v>
      </c>
      <c r="C25" s="2" t="s">
        <v>42</v>
      </c>
      <c r="D25" s="1" t="s">
        <v>13</v>
      </c>
      <c r="E25" s="1" t="s">
        <v>13</v>
      </c>
      <c r="F25" s="2">
        <v>37500.0</v>
      </c>
    </row>
    <row r="26">
      <c r="A26" s="1">
        <v>25.0</v>
      </c>
      <c r="B26" s="2" t="s">
        <v>43</v>
      </c>
      <c r="C26" s="2" t="s">
        <v>43</v>
      </c>
      <c r="D26" s="1" t="s">
        <v>12</v>
      </c>
      <c r="E26" s="1" t="s">
        <v>13</v>
      </c>
      <c r="F26" s="2">
        <v>140000.0</v>
      </c>
    </row>
    <row r="27">
      <c r="A27" s="1">
        <v>26.0</v>
      </c>
      <c r="B27" s="2" t="s">
        <v>44</v>
      </c>
      <c r="C27" s="2" t="s">
        <v>44</v>
      </c>
      <c r="D27" s="1" t="s">
        <v>12</v>
      </c>
      <c r="E27" s="1" t="s">
        <v>13</v>
      </c>
      <c r="F27" s="2">
        <v>140000.0</v>
      </c>
    </row>
    <row r="28">
      <c r="A28" s="1">
        <v>27.0</v>
      </c>
      <c r="B28" s="2" t="s">
        <v>45</v>
      </c>
      <c r="C28" s="2" t="s">
        <v>45</v>
      </c>
      <c r="D28" s="1" t="s">
        <v>12</v>
      </c>
      <c r="E28" s="1" t="s">
        <v>13</v>
      </c>
      <c r="F28" s="2">
        <v>5000.0</v>
      </c>
    </row>
    <row r="29">
      <c r="A29" s="1">
        <v>28.0</v>
      </c>
      <c r="B29" s="2" t="s">
        <v>46</v>
      </c>
      <c r="C29" s="2" t="s">
        <v>46</v>
      </c>
      <c r="D29" s="1" t="s">
        <v>12</v>
      </c>
      <c r="E29" s="1" t="s">
        <v>13</v>
      </c>
      <c r="F29" s="2">
        <v>5000.0</v>
      </c>
    </row>
    <row r="30">
      <c r="A30" s="1">
        <v>29.0</v>
      </c>
      <c r="B30" s="2" t="s">
        <v>47</v>
      </c>
      <c r="C30" s="2" t="s">
        <v>47</v>
      </c>
      <c r="D30" s="1" t="s">
        <v>12</v>
      </c>
      <c r="E30" s="1" t="s">
        <v>13</v>
      </c>
      <c r="F30" s="2">
        <v>5000.0</v>
      </c>
    </row>
    <row r="31">
      <c r="A31" s="1">
        <v>30.0</v>
      </c>
      <c r="B31" s="2" t="s">
        <v>48</v>
      </c>
      <c r="C31" s="2" t="s">
        <v>48</v>
      </c>
      <c r="D31" s="1" t="s">
        <v>12</v>
      </c>
      <c r="E31" s="1" t="s">
        <v>13</v>
      </c>
      <c r="F31" s="2">
        <v>5000.0</v>
      </c>
    </row>
    <row r="32">
      <c r="A32" s="1">
        <v>31.0</v>
      </c>
      <c r="B32" s="2" t="s">
        <v>49</v>
      </c>
      <c r="C32" s="2" t="s">
        <v>49</v>
      </c>
      <c r="D32" s="1" t="s">
        <v>12</v>
      </c>
      <c r="E32" s="1" t="s">
        <v>13</v>
      </c>
      <c r="F32" s="2">
        <v>5000.0</v>
      </c>
    </row>
    <row r="33">
      <c r="A33" s="1">
        <v>32.0</v>
      </c>
      <c r="B33" s="2" t="s">
        <v>50</v>
      </c>
      <c r="C33" s="2" t="s">
        <v>50</v>
      </c>
      <c r="D33" s="1" t="s">
        <v>12</v>
      </c>
      <c r="E33" s="1" t="s">
        <v>13</v>
      </c>
      <c r="F33" s="2">
        <v>5000.0</v>
      </c>
    </row>
    <row r="34">
      <c r="A34" s="1">
        <v>33.0</v>
      </c>
      <c r="B34" s="2" t="s">
        <v>51</v>
      </c>
      <c r="C34" s="2" t="s">
        <v>51</v>
      </c>
      <c r="D34" s="1" t="s">
        <v>12</v>
      </c>
      <c r="E34" s="1" t="s">
        <v>13</v>
      </c>
      <c r="F34" s="2">
        <v>5000.0</v>
      </c>
    </row>
    <row r="35">
      <c r="A35" s="1">
        <v>34.0</v>
      </c>
      <c r="B35" s="2" t="s">
        <v>52</v>
      </c>
      <c r="C35" s="2" t="s">
        <v>52</v>
      </c>
      <c r="D35" s="1" t="s">
        <v>12</v>
      </c>
      <c r="E35" s="1" t="s">
        <v>13</v>
      </c>
      <c r="F35" s="2">
        <v>5000.0</v>
      </c>
    </row>
    <row r="36">
      <c r="A36" s="1">
        <v>35.0</v>
      </c>
      <c r="B36" s="2" t="s">
        <v>53</v>
      </c>
      <c r="C36" s="2" t="s">
        <v>53</v>
      </c>
      <c r="D36" s="1" t="s">
        <v>12</v>
      </c>
      <c r="E36" s="1" t="s">
        <v>13</v>
      </c>
      <c r="F36" s="2">
        <v>5000.0</v>
      </c>
    </row>
    <row r="37">
      <c r="A37" s="1">
        <v>36.0</v>
      </c>
      <c r="B37" s="2" t="s">
        <v>54</v>
      </c>
      <c r="C37" s="2" t="s">
        <v>54</v>
      </c>
      <c r="D37" s="1" t="s">
        <v>12</v>
      </c>
      <c r="E37" s="1" t="s">
        <v>13</v>
      </c>
      <c r="F37" s="2">
        <v>5000.0</v>
      </c>
    </row>
    <row r="38">
      <c r="A38" s="1">
        <v>37.0</v>
      </c>
      <c r="B38" s="2" t="s">
        <v>55</v>
      </c>
      <c r="C38" s="2" t="s">
        <v>55</v>
      </c>
      <c r="D38" s="1" t="s">
        <v>12</v>
      </c>
      <c r="E38" s="1" t="s">
        <v>13</v>
      </c>
      <c r="F38" s="2">
        <v>5000.0</v>
      </c>
    </row>
    <row r="39">
      <c r="A39" s="1">
        <v>38.0</v>
      </c>
      <c r="B39" s="2" t="s">
        <v>56</v>
      </c>
      <c r="C39" s="2" t="s">
        <v>56</v>
      </c>
      <c r="D39" s="1" t="s">
        <v>12</v>
      </c>
      <c r="E39" s="1" t="s">
        <v>13</v>
      </c>
      <c r="F39" s="2">
        <v>5000.0</v>
      </c>
    </row>
    <row r="40">
      <c r="A40" s="1">
        <v>39.0</v>
      </c>
      <c r="B40" s="2" t="s">
        <v>57</v>
      </c>
      <c r="C40" s="2" t="s">
        <v>57</v>
      </c>
      <c r="D40" s="1" t="s">
        <v>12</v>
      </c>
      <c r="E40" s="1" t="s">
        <v>13</v>
      </c>
      <c r="F40" s="2">
        <v>5000.0</v>
      </c>
    </row>
    <row r="41">
      <c r="A41" s="1">
        <v>40.0</v>
      </c>
      <c r="B41" s="2" t="s">
        <v>58</v>
      </c>
      <c r="C41" s="2" t="s">
        <v>58</v>
      </c>
      <c r="D41" s="1" t="s">
        <v>12</v>
      </c>
      <c r="E41" s="1" t="s">
        <v>13</v>
      </c>
      <c r="F41" s="2">
        <v>5000.0</v>
      </c>
    </row>
    <row r="42">
      <c r="A42" s="1">
        <v>41.0</v>
      </c>
      <c r="B42" s="2" t="s">
        <v>59</v>
      </c>
      <c r="C42" s="2" t="s">
        <v>59</v>
      </c>
      <c r="D42" s="1" t="s">
        <v>12</v>
      </c>
      <c r="E42" s="1" t="s">
        <v>13</v>
      </c>
      <c r="F42" s="2">
        <v>5000.0</v>
      </c>
    </row>
    <row r="43">
      <c r="A43" s="1">
        <v>42.0</v>
      </c>
      <c r="B43" s="2" t="s">
        <v>60</v>
      </c>
      <c r="C43" s="2" t="s">
        <v>60</v>
      </c>
      <c r="D43" s="1" t="s">
        <v>12</v>
      </c>
      <c r="E43" s="1" t="s">
        <v>13</v>
      </c>
      <c r="F43" s="2">
        <v>5000.0</v>
      </c>
    </row>
    <row r="44">
      <c r="A44" s="1">
        <v>43.0</v>
      </c>
      <c r="B44" s="2" t="s">
        <v>61</v>
      </c>
      <c r="C44" s="2" t="s">
        <v>61</v>
      </c>
      <c r="D44" s="1" t="s">
        <v>12</v>
      </c>
      <c r="E44" s="1" t="s">
        <v>13</v>
      </c>
      <c r="F44" s="2">
        <v>5000.0</v>
      </c>
    </row>
    <row r="45">
      <c r="A45" s="1">
        <v>44.0</v>
      </c>
      <c r="B45" s="2" t="s">
        <v>62</v>
      </c>
      <c r="C45" s="2" t="s">
        <v>62</v>
      </c>
      <c r="D45" s="1" t="s">
        <v>12</v>
      </c>
      <c r="E45" s="1" t="s">
        <v>13</v>
      </c>
      <c r="F45" s="2">
        <v>5000.0</v>
      </c>
    </row>
    <row r="46">
      <c r="A46" s="1">
        <v>45.0</v>
      </c>
      <c r="B46" s="2" t="s">
        <v>63</v>
      </c>
      <c r="C46" s="2" t="s">
        <v>63</v>
      </c>
      <c r="D46" s="1" t="s">
        <v>12</v>
      </c>
      <c r="E46" s="1" t="s">
        <v>13</v>
      </c>
      <c r="F46" s="2">
        <v>5000.0</v>
      </c>
    </row>
    <row r="47">
      <c r="A47" s="1">
        <v>46.0</v>
      </c>
      <c r="B47" s="2" t="s">
        <v>64</v>
      </c>
      <c r="C47" s="2" t="s">
        <v>64</v>
      </c>
      <c r="D47" s="1" t="s">
        <v>12</v>
      </c>
      <c r="E47" s="1" t="s">
        <v>13</v>
      </c>
      <c r="F47" s="2">
        <v>5000.0</v>
      </c>
    </row>
    <row r="48">
      <c r="A48" s="1">
        <v>47.0</v>
      </c>
      <c r="B48" s="2" t="s">
        <v>65</v>
      </c>
      <c r="C48" s="2" t="s">
        <v>65</v>
      </c>
      <c r="D48" s="1" t="s">
        <v>12</v>
      </c>
      <c r="E48" s="1" t="s">
        <v>13</v>
      </c>
      <c r="F48" s="2">
        <v>5000.0</v>
      </c>
    </row>
    <row r="49">
      <c r="A49" s="1">
        <v>48.0</v>
      </c>
      <c r="B49" s="2" t="s">
        <v>66</v>
      </c>
      <c r="C49" s="2" t="s">
        <v>66</v>
      </c>
      <c r="D49" s="1" t="s">
        <v>12</v>
      </c>
      <c r="E49" s="1" t="s">
        <v>13</v>
      </c>
      <c r="F49" s="2">
        <v>5000.0</v>
      </c>
    </row>
    <row r="50">
      <c r="A50" s="1">
        <v>49.0</v>
      </c>
      <c r="B50" s="2" t="s">
        <v>67</v>
      </c>
      <c r="C50" s="2" t="s">
        <v>67</v>
      </c>
      <c r="D50" s="1" t="s">
        <v>12</v>
      </c>
      <c r="E50" s="1" t="s">
        <v>13</v>
      </c>
      <c r="F50" s="2">
        <v>5000.0</v>
      </c>
    </row>
    <row r="51">
      <c r="A51" s="1">
        <v>50.0</v>
      </c>
      <c r="B51" s="2" t="s">
        <v>68</v>
      </c>
      <c r="C51" s="2" t="s">
        <v>68</v>
      </c>
      <c r="D51" s="1" t="s">
        <v>12</v>
      </c>
      <c r="E51" s="1" t="s">
        <v>13</v>
      </c>
      <c r="F51" s="2">
        <v>5000.0</v>
      </c>
    </row>
    <row r="52">
      <c r="A52" s="1">
        <v>51.0</v>
      </c>
      <c r="B52" s="2" t="s">
        <v>69</v>
      </c>
      <c r="C52" s="2" t="s">
        <v>69</v>
      </c>
      <c r="D52" s="1" t="s">
        <v>12</v>
      </c>
      <c r="E52" s="1" t="s">
        <v>13</v>
      </c>
      <c r="F52" s="2">
        <v>5000.0</v>
      </c>
    </row>
    <row r="53">
      <c r="A53" s="1">
        <v>52.0</v>
      </c>
      <c r="B53" s="2" t="s">
        <v>70</v>
      </c>
      <c r="C53" s="2" t="s">
        <v>70</v>
      </c>
      <c r="D53" s="1" t="s">
        <v>12</v>
      </c>
      <c r="E53" s="1" t="s">
        <v>13</v>
      </c>
      <c r="F53" s="2">
        <v>5000.0</v>
      </c>
    </row>
    <row r="54">
      <c r="A54" s="1">
        <v>53.0</v>
      </c>
      <c r="B54" s="2" t="s">
        <v>71</v>
      </c>
      <c r="C54" s="2" t="s">
        <v>71</v>
      </c>
      <c r="D54" s="1" t="s">
        <v>12</v>
      </c>
      <c r="E54" s="1" t="s">
        <v>13</v>
      </c>
      <c r="F54" s="2">
        <v>5000.0</v>
      </c>
    </row>
    <row r="55">
      <c r="A55" s="1">
        <v>54.0</v>
      </c>
      <c r="B55" s="2" t="s">
        <v>72</v>
      </c>
      <c r="C55" s="2" t="s">
        <v>72</v>
      </c>
      <c r="D55" s="1" t="s">
        <v>12</v>
      </c>
      <c r="E55" s="1" t="s">
        <v>13</v>
      </c>
      <c r="F55" s="2">
        <v>5000.0</v>
      </c>
    </row>
    <row r="56">
      <c r="A56" s="1">
        <v>55.0</v>
      </c>
      <c r="B56" s="2" t="s">
        <v>73</v>
      </c>
      <c r="C56" s="2" t="s">
        <v>73</v>
      </c>
      <c r="D56" s="1" t="s">
        <v>12</v>
      </c>
      <c r="E56" s="1" t="s">
        <v>13</v>
      </c>
      <c r="F56" s="2">
        <v>5000.0</v>
      </c>
    </row>
    <row r="57">
      <c r="A57" s="1">
        <v>56.0</v>
      </c>
      <c r="B57" s="2" t="s">
        <v>74</v>
      </c>
      <c r="C57" s="2" t="s">
        <v>74</v>
      </c>
      <c r="D57" s="1" t="s">
        <v>13</v>
      </c>
      <c r="E57" s="1" t="s">
        <v>13</v>
      </c>
      <c r="F57" s="2">
        <v>27000.0</v>
      </c>
    </row>
    <row r="58">
      <c r="A58" s="1">
        <v>57.0</v>
      </c>
      <c r="B58" s="2" t="s">
        <v>75</v>
      </c>
      <c r="C58" s="2" t="s">
        <v>75</v>
      </c>
      <c r="D58" s="1" t="s">
        <v>13</v>
      </c>
      <c r="E58" s="1" t="s">
        <v>13</v>
      </c>
      <c r="F58" s="2">
        <v>27000.0</v>
      </c>
    </row>
    <row r="59">
      <c r="A59" s="1">
        <v>58.0</v>
      </c>
      <c r="B59" s="2" t="s">
        <v>76</v>
      </c>
      <c r="C59" s="2" t="s">
        <v>76</v>
      </c>
      <c r="D59" s="1" t="s">
        <v>13</v>
      </c>
      <c r="E59" s="1" t="s">
        <v>13</v>
      </c>
      <c r="F59" s="2">
        <v>14000.0</v>
      </c>
    </row>
    <row r="60">
      <c r="A60" s="1">
        <v>59.0</v>
      </c>
      <c r="B60" s="1" t="s">
        <v>77</v>
      </c>
      <c r="C60" s="1" t="s">
        <v>77</v>
      </c>
      <c r="D60" s="1" t="s">
        <v>13</v>
      </c>
      <c r="E60" s="1" t="s">
        <v>13</v>
      </c>
      <c r="F60" s="2">
        <v>24000.0</v>
      </c>
    </row>
    <row r="61">
      <c r="A61" s="1">
        <v>60.0</v>
      </c>
      <c r="B61" s="2" t="s">
        <v>78</v>
      </c>
      <c r="C61" s="2" t="s">
        <v>78</v>
      </c>
      <c r="D61" s="1" t="s">
        <v>12</v>
      </c>
      <c r="E61" s="1" t="s">
        <v>13</v>
      </c>
      <c r="F61" s="2">
        <v>5000.0</v>
      </c>
    </row>
    <row r="62">
      <c r="A62" s="1">
        <v>61.0</v>
      </c>
      <c r="B62" s="2" t="s">
        <v>79</v>
      </c>
      <c r="C62" s="2" t="s">
        <v>79</v>
      </c>
      <c r="D62" s="1" t="s">
        <v>13</v>
      </c>
      <c r="E62" s="1" t="s">
        <v>13</v>
      </c>
      <c r="F62" s="2">
        <v>65000.0</v>
      </c>
    </row>
    <row r="63">
      <c r="A63" s="1">
        <v>62.0</v>
      </c>
      <c r="B63" s="2" t="s">
        <v>80</v>
      </c>
      <c r="C63" s="2" t="s">
        <v>80</v>
      </c>
      <c r="D63" s="1" t="s">
        <v>13</v>
      </c>
      <c r="E63" s="1" t="s">
        <v>13</v>
      </c>
      <c r="F63" s="2">
        <v>20000.0</v>
      </c>
    </row>
    <row r="64">
      <c r="A64" s="1">
        <v>63.0</v>
      </c>
      <c r="B64" s="2" t="s">
        <v>81</v>
      </c>
      <c r="C64" s="2" t="s">
        <v>81</v>
      </c>
      <c r="D64" s="1" t="s">
        <v>12</v>
      </c>
      <c r="E64" s="1" t="s">
        <v>13</v>
      </c>
      <c r="F64" s="2">
        <v>5000.0</v>
      </c>
    </row>
    <row r="65">
      <c r="A65" s="1">
        <v>64.0</v>
      </c>
      <c r="B65" s="2" t="s">
        <v>82</v>
      </c>
      <c r="C65" s="2" t="s">
        <v>82</v>
      </c>
      <c r="D65" s="1" t="s">
        <v>12</v>
      </c>
      <c r="E65" s="1" t="s">
        <v>13</v>
      </c>
      <c r="F65" s="2">
        <v>5000.0</v>
      </c>
    </row>
    <row r="66">
      <c r="A66" s="1">
        <v>65.0</v>
      </c>
      <c r="B66" s="2" t="s">
        <v>83</v>
      </c>
      <c r="C66" s="2" t="s">
        <v>83</v>
      </c>
      <c r="D66" s="1" t="s">
        <v>13</v>
      </c>
      <c r="E66" s="1" t="s">
        <v>13</v>
      </c>
      <c r="F66" s="2">
        <v>37000.0</v>
      </c>
    </row>
    <row r="67">
      <c r="A67" s="1">
        <v>66.0</v>
      </c>
      <c r="B67" s="2" t="s">
        <v>84</v>
      </c>
      <c r="C67" s="2" t="s">
        <v>84</v>
      </c>
      <c r="D67" s="1" t="s">
        <v>13</v>
      </c>
      <c r="E67" s="1" t="s">
        <v>13</v>
      </c>
      <c r="F67" s="2">
        <v>5000.0</v>
      </c>
    </row>
    <row r="68">
      <c r="A68" s="1">
        <v>67.0</v>
      </c>
      <c r="B68" s="2" t="s">
        <v>85</v>
      </c>
      <c r="C68" s="2" t="s">
        <v>85</v>
      </c>
      <c r="D68" s="1" t="s">
        <v>12</v>
      </c>
      <c r="E68" s="1" t="s">
        <v>13</v>
      </c>
      <c r="F68" s="2">
        <v>5000.0</v>
      </c>
    </row>
    <row r="69">
      <c r="A69" s="1">
        <v>68.0</v>
      </c>
      <c r="B69" s="2" t="s">
        <v>86</v>
      </c>
      <c r="C69" s="2" t="s">
        <v>86</v>
      </c>
      <c r="D69" s="1" t="s">
        <v>12</v>
      </c>
      <c r="E69" s="1" t="s">
        <v>13</v>
      </c>
      <c r="F69" s="2">
        <v>5000.0</v>
      </c>
    </row>
    <row r="70">
      <c r="A70" s="1">
        <v>69.0</v>
      </c>
      <c r="B70" s="2" t="s">
        <v>87</v>
      </c>
      <c r="C70" s="2" t="s">
        <v>87</v>
      </c>
      <c r="D70" s="1" t="s">
        <v>12</v>
      </c>
      <c r="E70" s="1" t="s">
        <v>13</v>
      </c>
      <c r="F70" s="2">
        <v>5000.0</v>
      </c>
    </row>
    <row r="71">
      <c r="A71" s="1">
        <v>70.0</v>
      </c>
      <c r="B71" s="2" t="s">
        <v>88</v>
      </c>
      <c r="C71" s="2" t="s">
        <v>88</v>
      </c>
      <c r="D71" s="1" t="s">
        <v>12</v>
      </c>
      <c r="E71" s="1" t="s">
        <v>13</v>
      </c>
      <c r="F71" s="2">
        <v>5000.0</v>
      </c>
    </row>
    <row r="72">
      <c r="A72" s="1">
        <v>71.0</v>
      </c>
      <c r="B72" s="2" t="s">
        <v>89</v>
      </c>
      <c r="C72" s="2" t="s">
        <v>89</v>
      </c>
      <c r="D72" s="1" t="s">
        <v>12</v>
      </c>
      <c r="E72" s="1" t="s">
        <v>13</v>
      </c>
      <c r="F72" s="2">
        <v>5000.0</v>
      </c>
    </row>
    <row r="73">
      <c r="A73" s="1">
        <v>72.0</v>
      </c>
      <c r="B73" s="2" t="s">
        <v>90</v>
      </c>
      <c r="C73" s="2" t="s">
        <v>90</v>
      </c>
      <c r="D73" s="1" t="s">
        <v>12</v>
      </c>
      <c r="E73" s="1" t="s">
        <v>13</v>
      </c>
      <c r="F73" s="2">
        <v>5000.0</v>
      </c>
    </row>
    <row r="74">
      <c r="A74" s="1">
        <v>73.0</v>
      </c>
      <c r="B74" s="2" t="s">
        <v>91</v>
      </c>
      <c r="C74" s="2" t="s">
        <v>91</v>
      </c>
      <c r="D74" s="1" t="s">
        <v>12</v>
      </c>
      <c r="E74" s="1" t="s">
        <v>13</v>
      </c>
      <c r="F74" s="2">
        <v>5000.0</v>
      </c>
    </row>
    <row r="75">
      <c r="A75" s="1">
        <v>74.0</v>
      </c>
      <c r="B75" s="2" t="s">
        <v>92</v>
      </c>
      <c r="C75" s="2" t="s">
        <v>92</v>
      </c>
      <c r="D75" s="1" t="s">
        <v>12</v>
      </c>
      <c r="E75" s="1" t="s">
        <v>13</v>
      </c>
      <c r="F75" s="2">
        <v>5000.0</v>
      </c>
    </row>
    <row r="76">
      <c r="A76" s="1">
        <v>75.0</v>
      </c>
      <c r="B76" s="2" t="s">
        <v>93</v>
      </c>
      <c r="C76" s="2" t="s">
        <v>93</v>
      </c>
      <c r="D76" s="1" t="s">
        <v>12</v>
      </c>
      <c r="E76" s="1" t="s">
        <v>13</v>
      </c>
      <c r="F76" s="2">
        <v>5000.0</v>
      </c>
    </row>
    <row r="77">
      <c r="A77" s="1">
        <v>76.0</v>
      </c>
      <c r="B77" s="2" t="s">
        <v>94</v>
      </c>
      <c r="C77" s="2" t="s">
        <v>94</v>
      </c>
      <c r="D77" s="1" t="s">
        <v>12</v>
      </c>
      <c r="E77" s="1" t="s">
        <v>13</v>
      </c>
      <c r="F77" s="2">
        <v>5000.0</v>
      </c>
    </row>
    <row r="78">
      <c r="A78" s="1">
        <v>77.0</v>
      </c>
      <c r="B78" s="2" t="s">
        <v>95</v>
      </c>
      <c r="C78" s="2" t="s">
        <v>95</v>
      </c>
      <c r="D78" s="1" t="s">
        <v>12</v>
      </c>
      <c r="E78" s="1" t="s">
        <v>13</v>
      </c>
      <c r="F78" s="2">
        <v>5000.0</v>
      </c>
    </row>
    <row r="79">
      <c r="A79" s="1">
        <v>78.0</v>
      </c>
      <c r="B79" s="2" t="s">
        <v>96</v>
      </c>
      <c r="C79" s="2" t="s">
        <v>96</v>
      </c>
      <c r="D79" s="1" t="s">
        <v>12</v>
      </c>
      <c r="E79" s="1" t="s">
        <v>13</v>
      </c>
      <c r="F79" s="2">
        <v>5000.0</v>
      </c>
    </row>
    <row r="80">
      <c r="A80" s="1">
        <v>79.0</v>
      </c>
      <c r="B80" s="2" t="s">
        <v>97</v>
      </c>
      <c r="C80" s="2" t="s">
        <v>97</v>
      </c>
      <c r="D80" s="1" t="s">
        <v>12</v>
      </c>
      <c r="E80" s="1" t="s">
        <v>13</v>
      </c>
      <c r="F80" s="2">
        <v>5000.0</v>
      </c>
    </row>
    <row r="81">
      <c r="A81" s="1">
        <v>80.0</v>
      </c>
      <c r="B81" s="2" t="s">
        <v>98</v>
      </c>
      <c r="C81" s="2" t="s">
        <v>98</v>
      </c>
      <c r="D81" s="1" t="s">
        <v>12</v>
      </c>
      <c r="E81" s="1" t="s">
        <v>13</v>
      </c>
      <c r="F81" s="2">
        <v>5000.0</v>
      </c>
    </row>
    <row r="82">
      <c r="A82" s="1">
        <v>81.0</v>
      </c>
      <c r="B82" s="2" t="s">
        <v>99</v>
      </c>
      <c r="C82" s="2" t="s">
        <v>99</v>
      </c>
      <c r="D82" s="1" t="s">
        <v>12</v>
      </c>
      <c r="E82" s="1" t="s">
        <v>13</v>
      </c>
      <c r="F82" s="2">
        <v>5000.0</v>
      </c>
    </row>
    <row r="83">
      <c r="A83" s="1">
        <v>82.0</v>
      </c>
      <c r="B83" s="2" t="s">
        <v>100</v>
      </c>
      <c r="C83" s="2" t="s">
        <v>100</v>
      </c>
      <c r="D83" s="1" t="s">
        <v>12</v>
      </c>
      <c r="E83" s="1" t="s">
        <v>13</v>
      </c>
      <c r="F83" s="2">
        <v>5000.0</v>
      </c>
    </row>
    <row r="84">
      <c r="A84" s="1">
        <v>83.0</v>
      </c>
      <c r="B84" s="2" t="s">
        <v>101</v>
      </c>
      <c r="C84" s="2" t="s">
        <v>101</v>
      </c>
      <c r="D84" s="1" t="s">
        <v>12</v>
      </c>
      <c r="E84" s="1" t="s">
        <v>13</v>
      </c>
      <c r="F84" s="2">
        <v>5000.0</v>
      </c>
    </row>
    <row r="85">
      <c r="A85" s="1">
        <v>84.0</v>
      </c>
      <c r="B85" s="2" t="s">
        <v>102</v>
      </c>
      <c r="C85" s="2" t="s">
        <v>102</v>
      </c>
      <c r="D85" s="1" t="s">
        <v>12</v>
      </c>
      <c r="E85" s="1" t="s">
        <v>13</v>
      </c>
      <c r="F85" s="2">
        <v>5000.0</v>
      </c>
    </row>
    <row r="86">
      <c r="A86" s="1">
        <v>85.0</v>
      </c>
      <c r="B86" s="2" t="s">
        <v>103</v>
      </c>
      <c r="C86" s="2" t="s">
        <v>103</v>
      </c>
      <c r="D86" s="1" t="s">
        <v>12</v>
      </c>
      <c r="E86" s="1" t="s">
        <v>13</v>
      </c>
      <c r="F86" s="2">
        <v>5000.0</v>
      </c>
    </row>
    <row r="87">
      <c r="A87" s="1">
        <v>86.0</v>
      </c>
      <c r="B87" s="2" t="s">
        <v>104</v>
      </c>
      <c r="C87" s="2" t="s">
        <v>104</v>
      </c>
      <c r="D87" s="1" t="s">
        <v>12</v>
      </c>
      <c r="E87" s="1" t="s">
        <v>13</v>
      </c>
      <c r="F87" s="2">
        <v>5000.0</v>
      </c>
    </row>
    <row r="88">
      <c r="A88" s="1">
        <v>87.0</v>
      </c>
      <c r="B88" s="2" t="s">
        <v>105</v>
      </c>
      <c r="C88" s="2" t="s">
        <v>105</v>
      </c>
      <c r="D88" s="1" t="s">
        <v>12</v>
      </c>
      <c r="E88" s="1" t="s">
        <v>13</v>
      </c>
      <c r="F88" s="2">
        <v>5000.0</v>
      </c>
    </row>
    <row r="89">
      <c r="A89" s="1">
        <v>88.0</v>
      </c>
      <c r="B89" s="2" t="s">
        <v>106</v>
      </c>
      <c r="C89" s="2" t="s">
        <v>106</v>
      </c>
      <c r="D89" s="1" t="s">
        <v>12</v>
      </c>
      <c r="E89" s="1" t="s">
        <v>13</v>
      </c>
      <c r="F89" s="2">
        <v>5000.0</v>
      </c>
    </row>
    <row r="90">
      <c r="A90" s="1">
        <v>89.0</v>
      </c>
      <c r="B90" s="2" t="s">
        <v>107</v>
      </c>
      <c r="C90" s="2" t="s">
        <v>107</v>
      </c>
      <c r="D90" s="1" t="s">
        <v>12</v>
      </c>
      <c r="E90" s="1" t="s">
        <v>13</v>
      </c>
      <c r="F90" s="2">
        <v>5000.0</v>
      </c>
    </row>
    <row r="91">
      <c r="A91" s="1">
        <v>90.0</v>
      </c>
      <c r="B91" s="2" t="s">
        <v>108</v>
      </c>
      <c r="C91" s="2" t="s">
        <v>108</v>
      </c>
      <c r="D91" s="1" t="s">
        <v>12</v>
      </c>
      <c r="E91" s="1" t="s">
        <v>13</v>
      </c>
      <c r="F91" s="2">
        <v>5000.0</v>
      </c>
    </row>
    <row r="92">
      <c r="A92" s="1">
        <v>91.0</v>
      </c>
      <c r="B92" s="2" t="s">
        <v>109</v>
      </c>
      <c r="C92" s="2" t="s">
        <v>109</v>
      </c>
      <c r="D92" s="1" t="s">
        <v>12</v>
      </c>
      <c r="E92" s="1" t="s">
        <v>13</v>
      </c>
      <c r="F92" s="2">
        <v>5000.0</v>
      </c>
    </row>
    <row r="93">
      <c r="A93" s="1">
        <v>92.0</v>
      </c>
      <c r="B93" s="2" t="s">
        <v>110</v>
      </c>
      <c r="C93" s="2" t="s">
        <v>110</v>
      </c>
      <c r="D93" s="1" t="s">
        <v>12</v>
      </c>
      <c r="E93" s="1" t="s">
        <v>13</v>
      </c>
      <c r="F93" s="2">
        <v>5000.0</v>
      </c>
    </row>
    <row r="94">
      <c r="A94" s="1">
        <v>93.0</v>
      </c>
      <c r="B94" s="2" t="s">
        <v>111</v>
      </c>
      <c r="C94" s="2" t="s">
        <v>111</v>
      </c>
      <c r="D94" s="1" t="s">
        <v>13</v>
      </c>
      <c r="E94" s="1" t="s">
        <v>13</v>
      </c>
      <c r="F94" s="2">
        <v>20000.0</v>
      </c>
    </row>
    <row r="95">
      <c r="A95" s="1">
        <v>94.0</v>
      </c>
      <c r="B95" s="2" t="s">
        <v>112</v>
      </c>
      <c r="C95" s="2" t="s">
        <v>112</v>
      </c>
      <c r="D95" s="1" t="s">
        <v>13</v>
      </c>
      <c r="E95" s="1" t="s">
        <v>13</v>
      </c>
      <c r="F95" s="2">
        <v>59500.0</v>
      </c>
    </row>
    <row r="96">
      <c r="A96" s="1">
        <v>95.0</v>
      </c>
      <c r="B96" s="2" t="s">
        <v>113</v>
      </c>
      <c r="C96" s="2" t="s">
        <v>113</v>
      </c>
      <c r="D96" s="1" t="s">
        <v>12</v>
      </c>
      <c r="E96" s="1" t="s">
        <v>13</v>
      </c>
      <c r="F96" s="2">
        <v>5000.0</v>
      </c>
    </row>
    <row r="97">
      <c r="A97" s="1">
        <v>96.0</v>
      </c>
      <c r="B97" s="2" t="s">
        <v>114</v>
      </c>
      <c r="C97" s="2" t="s">
        <v>114</v>
      </c>
      <c r="D97" s="1" t="s">
        <v>13</v>
      </c>
      <c r="E97" s="1" t="s">
        <v>13</v>
      </c>
      <c r="F97" s="2">
        <v>50000.0</v>
      </c>
    </row>
    <row r="98">
      <c r="A98" s="1">
        <v>97.0</v>
      </c>
      <c r="B98" s="2" t="s">
        <v>115</v>
      </c>
      <c r="C98" s="2" t="s">
        <v>115</v>
      </c>
      <c r="D98" s="1" t="s">
        <v>12</v>
      </c>
      <c r="E98" s="1" t="s">
        <v>13</v>
      </c>
      <c r="F98" s="2">
        <v>5000.0</v>
      </c>
    </row>
    <row r="99">
      <c r="A99" s="1">
        <v>98.0</v>
      </c>
      <c r="B99" s="2" t="s">
        <v>116</v>
      </c>
      <c r="C99" s="2" t="s">
        <v>116</v>
      </c>
      <c r="D99" s="1" t="s">
        <v>13</v>
      </c>
      <c r="E99" s="1" t="s">
        <v>13</v>
      </c>
      <c r="F99" s="2">
        <v>5000.0</v>
      </c>
    </row>
    <row r="100">
      <c r="A100" s="1">
        <v>99.0</v>
      </c>
      <c r="B100" s="2" t="s">
        <v>117</v>
      </c>
      <c r="C100" s="2" t="s">
        <v>117</v>
      </c>
      <c r="D100" s="1" t="s">
        <v>13</v>
      </c>
      <c r="E100" s="1" t="s">
        <v>13</v>
      </c>
      <c r="F100" s="2">
        <v>27500.0</v>
      </c>
    </row>
    <row r="101">
      <c r="A101" s="1">
        <v>100.0</v>
      </c>
      <c r="B101" s="2" t="s">
        <v>118</v>
      </c>
      <c r="C101" s="2" t="s">
        <v>118</v>
      </c>
      <c r="D101" s="1" t="s">
        <v>13</v>
      </c>
      <c r="E101" s="1" t="s">
        <v>13</v>
      </c>
      <c r="F101" s="2">
        <v>55000.0</v>
      </c>
    </row>
    <row r="102">
      <c r="A102" s="1">
        <v>101.0</v>
      </c>
      <c r="B102" s="2" t="s">
        <v>119</v>
      </c>
      <c r="C102" s="2" t="s">
        <v>119</v>
      </c>
      <c r="D102" s="1" t="s">
        <v>12</v>
      </c>
      <c r="E102" s="1" t="s">
        <v>13</v>
      </c>
      <c r="F102" s="2">
        <v>5000.0</v>
      </c>
    </row>
    <row r="103">
      <c r="A103" s="1">
        <v>102.0</v>
      </c>
      <c r="B103" s="2" t="s">
        <v>120</v>
      </c>
      <c r="C103" s="2" t="s">
        <v>120</v>
      </c>
      <c r="D103" s="1" t="s">
        <v>12</v>
      </c>
      <c r="E103" s="1" t="s">
        <v>13</v>
      </c>
      <c r="F103" s="2">
        <v>5000.0</v>
      </c>
    </row>
    <row r="104">
      <c r="A104" s="1">
        <v>103.0</v>
      </c>
      <c r="B104" s="2" t="s">
        <v>121</v>
      </c>
      <c r="C104" s="2" t="s">
        <v>121</v>
      </c>
      <c r="D104" s="1" t="s">
        <v>12</v>
      </c>
      <c r="E104" s="1" t="s">
        <v>13</v>
      </c>
      <c r="F104" s="2">
        <v>5000.0</v>
      </c>
    </row>
    <row r="105">
      <c r="A105" s="1">
        <v>104.0</v>
      </c>
      <c r="B105" s="2" t="s">
        <v>122</v>
      </c>
      <c r="C105" s="2" t="s">
        <v>122</v>
      </c>
      <c r="D105" s="1" t="s">
        <v>12</v>
      </c>
      <c r="E105" s="1" t="s">
        <v>13</v>
      </c>
      <c r="F105" s="2">
        <v>5000.0</v>
      </c>
    </row>
    <row r="106">
      <c r="A106" s="1">
        <v>105.0</v>
      </c>
      <c r="B106" s="2" t="s">
        <v>123</v>
      </c>
      <c r="C106" s="2" t="s">
        <v>123</v>
      </c>
      <c r="D106" s="1" t="s">
        <v>12</v>
      </c>
      <c r="E106" s="1" t="s">
        <v>13</v>
      </c>
      <c r="F106" s="2">
        <v>5000.0</v>
      </c>
    </row>
    <row r="107">
      <c r="A107" s="1">
        <v>106.0</v>
      </c>
      <c r="B107" s="2" t="s">
        <v>124</v>
      </c>
      <c r="C107" s="2" t="s">
        <v>124</v>
      </c>
      <c r="D107" s="1" t="s">
        <v>12</v>
      </c>
      <c r="E107" s="1" t="s">
        <v>13</v>
      </c>
      <c r="F107" s="2">
        <v>5000.0</v>
      </c>
    </row>
    <row r="108">
      <c r="A108" s="1">
        <v>107.0</v>
      </c>
      <c r="B108" s="2" t="s">
        <v>125</v>
      </c>
      <c r="C108" s="2" t="s">
        <v>125</v>
      </c>
      <c r="D108" s="1" t="s">
        <v>12</v>
      </c>
      <c r="E108" s="1" t="s">
        <v>13</v>
      </c>
      <c r="F108" s="2">
        <v>5000.0</v>
      </c>
    </row>
    <row r="109">
      <c r="A109" s="1">
        <v>108.0</v>
      </c>
      <c r="B109" s="2" t="s">
        <v>126</v>
      </c>
      <c r="C109" s="2" t="s">
        <v>126</v>
      </c>
      <c r="D109" s="1" t="s">
        <v>12</v>
      </c>
      <c r="E109" s="1" t="s">
        <v>13</v>
      </c>
      <c r="F109" s="2">
        <v>5000.0</v>
      </c>
    </row>
    <row r="110">
      <c r="A110" s="1">
        <v>109.0</v>
      </c>
      <c r="B110" s="2" t="s">
        <v>127</v>
      </c>
      <c r="C110" s="2" t="s">
        <v>127</v>
      </c>
      <c r="D110" s="1" t="s">
        <v>12</v>
      </c>
      <c r="E110" s="1" t="s">
        <v>13</v>
      </c>
      <c r="F110" s="2">
        <v>5000.0</v>
      </c>
    </row>
    <row r="111">
      <c r="A111" s="1">
        <v>110.0</v>
      </c>
      <c r="B111" s="2" t="s">
        <v>128</v>
      </c>
      <c r="C111" s="2" t="s">
        <v>128</v>
      </c>
      <c r="D111" s="1" t="s">
        <v>12</v>
      </c>
      <c r="E111" s="1" t="s">
        <v>13</v>
      </c>
      <c r="F111" s="2">
        <v>5000.0</v>
      </c>
    </row>
    <row r="112">
      <c r="A112" s="1">
        <v>111.0</v>
      </c>
      <c r="B112" s="2" t="s">
        <v>129</v>
      </c>
      <c r="C112" s="2" t="s">
        <v>129</v>
      </c>
      <c r="D112" s="1" t="s">
        <v>12</v>
      </c>
      <c r="E112" s="1" t="s">
        <v>13</v>
      </c>
      <c r="F112" s="2">
        <v>5000.0</v>
      </c>
    </row>
    <row r="113">
      <c r="A113" s="1">
        <v>112.0</v>
      </c>
      <c r="B113" s="2" t="s">
        <v>130</v>
      </c>
      <c r="C113" s="2" t="s">
        <v>130</v>
      </c>
      <c r="D113" s="1" t="s">
        <v>12</v>
      </c>
      <c r="E113" s="1" t="s">
        <v>13</v>
      </c>
      <c r="F113" s="2" t="e">
        <v>#N/A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35.0"/>
    <col customWidth="1" min="3" max="4" width="17.0"/>
    <col customWidth="1" min="5" max="5" width="16.88"/>
    <col customWidth="1" min="6" max="6" width="8.13"/>
  </cols>
  <sheetData>
    <row r="1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>
      <c r="A2" s="1">
        <v>1.0</v>
      </c>
      <c r="B2" s="1" t="s">
        <v>285</v>
      </c>
      <c r="C2" s="1" t="s">
        <v>137</v>
      </c>
      <c r="D2" s="2" t="s">
        <v>215</v>
      </c>
      <c r="E2" s="1" t="s">
        <v>215</v>
      </c>
      <c r="F2" s="3">
        <v>2500.0</v>
      </c>
    </row>
    <row r="3">
      <c r="A3" s="1">
        <v>2.0</v>
      </c>
      <c r="B3" s="1" t="s">
        <v>290</v>
      </c>
      <c r="C3" s="1" t="s">
        <v>137</v>
      </c>
      <c r="D3" s="2" t="s">
        <v>138</v>
      </c>
      <c r="E3" s="1" t="s">
        <v>138</v>
      </c>
      <c r="F3" s="3">
        <v>1500.0</v>
      </c>
    </row>
    <row r="4">
      <c r="A4" s="1">
        <v>3.0</v>
      </c>
      <c r="B4" s="1" t="s">
        <v>210</v>
      </c>
      <c r="C4" s="1" t="s">
        <v>137</v>
      </c>
      <c r="D4" s="2" t="s">
        <v>139</v>
      </c>
      <c r="E4" s="1" t="s">
        <v>139</v>
      </c>
      <c r="F4" s="3">
        <v>500.0</v>
      </c>
    </row>
    <row r="5">
      <c r="A5" s="1">
        <v>4.0</v>
      </c>
      <c r="B5" s="1" t="s">
        <v>397</v>
      </c>
      <c r="C5" s="1" t="s">
        <v>137</v>
      </c>
      <c r="D5" s="2" t="s">
        <v>140</v>
      </c>
      <c r="E5" s="1" t="s">
        <v>140</v>
      </c>
      <c r="F5" s="3">
        <v>2000.0</v>
      </c>
    </row>
    <row r="6">
      <c r="A6" s="1">
        <v>5.0</v>
      </c>
      <c r="B6" s="1" t="s">
        <v>527</v>
      </c>
      <c r="C6" s="1" t="s">
        <v>137</v>
      </c>
      <c r="D6" s="2" t="s">
        <v>141</v>
      </c>
      <c r="E6" s="1" t="s">
        <v>141</v>
      </c>
      <c r="F6" s="3">
        <v>1000.0</v>
      </c>
    </row>
    <row r="7">
      <c r="A7" s="1">
        <v>6.0</v>
      </c>
      <c r="B7" s="1" t="s">
        <v>532</v>
      </c>
      <c r="C7" s="1" t="s">
        <v>137</v>
      </c>
      <c r="D7" s="2" t="s">
        <v>142</v>
      </c>
      <c r="E7" s="1" t="s">
        <v>142</v>
      </c>
      <c r="F7" s="3">
        <v>500.0</v>
      </c>
    </row>
    <row r="8">
      <c r="A8" s="1">
        <v>7.0</v>
      </c>
      <c r="B8" s="1" t="s">
        <v>535</v>
      </c>
      <c r="C8" s="1" t="s">
        <v>137</v>
      </c>
      <c r="D8" s="2" t="s">
        <v>143</v>
      </c>
      <c r="E8" s="1" t="s">
        <v>143</v>
      </c>
      <c r="F8" s="3">
        <v>500.0</v>
      </c>
    </row>
    <row r="9">
      <c r="A9" s="1">
        <v>8.0</v>
      </c>
      <c r="B9" s="1" t="s">
        <v>327</v>
      </c>
      <c r="C9" s="1" t="s">
        <v>137</v>
      </c>
      <c r="D9" s="2" t="s">
        <v>144</v>
      </c>
      <c r="E9" s="1" t="s">
        <v>144</v>
      </c>
      <c r="F9" s="3">
        <v>2000.0</v>
      </c>
    </row>
    <row r="10">
      <c r="A10" s="1">
        <v>9.0</v>
      </c>
      <c r="B10" s="1" t="s">
        <v>291</v>
      </c>
      <c r="C10" s="1" t="s">
        <v>137</v>
      </c>
      <c r="D10" s="2" t="s">
        <v>145</v>
      </c>
      <c r="E10" s="1" t="s">
        <v>145</v>
      </c>
      <c r="F10" s="3">
        <v>1500.0</v>
      </c>
    </row>
    <row r="11">
      <c r="A11" s="1">
        <v>10.0</v>
      </c>
      <c r="B11" s="1" t="s">
        <v>351</v>
      </c>
      <c r="C11" s="1" t="s">
        <v>137</v>
      </c>
      <c r="D11" s="2" t="s">
        <v>146</v>
      </c>
      <c r="E11" s="1" t="s">
        <v>146</v>
      </c>
      <c r="F11" s="3">
        <v>2000.0</v>
      </c>
    </row>
    <row r="12">
      <c r="A12" s="1">
        <v>11.0</v>
      </c>
      <c r="B12" s="1" t="s">
        <v>210</v>
      </c>
      <c r="C12" s="1" t="s">
        <v>137</v>
      </c>
      <c r="D12" s="2" t="s">
        <v>147</v>
      </c>
      <c r="E12" s="1" t="s">
        <v>147</v>
      </c>
      <c r="F12" s="3">
        <v>500.0</v>
      </c>
    </row>
    <row r="13">
      <c r="A13" s="1">
        <v>12.0</v>
      </c>
      <c r="B13" s="1" t="s">
        <v>298</v>
      </c>
      <c r="C13" s="1" t="s">
        <v>137</v>
      </c>
      <c r="D13" s="2" t="s">
        <v>148</v>
      </c>
      <c r="E13" s="1" t="s">
        <v>148</v>
      </c>
      <c r="F13" s="3">
        <v>2000.0</v>
      </c>
    </row>
    <row r="14">
      <c r="A14" s="1">
        <v>13.0</v>
      </c>
      <c r="B14" s="1" t="s">
        <v>210</v>
      </c>
      <c r="C14" s="1" t="s">
        <v>137</v>
      </c>
      <c r="D14" s="2" t="s">
        <v>149</v>
      </c>
      <c r="E14" s="1" t="s">
        <v>149</v>
      </c>
      <c r="F14" s="3">
        <v>500.0</v>
      </c>
    </row>
    <row r="15">
      <c r="A15" s="1">
        <v>14.0</v>
      </c>
      <c r="B15" s="1" t="s">
        <v>393</v>
      </c>
      <c r="C15" s="1" t="s">
        <v>137</v>
      </c>
      <c r="D15" s="2" t="s">
        <v>150</v>
      </c>
      <c r="E15" s="1" t="s">
        <v>150</v>
      </c>
      <c r="F15" s="3">
        <v>1500.0</v>
      </c>
    </row>
    <row r="16">
      <c r="A16" s="1">
        <v>15.0</v>
      </c>
      <c r="B16" s="1" t="s">
        <v>344</v>
      </c>
      <c r="C16" s="1" t="s">
        <v>137</v>
      </c>
      <c r="D16" s="2" t="s">
        <v>151</v>
      </c>
      <c r="E16" s="1" t="s">
        <v>151</v>
      </c>
      <c r="F16" s="3">
        <v>1500.0</v>
      </c>
    </row>
    <row r="17">
      <c r="A17" s="1">
        <v>16.0</v>
      </c>
      <c r="B17" s="1" t="s">
        <v>305</v>
      </c>
      <c r="C17" s="1" t="s">
        <v>137</v>
      </c>
      <c r="D17" s="2" t="s">
        <v>152</v>
      </c>
      <c r="E17" s="1" t="s">
        <v>152</v>
      </c>
      <c r="F17" s="3">
        <v>1500.0</v>
      </c>
    </row>
    <row r="18">
      <c r="A18" s="1">
        <v>17.0</v>
      </c>
      <c r="B18" s="1" t="s">
        <v>315</v>
      </c>
      <c r="C18" s="1" t="s">
        <v>137</v>
      </c>
      <c r="D18" s="2" t="s">
        <v>153</v>
      </c>
      <c r="E18" s="1" t="s">
        <v>153</v>
      </c>
      <c r="F18" s="3">
        <v>2500.0</v>
      </c>
    </row>
    <row r="19">
      <c r="A19" s="1">
        <v>18.0</v>
      </c>
      <c r="B19" s="4" t="s">
        <v>154</v>
      </c>
      <c r="C19" s="1" t="s">
        <v>137</v>
      </c>
      <c r="D19" s="2" t="s">
        <v>155</v>
      </c>
      <c r="E19" s="1" t="s">
        <v>155</v>
      </c>
      <c r="F19" s="3">
        <v>7500.0</v>
      </c>
    </row>
    <row r="20">
      <c r="A20" s="1">
        <v>19.0</v>
      </c>
      <c r="B20" s="4" t="s">
        <v>156</v>
      </c>
      <c r="C20" s="1" t="s">
        <v>137</v>
      </c>
      <c r="D20" s="2" t="s">
        <v>157</v>
      </c>
      <c r="E20" s="1" t="s">
        <v>157</v>
      </c>
      <c r="F20" s="3">
        <v>7500.0</v>
      </c>
    </row>
    <row r="21">
      <c r="A21" s="1">
        <v>20.0</v>
      </c>
      <c r="B21" s="4" t="s">
        <v>158</v>
      </c>
      <c r="C21" s="1" t="s">
        <v>137</v>
      </c>
      <c r="D21" s="2" t="s">
        <v>159</v>
      </c>
      <c r="E21" s="1" t="s">
        <v>159</v>
      </c>
      <c r="F21" s="3">
        <v>7500.0</v>
      </c>
    </row>
    <row r="22">
      <c r="A22" s="1">
        <v>21.0</v>
      </c>
      <c r="B22" s="4" t="s">
        <v>160</v>
      </c>
      <c r="C22" s="1" t="s">
        <v>137</v>
      </c>
      <c r="D22" s="2" t="s">
        <v>161</v>
      </c>
      <c r="E22" s="1" t="s">
        <v>161</v>
      </c>
      <c r="F22" s="3">
        <v>7500.0</v>
      </c>
    </row>
    <row r="23">
      <c r="A23" s="1">
        <v>22.0</v>
      </c>
      <c r="B23" s="4" t="s">
        <v>162</v>
      </c>
      <c r="C23" s="1" t="s">
        <v>137</v>
      </c>
      <c r="D23" s="2" t="s">
        <v>163</v>
      </c>
      <c r="E23" s="1" t="s">
        <v>163</v>
      </c>
      <c r="F23" s="3">
        <v>7500.0</v>
      </c>
    </row>
    <row r="24">
      <c r="A24" s="1">
        <v>23.0</v>
      </c>
      <c r="B24" s="4" t="s">
        <v>164</v>
      </c>
      <c r="C24" s="1" t="s">
        <v>137</v>
      </c>
      <c r="D24" s="2" t="s">
        <v>165</v>
      </c>
      <c r="E24" s="1" t="s">
        <v>165</v>
      </c>
      <c r="F24" s="1">
        <v>7500.0</v>
      </c>
    </row>
    <row r="25">
      <c r="A25" s="1">
        <v>24.0</v>
      </c>
      <c r="B25" s="4" t="s">
        <v>166</v>
      </c>
      <c r="C25" s="1" t="s">
        <v>137</v>
      </c>
      <c r="D25" s="2" t="s">
        <v>167</v>
      </c>
      <c r="E25" s="1" t="s">
        <v>167</v>
      </c>
      <c r="F25" s="1">
        <v>7500.0</v>
      </c>
    </row>
    <row r="26">
      <c r="A26" s="1">
        <v>25.0</v>
      </c>
      <c r="B26" s="4" t="s">
        <v>168</v>
      </c>
      <c r="C26" s="1" t="s">
        <v>137</v>
      </c>
      <c r="D26" s="2" t="s">
        <v>169</v>
      </c>
      <c r="E26" s="1" t="s">
        <v>169</v>
      </c>
      <c r="F26" s="1">
        <v>7500.0</v>
      </c>
    </row>
    <row r="27">
      <c r="A27" s="1">
        <v>26.0</v>
      </c>
      <c r="B27" s="4" t="s">
        <v>170</v>
      </c>
      <c r="C27" s="1" t="s">
        <v>137</v>
      </c>
      <c r="D27" s="2" t="s">
        <v>171</v>
      </c>
      <c r="E27" s="1" t="s">
        <v>171</v>
      </c>
      <c r="F27" s="1">
        <v>7500.0</v>
      </c>
    </row>
    <row r="28">
      <c r="A28" s="1">
        <v>27.0</v>
      </c>
      <c r="B28" s="4" t="s">
        <v>172</v>
      </c>
      <c r="C28" s="1" t="s">
        <v>137</v>
      </c>
      <c r="D28" s="2" t="s">
        <v>173</v>
      </c>
      <c r="E28" s="1" t="s">
        <v>173</v>
      </c>
      <c r="F28" s="3">
        <v>2500.0</v>
      </c>
    </row>
    <row r="29">
      <c r="A29" s="1">
        <v>28.0</v>
      </c>
      <c r="B29" s="4" t="s">
        <v>174</v>
      </c>
      <c r="C29" s="1" t="s">
        <v>137</v>
      </c>
      <c r="D29" s="2" t="s">
        <v>175</v>
      </c>
      <c r="E29" s="1" t="s">
        <v>175</v>
      </c>
      <c r="F29" s="3">
        <v>2500.0</v>
      </c>
    </row>
    <row r="30">
      <c r="A30" s="1">
        <v>29.0</v>
      </c>
      <c r="B30" s="4" t="s">
        <v>176</v>
      </c>
      <c r="C30" s="1" t="s">
        <v>137</v>
      </c>
      <c r="D30" s="2" t="s">
        <v>177</v>
      </c>
      <c r="E30" s="1" t="s">
        <v>177</v>
      </c>
      <c r="F30" s="1">
        <v>7500.0</v>
      </c>
    </row>
    <row r="31">
      <c r="A31" s="1">
        <v>30.0</v>
      </c>
      <c r="B31" s="4" t="s">
        <v>178</v>
      </c>
      <c r="C31" s="1" t="s">
        <v>137</v>
      </c>
      <c r="D31" s="2" t="s">
        <v>179</v>
      </c>
      <c r="E31" s="1" t="s">
        <v>179</v>
      </c>
      <c r="F31" s="1">
        <v>7500.0</v>
      </c>
    </row>
    <row r="32">
      <c r="A32" s="1">
        <v>31.0</v>
      </c>
      <c r="B32" s="4" t="s">
        <v>180</v>
      </c>
      <c r="C32" s="1" t="s">
        <v>137</v>
      </c>
      <c r="D32" s="2" t="s">
        <v>181</v>
      </c>
      <c r="E32" s="1" t="s">
        <v>181</v>
      </c>
      <c r="F32" s="1">
        <v>7500.0</v>
      </c>
    </row>
    <row r="33">
      <c r="A33" s="1">
        <v>32.0</v>
      </c>
      <c r="B33" s="4" t="s">
        <v>182</v>
      </c>
      <c r="C33" s="1" t="s">
        <v>137</v>
      </c>
      <c r="D33" s="2" t="s">
        <v>183</v>
      </c>
      <c r="E33" s="1" t="s">
        <v>183</v>
      </c>
      <c r="F33" s="1">
        <v>7500.0</v>
      </c>
    </row>
    <row r="34">
      <c r="A34" s="1">
        <v>33.0</v>
      </c>
      <c r="B34" s="4" t="s">
        <v>184</v>
      </c>
      <c r="C34" s="1" t="s">
        <v>137</v>
      </c>
      <c r="D34" s="2" t="s">
        <v>185</v>
      </c>
      <c r="E34" s="1" t="s">
        <v>185</v>
      </c>
      <c r="F34" s="1">
        <v>7500.0</v>
      </c>
    </row>
    <row r="35">
      <c r="A35" s="1">
        <v>34.0</v>
      </c>
      <c r="B35" s="1" t="s">
        <v>186</v>
      </c>
      <c r="C35" s="1" t="s">
        <v>137</v>
      </c>
      <c r="D35" s="2" t="s">
        <v>187</v>
      </c>
      <c r="E35" s="1" t="s">
        <v>187</v>
      </c>
      <c r="F35" s="3">
        <v>1500.0</v>
      </c>
    </row>
    <row r="36">
      <c r="A36" s="1">
        <v>35.0</v>
      </c>
      <c r="B36" s="1" t="s">
        <v>310</v>
      </c>
      <c r="C36" s="1" t="s">
        <v>137</v>
      </c>
      <c r="D36" s="2" t="s">
        <v>188</v>
      </c>
      <c r="E36" s="1" t="s">
        <v>188</v>
      </c>
      <c r="F36" s="3">
        <v>1500.0</v>
      </c>
    </row>
    <row r="37">
      <c r="A37" s="1">
        <v>36.0</v>
      </c>
      <c r="B37" s="1" t="s">
        <v>396</v>
      </c>
      <c r="C37" s="1" t="s">
        <v>137</v>
      </c>
      <c r="D37" s="2" t="s">
        <v>189</v>
      </c>
      <c r="E37" s="1" t="s">
        <v>189</v>
      </c>
      <c r="F37" s="3">
        <v>2500.0</v>
      </c>
    </row>
    <row r="38">
      <c r="A38" s="1">
        <v>37.0</v>
      </c>
      <c r="B38" s="1" t="s">
        <v>313</v>
      </c>
      <c r="C38" s="1" t="s">
        <v>137</v>
      </c>
      <c r="D38" s="2" t="s">
        <v>190</v>
      </c>
      <c r="E38" s="1" t="s">
        <v>190</v>
      </c>
      <c r="F38" s="3">
        <v>2500.0</v>
      </c>
    </row>
    <row r="39">
      <c r="A39" s="1">
        <v>38.0</v>
      </c>
      <c r="B39" s="4" t="s">
        <v>191</v>
      </c>
      <c r="C39" s="1" t="s">
        <v>137</v>
      </c>
      <c r="D39" s="2" t="s">
        <v>192</v>
      </c>
      <c r="E39" s="1" t="s">
        <v>192</v>
      </c>
      <c r="F39" s="3">
        <v>2500.0</v>
      </c>
    </row>
    <row r="40">
      <c r="A40" s="1">
        <v>39.0</v>
      </c>
      <c r="B40" s="4" t="s">
        <v>193</v>
      </c>
      <c r="C40" s="1" t="s">
        <v>137</v>
      </c>
      <c r="D40" s="2" t="s">
        <v>194</v>
      </c>
      <c r="E40" s="1" t="s">
        <v>194</v>
      </c>
      <c r="F40" s="3">
        <v>2500.0</v>
      </c>
    </row>
    <row r="41">
      <c r="A41" s="1">
        <v>40.0</v>
      </c>
      <c r="B41" s="4" t="s">
        <v>195</v>
      </c>
      <c r="C41" s="1" t="s">
        <v>137</v>
      </c>
      <c r="D41" s="2" t="s">
        <v>196</v>
      </c>
      <c r="E41" s="1" t="s">
        <v>196</v>
      </c>
      <c r="F41" s="3">
        <v>2500.0</v>
      </c>
    </row>
    <row r="42">
      <c r="A42" s="1">
        <v>41.0</v>
      </c>
      <c r="B42" s="1" t="s">
        <v>309</v>
      </c>
      <c r="C42" s="1" t="s">
        <v>137</v>
      </c>
      <c r="D42" s="2" t="s">
        <v>197</v>
      </c>
      <c r="E42" s="2" t="s">
        <v>197</v>
      </c>
      <c r="F42" s="3">
        <v>1500.0</v>
      </c>
    </row>
    <row r="43">
      <c r="A43" s="1">
        <v>42.0</v>
      </c>
      <c r="B43" s="1" t="s">
        <v>198</v>
      </c>
      <c r="C43" s="1" t="s">
        <v>137</v>
      </c>
      <c r="D43" s="2" t="s">
        <v>199</v>
      </c>
      <c r="E43" s="5" t="s">
        <v>199</v>
      </c>
      <c r="F43" s="3">
        <v>1500.0</v>
      </c>
    </row>
    <row r="44">
      <c r="A44" s="1">
        <v>43.0</v>
      </c>
      <c r="B44" s="1" t="s">
        <v>361</v>
      </c>
      <c r="C44" s="1" t="s">
        <v>137</v>
      </c>
      <c r="D44" s="2" t="s">
        <v>200</v>
      </c>
      <c r="E44" s="2" t="s">
        <v>200</v>
      </c>
      <c r="F44" s="3">
        <v>1500.0</v>
      </c>
    </row>
    <row r="45">
      <c r="A45" s="1">
        <v>44.0</v>
      </c>
      <c r="B45" s="4" t="s">
        <v>201</v>
      </c>
      <c r="C45" s="1" t="s">
        <v>137</v>
      </c>
      <c r="D45" s="2" t="s">
        <v>202</v>
      </c>
      <c r="E45" s="2" t="s">
        <v>202</v>
      </c>
      <c r="F45" s="3">
        <v>2500.0</v>
      </c>
    </row>
    <row r="46">
      <c r="A46" s="1">
        <v>45.0</v>
      </c>
      <c r="B46" s="4" t="s">
        <v>203</v>
      </c>
      <c r="C46" s="1" t="s">
        <v>137</v>
      </c>
      <c r="D46" s="2" t="s">
        <v>204</v>
      </c>
      <c r="E46" s="2" t="s">
        <v>204</v>
      </c>
      <c r="F46" s="3">
        <v>2500.0</v>
      </c>
    </row>
    <row r="47">
      <c r="A47" s="1">
        <v>46.0</v>
      </c>
      <c r="B47" s="1" t="e">
        <v>#N/A</v>
      </c>
      <c r="F47" s="3" t="e">
        <v>#N/A</v>
      </c>
    </row>
    <row r="48">
      <c r="A48" s="1">
        <v>47.0</v>
      </c>
      <c r="B48" s="1" t="s">
        <v>367</v>
      </c>
      <c r="C48" s="1" t="s">
        <v>137</v>
      </c>
      <c r="D48" s="2" t="s">
        <v>205</v>
      </c>
      <c r="E48" s="2" t="s">
        <v>205</v>
      </c>
      <c r="F48" s="3">
        <v>1500.0</v>
      </c>
    </row>
    <row r="49">
      <c r="A49" s="1">
        <v>48.0</v>
      </c>
      <c r="B49" s="1" t="s">
        <v>210</v>
      </c>
      <c r="C49" s="1" t="s">
        <v>137</v>
      </c>
      <c r="D49" s="2" t="s">
        <v>206</v>
      </c>
      <c r="E49" s="2" t="s">
        <v>206</v>
      </c>
      <c r="F49" s="3">
        <v>500.0</v>
      </c>
    </row>
    <row r="50">
      <c r="A50" s="1">
        <v>49.0</v>
      </c>
      <c r="B50" s="1" t="s">
        <v>207</v>
      </c>
      <c r="C50" s="1" t="s">
        <v>137</v>
      </c>
      <c r="D50" s="2" t="s">
        <v>208</v>
      </c>
      <c r="E50" s="2" t="s">
        <v>208</v>
      </c>
      <c r="F50" s="3">
        <v>2000.0</v>
      </c>
    </row>
    <row r="51">
      <c r="A51" s="1">
        <v>50.0</v>
      </c>
      <c r="B51" s="1" t="s">
        <v>306</v>
      </c>
      <c r="C51" s="1" t="s">
        <v>137</v>
      </c>
      <c r="D51" s="2" t="s">
        <v>209</v>
      </c>
      <c r="E51" s="2" t="s">
        <v>209</v>
      </c>
      <c r="F51" s="3">
        <v>1500.0</v>
      </c>
    </row>
    <row r="52">
      <c r="A52" s="1">
        <v>51.0</v>
      </c>
      <c r="B52" s="1" t="s">
        <v>210</v>
      </c>
      <c r="C52" s="1" t="s">
        <v>137</v>
      </c>
      <c r="D52" s="2" t="s">
        <v>211</v>
      </c>
      <c r="E52" s="2" t="s">
        <v>211</v>
      </c>
      <c r="F52" s="1">
        <v>500.0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0.5"/>
    <col customWidth="1" min="3" max="3" width="17.0"/>
    <col customWidth="1" min="4" max="4" width="14.75"/>
  </cols>
  <sheetData>
    <row r="1">
      <c r="A1" s="1" t="s">
        <v>131</v>
      </c>
      <c r="B1" s="1" t="s">
        <v>2</v>
      </c>
      <c r="C1" s="1" t="s">
        <v>134</v>
      </c>
      <c r="D1" s="6" t="s">
        <v>212</v>
      </c>
      <c r="E1" s="7" t="s">
        <v>213</v>
      </c>
      <c r="F1" s="1" t="s">
        <v>214</v>
      </c>
    </row>
    <row r="2">
      <c r="B2" s="2" t="s">
        <v>11</v>
      </c>
      <c r="C2" s="5" t="s">
        <v>215</v>
      </c>
      <c r="D2" s="8">
        <v>6167.0</v>
      </c>
      <c r="E2" s="7">
        <v>0.0</v>
      </c>
      <c r="F2" s="2">
        <v>2500.0</v>
      </c>
    </row>
    <row r="3">
      <c r="B3" s="2" t="s">
        <v>14</v>
      </c>
      <c r="C3" s="5" t="s">
        <v>138</v>
      </c>
      <c r="D3" s="8">
        <v>3221.0</v>
      </c>
      <c r="E3" s="7">
        <v>0.0</v>
      </c>
      <c r="F3" s="2">
        <v>1500.0</v>
      </c>
    </row>
    <row r="4">
      <c r="B4" s="2" t="s">
        <v>15</v>
      </c>
      <c r="C4" s="5" t="s">
        <v>139</v>
      </c>
      <c r="D4" s="8">
        <v>6277.0</v>
      </c>
      <c r="E4" s="7">
        <v>0.0</v>
      </c>
      <c r="F4" s="2">
        <v>500.0</v>
      </c>
    </row>
    <row r="5">
      <c r="B5" s="2" t="s">
        <v>16</v>
      </c>
      <c r="C5" s="5" t="s">
        <v>140</v>
      </c>
      <c r="D5" s="8">
        <v>3399.0</v>
      </c>
      <c r="E5" s="7">
        <v>0.0</v>
      </c>
      <c r="F5" s="2">
        <v>2000.0</v>
      </c>
    </row>
    <row r="6">
      <c r="B6" s="2" t="s">
        <v>17</v>
      </c>
      <c r="C6" s="5" t="s">
        <v>215</v>
      </c>
      <c r="D6" s="8">
        <v>6167.0</v>
      </c>
      <c r="E6" s="7">
        <v>5.0</v>
      </c>
      <c r="F6" s="2">
        <v>2500.0</v>
      </c>
    </row>
    <row r="7">
      <c r="B7" s="2" t="s">
        <v>17</v>
      </c>
      <c r="C7" s="5" t="s">
        <v>141</v>
      </c>
      <c r="D7" s="6" t="s">
        <v>216</v>
      </c>
      <c r="E7" s="7">
        <v>1.0</v>
      </c>
      <c r="F7" s="2">
        <v>1000.0</v>
      </c>
    </row>
    <row r="8">
      <c r="B8" s="2" t="s">
        <v>17</v>
      </c>
      <c r="C8" s="5" t="s">
        <v>142</v>
      </c>
      <c r="D8" s="6" t="s">
        <v>217</v>
      </c>
      <c r="E8" s="7">
        <v>1.0</v>
      </c>
      <c r="F8" s="2">
        <v>500.0</v>
      </c>
    </row>
    <row r="9">
      <c r="B9" s="2" t="s">
        <v>17</v>
      </c>
      <c r="C9" s="5" t="s">
        <v>143</v>
      </c>
      <c r="D9" s="6" t="s">
        <v>218</v>
      </c>
      <c r="E9" s="7">
        <v>1.0</v>
      </c>
      <c r="F9" s="2">
        <v>500.0</v>
      </c>
    </row>
    <row r="10">
      <c r="B10" s="2" t="s">
        <v>18</v>
      </c>
      <c r="C10" s="5" t="s">
        <v>144</v>
      </c>
      <c r="D10" s="8">
        <v>2746.0</v>
      </c>
      <c r="E10" s="7">
        <v>5.0</v>
      </c>
      <c r="F10" s="2">
        <v>2000.0</v>
      </c>
    </row>
    <row r="11">
      <c r="B11" s="2" t="s">
        <v>18</v>
      </c>
      <c r="C11" s="5" t="s">
        <v>141</v>
      </c>
      <c r="D11" s="6" t="s">
        <v>216</v>
      </c>
      <c r="E11" s="7">
        <v>1.0</v>
      </c>
      <c r="F11" s="2">
        <v>1000.0</v>
      </c>
    </row>
    <row r="12">
      <c r="B12" s="2" t="s">
        <v>18</v>
      </c>
      <c r="C12" s="5" t="s">
        <v>142</v>
      </c>
      <c r="D12" s="6" t="s">
        <v>217</v>
      </c>
      <c r="E12" s="7">
        <v>1.0</v>
      </c>
      <c r="F12" s="2">
        <v>500.0</v>
      </c>
    </row>
    <row r="13">
      <c r="B13" s="2" t="s">
        <v>18</v>
      </c>
      <c r="C13" s="5" t="s">
        <v>143</v>
      </c>
      <c r="D13" s="6" t="s">
        <v>218</v>
      </c>
      <c r="E13" s="7">
        <v>1.0</v>
      </c>
      <c r="F13" s="2">
        <v>500.0</v>
      </c>
    </row>
    <row r="14">
      <c r="B14" s="2" t="s">
        <v>19</v>
      </c>
      <c r="C14" s="5" t="s">
        <v>145</v>
      </c>
      <c r="D14" s="8">
        <v>3223.0</v>
      </c>
      <c r="E14" s="7">
        <v>10.0</v>
      </c>
      <c r="F14" s="2">
        <v>1500.0</v>
      </c>
    </row>
    <row r="15">
      <c r="B15" s="2" t="s">
        <v>19</v>
      </c>
      <c r="C15" s="5" t="s">
        <v>141</v>
      </c>
      <c r="D15" s="6" t="s">
        <v>216</v>
      </c>
      <c r="E15" s="7">
        <v>1.0</v>
      </c>
      <c r="F15" s="2">
        <v>1000.0</v>
      </c>
    </row>
    <row r="16">
      <c r="B16" s="2" t="s">
        <v>19</v>
      </c>
      <c r="C16" s="5" t="s">
        <v>142</v>
      </c>
      <c r="D16" s="6" t="s">
        <v>217</v>
      </c>
      <c r="E16" s="7">
        <v>1.0</v>
      </c>
      <c r="F16" s="2">
        <v>500.0</v>
      </c>
    </row>
    <row r="17">
      <c r="B17" s="2" t="s">
        <v>19</v>
      </c>
      <c r="C17" s="5" t="s">
        <v>143</v>
      </c>
      <c r="D17" s="6" t="s">
        <v>218</v>
      </c>
      <c r="E17" s="7">
        <v>1.0</v>
      </c>
      <c r="F17" s="2">
        <v>500.0</v>
      </c>
    </row>
    <row r="18">
      <c r="B18" s="2" t="s">
        <v>20</v>
      </c>
      <c r="C18" s="5" t="s">
        <v>146</v>
      </c>
      <c r="D18" s="8">
        <v>5656.0</v>
      </c>
      <c r="E18" s="7">
        <v>10.0</v>
      </c>
      <c r="F18" s="2">
        <v>2000.0</v>
      </c>
    </row>
    <row r="19">
      <c r="B19" s="2" t="s">
        <v>20</v>
      </c>
      <c r="C19" s="5" t="s">
        <v>141</v>
      </c>
      <c r="D19" s="6" t="s">
        <v>216</v>
      </c>
      <c r="E19" s="7">
        <v>1.0</v>
      </c>
      <c r="F19" s="2">
        <v>1000.0</v>
      </c>
    </row>
    <row r="20">
      <c r="B20" s="2" t="s">
        <v>20</v>
      </c>
      <c r="C20" s="5" t="s">
        <v>142</v>
      </c>
      <c r="D20" s="6" t="s">
        <v>217</v>
      </c>
      <c r="E20" s="7">
        <v>1.0</v>
      </c>
      <c r="F20" s="2">
        <v>500.0</v>
      </c>
    </row>
    <row r="21">
      <c r="B21" s="2" t="s">
        <v>20</v>
      </c>
      <c r="C21" s="5" t="s">
        <v>143</v>
      </c>
      <c r="D21" s="6" t="s">
        <v>218</v>
      </c>
      <c r="E21" s="7">
        <v>1.0</v>
      </c>
      <c r="F21" s="2">
        <v>500.0</v>
      </c>
    </row>
    <row r="22">
      <c r="B22" s="2" t="s">
        <v>21</v>
      </c>
      <c r="C22" s="5" t="s">
        <v>147</v>
      </c>
      <c r="D22" s="8">
        <v>3889.0</v>
      </c>
      <c r="E22" s="7">
        <v>20.0</v>
      </c>
      <c r="F22" s="2">
        <v>500.0</v>
      </c>
    </row>
    <row r="23">
      <c r="B23" s="2" t="s">
        <v>22</v>
      </c>
      <c r="C23" s="5" t="s">
        <v>138</v>
      </c>
      <c r="D23" s="8">
        <v>3221.0</v>
      </c>
      <c r="E23" s="7">
        <v>20.0</v>
      </c>
      <c r="F23" s="2">
        <v>1500.0</v>
      </c>
    </row>
    <row r="24">
      <c r="B24" s="2" t="s">
        <v>23</v>
      </c>
      <c r="C24" s="5" t="s">
        <v>148</v>
      </c>
      <c r="D24" s="8">
        <v>545.0</v>
      </c>
      <c r="E24" s="7">
        <v>20.0</v>
      </c>
      <c r="F24" s="2">
        <v>2000.0</v>
      </c>
    </row>
    <row r="25">
      <c r="B25" s="2" t="s">
        <v>23</v>
      </c>
      <c r="C25" s="5" t="s">
        <v>141</v>
      </c>
      <c r="D25" s="6" t="s">
        <v>216</v>
      </c>
      <c r="E25" s="7">
        <v>1.0</v>
      </c>
      <c r="F25" s="2">
        <v>1000.0</v>
      </c>
    </row>
    <row r="26">
      <c r="B26" s="2" t="s">
        <v>23</v>
      </c>
      <c r="C26" s="5" t="s">
        <v>142</v>
      </c>
      <c r="D26" s="6" t="s">
        <v>217</v>
      </c>
      <c r="E26" s="7">
        <v>1.0</v>
      </c>
      <c r="F26" s="2">
        <v>500.0</v>
      </c>
    </row>
    <row r="27">
      <c r="B27" s="2" t="s">
        <v>23</v>
      </c>
      <c r="C27" s="5" t="s">
        <v>143</v>
      </c>
      <c r="D27" s="6" t="s">
        <v>218</v>
      </c>
      <c r="E27" s="7">
        <v>1.0</v>
      </c>
      <c r="F27" s="2">
        <v>500.0</v>
      </c>
    </row>
    <row r="28">
      <c r="B28" s="2" t="s">
        <v>24</v>
      </c>
      <c r="C28" s="5" t="s">
        <v>149</v>
      </c>
      <c r="D28" s="8">
        <v>5667.0</v>
      </c>
      <c r="E28" s="7">
        <v>20.0</v>
      </c>
      <c r="F28" s="2">
        <v>500.0</v>
      </c>
    </row>
    <row r="29">
      <c r="B29" s="2" t="s">
        <v>24</v>
      </c>
      <c r="C29" s="5" t="s">
        <v>141</v>
      </c>
      <c r="D29" s="6" t="s">
        <v>216</v>
      </c>
      <c r="E29" s="7">
        <v>1.0</v>
      </c>
      <c r="F29" s="2">
        <v>1000.0</v>
      </c>
    </row>
    <row r="30">
      <c r="B30" s="2" t="s">
        <v>24</v>
      </c>
      <c r="C30" s="5" t="s">
        <v>142</v>
      </c>
      <c r="D30" s="6" t="s">
        <v>217</v>
      </c>
      <c r="E30" s="7">
        <v>1.0</v>
      </c>
      <c r="F30" s="2">
        <v>500.0</v>
      </c>
    </row>
    <row r="31">
      <c r="B31" s="2" t="s">
        <v>24</v>
      </c>
      <c r="C31" s="5" t="s">
        <v>143</v>
      </c>
      <c r="D31" s="6" t="s">
        <v>218</v>
      </c>
      <c r="E31" s="7">
        <v>1.0</v>
      </c>
      <c r="F31" s="2">
        <v>500.0</v>
      </c>
    </row>
    <row r="32">
      <c r="B32" s="2" t="s">
        <v>25</v>
      </c>
      <c r="C32" s="5" t="s">
        <v>150</v>
      </c>
      <c r="D32" s="8">
        <v>3027.0</v>
      </c>
      <c r="E32" s="7">
        <v>20.0</v>
      </c>
      <c r="F32" s="2">
        <v>1500.0</v>
      </c>
    </row>
    <row r="33">
      <c r="B33" s="2" t="s">
        <v>26</v>
      </c>
      <c r="C33" s="5" t="s">
        <v>151</v>
      </c>
      <c r="D33" s="8">
        <v>149.0</v>
      </c>
      <c r="E33" s="7">
        <v>20.0</v>
      </c>
      <c r="F33" s="2">
        <v>1500.0</v>
      </c>
    </row>
    <row r="34">
      <c r="B34" s="2" t="s">
        <v>27</v>
      </c>
      <c r="C34" s="5" t="s">
        <v>152</v>
      </c>
      <c r="D34" s="8">
        <v>155.0</v>
      </c>
      <c r="E34" s="7">
        <v>14.0</v>
      </c>
      <c r="F34" s="1">
        <v>1500.0</v>
      </c>
    </row>
    <row r="35">
      <c r="B35" s="2" t="s">
        <v>27</v>
      </c>
      <c r="C35" s="5" t="s">
        <v>141</v>
      </c>
      <c r="D35" s="6" t="s">
        <v>216</v>
      </c>
      <c r="E35" s="7">
        <v>2.0</v>
      </c>
      <c r="F35" s="2">
        <v>1000.0</v>
      </c>
    </row>
    <row r="36">
      <c r="B36" s="2" t="s">
        <v>27</v>
      </c>
      <c r="C36" s="5" t="s">
        <v>142</v>
      </c>
      <c r="D36" s="6" t="s">
        <v>217</v>
      </c>
      <c r="E36" s="7">
        <v>2.0</v>
      </c>
      <c r="F36" s="2">
        <v>500.0</v>
      </c>
    </row>
    <row r="37">
      <c r="B37" s="2" t="s">
        <v>27</v>
      </c>
      <c r="C37" s="5" t="s">
        <v>143</v>
      </c>
      <c r="D37" s="6" t="s">
        <v>218</v>
      </c>
      <c r="E37" s="7">
        <v>2.0</v>
      </c>
      <c r="F37" s="2">
        <v>500.0</v>
      </c>
    </row>
    <row r="38">
      <c r="B38" s="2" t="s">
        <v>28</v>
      </c>
      <c r="C38" s="5" t="s">
        <v>151</v>
      </c>
      <c r="D38" s="8">
        <v>149.0</v>
      </c>
      <c r="E38" s="7">
        <v>14.0</v>
      </c>
      <c r="F38" s="1">
        <v>1500.0</v>
      </c>
    </row>
    <row r="39">
      <c r="B39" s="2" t="s">
        <v>28</v>
      </c>
      <c r="C39" s="5" t="s">
        <v>141</v>
      </c>
      <c r="D39" s="6" t="s">
        <v>216</v>
      </c>
      <c r="E39" s="7">
        <v>2.0</v>
      </c>
      <c r="F39" s="2">
        <v>1000.0</v>
      </c>
    </row>
    <row r="40">
      <c r="B40" s="2" t="s">
        <v>28</v>
      </c>
      <c r="C40" s="5" t="s">
        <v>142</v>
      </c>
      <c r="D40" s="6" t="s">
        <v>217</v>
      </c>
      <c r="E40" s="7">
        <v>2.0</v>
      </c>
      <c r="F40" s="2">
        <v>500.0</v>
      </c>
    </row>
    <row r="41">
      <c r="B41" s="2" t="s">
        <v>28</v>
      </c>
      <c r="C41" s="5" t="s">
        <v>143</v>
      </c>
      <c r="D41" s="6" t="s">
        <v>218</v>
      </c>
      <c r="E41" s="7">
        <v>2.0</v>
      </c>
      <c r="F41" s="2">
        <v>500.0</v>
      </c>
    </row>
    <row r="42">
      <c r="B42" s="2" t="s">
        <v>29</v>
      </c>
      <c r="C42" s="5" t="s">
        <v>149</v>
      </c>
      <c r="D42" s="8">
        <v>5667.0</v>
      </c>
      <c r="E42" s="7">
        <v>12.0</v>
      </c>
      <c r="F42" s="2">
        <v>500.0</v>
      </c>
    </row>
    <row r="43">
      <c r="B43" s="2" t="s">
        <v>29</v>
      </c>
      <c r="C43" s="5" t="s">
        <v>141</v>
      </c>
      <c r="D43" s="6" t="s">
        <v>216</v>
      </c>
      <c r="E43" s="7">
        <v>2.0</v>
      </c>
      <c r="F43" s="2">
        <v>1000.0</v>
      </c>
    </row>
    <row r="44">
      <c r="B44" s="2" t="s">
        <v>29</v>
      </c>
      <c r="C44" s="5" t="s">
        <v>142</v>
      </c>
      <c r="D44" s="6" t="s">
        <v>217</v>
      </c>
      <c r="E44" s="7">
        <v>2.0</v>
      </c>
      <c r="F44" s="2">
        <v>500.0</v>
      </c>
    </row>
    <row r="45">
      <c r="B45" s="2" t="s">
        <v>29</v>
      </c>
      <c r="C45" s="5" t="s">
        <v>143</v>
      </c>
      <c r="D45" s="6" t="s">
        <v>218</v>
      </c>
      <c r="E45" s="7">
        <v>2.0</v>
      </c>
      <c r="F45" s="2">
        <v>500.0</v>
      </c>
    </row>
    <row r="46">
      <c r="B46" s="2" t="s">
        <v>31</v>
      </c>
      <c r="C46" s="5" t="s">
        <v>153</v>
      </c>
      <c r="D46" s="8">
        <v>2347.0</v>
      </c>
      <c r="E46" s="7">
        <v>15.0</v>
      </c>
      <c r="F46" s="2">
        <v>2500.0</v>
      </c>
    </row>
    <row r="47">
      <c r="B47" s="2" t="s">
        <v>33</v>
      </c>
      <c r="C47" s="5" t="s">
        <v>155</v>
      </c>
      <c r="D47" s="8">
        <v>2308.0</v>
      </c>
      <c r="E47" s="7">
        <v>3.0</v>
      </c>
      <c r="F47" s="2">
        <v>7500.0</v>
      </c>
    </row>
    <row r="48">
      <c r="B48" s="2" t="s">
        <v>33</v>
      </c>
      <c r="C48" s="5" t="s">
        <v>141</v>
      </c>
      <c r="D48" s="6" t="s">
        <v>216</v>
      </c>
      <c r="E48" s="7">
        <v>1.0</v>
      </c>
      <c r="F48" s="2">
        <v>1000.0</v>
      </c>
    </row>
    <row r="49">
      <c r="B49" s="2" t="s">
        <v>33</v>
      </c>
      <c r="C49" s="5" t="s">
        <v>142</v>
      </c>
      <c r="D49" s="6" t="s">
        <v>217</v>
      </c>
      <c r="E49" s="7">
        <v>1.0</v>
      </c>
      <c r="F49" s="2">
        <v>500.0</v>
      </c>
    </row>
    <row r="50">
      <c r="B50" s="2" t="s">
        <v>33</v>
      </c>
      <c r="C50" s="5" t="s">
        <v>143</v>
      </c>
      <c r="D50" s="6" t="s">
        <v>218</v>
      </c>
      <c r="E50" s="7">
        <v>1.0</v>
      </c>
      <c r="F50" s="2">
        <v>500.0</v>
      </c>
    </row>
    <row r="51">
      <c r="B51" s="2" t="s">
        <v>35</v>
      </c>
      <c r="C51" s="5" t="s">
        <v>157</v>
      </c>
      <c r="D51" s="8">
        <v>2327.0</v>
      </c>
      <c r="E51" s="7">
        <v>3.0</v>
      </c>
      <c r="F51" s="2">
        <v>7500.0</v>
      </c>
    </row>
    <row r="52">
      <c r="B52" s="2" t="s">
        <v>35</v>
      </c>
      <c r="C52" s="5" t="s">
        <v>141</v>
      </c>
      <c r="D52" s="6" t="s">
        <v>216</v>
      </c>
      <c r="E52" s="7">
        <v>1.0</v>
      </c>
      <c r="F52" s="2">
        <v>1000.0</v>
      </c>
    </row>
    <row r="53">
      <c r="B53" s="2" t="s">
        <v>35</v>
      </c>
      <c r="C53" s="5" t="s">
        <v>142</v>
      </c>
      <c r="D53" s="6" t="s">
        <v>217</v>
      </c>
      <c r="E53" s="7">
        <v>1.0</v>
      </c>
      <c r="F53" s="2">
        <v>500.0</v>
      </c>
    </row>
    <row r="54">
      <c r="B54" s="2" t="s">
        <v>35</v>
      </c>
      <c r="C54" s="5" t="s">
        <v>143</v>
      </c>
      <c r="D54" s="6" t="s">
        <v>218</v>
      </c>
      <c r="E54" s="7">
        <v>1.0</v>
      </c>
      <c r="F54" s="2">
        <v>500.0</v>
      </c>
    </row>
    <row r="55">
      <c r="B55" s="2" t="s">
        <v>37</v>
      </c>
      <c r="C55" s="5" t="s">
        <v>159</v>
      </c>
      <c r="D55" s="8">
        <v>2314.0</v>
      </c>
      <c r="E55" s="7">
        <v>12.0</v>
      </c>
      <c r="F55" s="2">
        <v>7500.0</v>
      </c>
    </row>
    <row r="56">
      <c r="B56" s="2" t="s">
        <v>42</v>
      </c>
      <c r="C56" s="5" t="s">
        <v>161</v>
      </c>
      <c r="D56" s="9">
        <v>2307.0</v>
      </c>
      <c r="E56" s="7">
        <v>4.0</v>
      </c>
      <c r="F56" s="2">
        <v>7500.0</v>
      </c>
    </row>
    <row r="57">
      <c r="B57" s="2" t="s">
        <v>42</v>
      </c>
      <c r="C57" s="5" t="s">
        <v>141</v>
      </c>
      <c r="D57" s="6" t="s">
        <v>216</v>
      </c>
      <c r="E57" s="7">
        <v>2.0</v>
      </c>
      <c r="F57" s="2">
        <v>1000.0</v>
      </c>
    </row>
    <row r="58">
      <c r="B58" s="2" t="s">
        <v>42</v>
      </c>
      <c r="C58" s="5" t="s">
        <v>143</v>
      </c>
      <c r="D58" s="6" t="s">
        <v>218</v>
      </c>
      <c r="E58" s="7">
        <v>1.0</v>
      </c>
      <c r="F58" s="2">
        <v>500.0</v>
      </c>
    </row>
    <row r="59">
      <c r="B59" s="2" t="s">
        <v>43</v>
      </c>
      <c r="C59" s="5" t="s">
        <v>161</v>
      </c>
      <c r="D59" s="9">
        <v>2307.0</v>
      </c>
      <c r="E59" s="7">
        <v>18.0</v>
      </c>
      <c r="F59" s="2">
        <v>7500.0</v>
      </c>
    </row>
    <row r="60">
      <c r="B60" s="2" t="s">
        <v>44</v>
      </c>
      <c r="C60" s="5" t="s">
        <v>163</v>
      </c>
      <c r="D60" s="8">
        <v>2313.0</v>
      </c>
      <c r="E60" s="7">
        <v>18.0</v>
      </c>
      <c r="F60" s="2">
        <v>7500.0</v>
      </c>
    </row>
    <row r="61">
      <c r="B61" s="2" t="s">
        <v>45</v>
      </c>
      <c r="C61" s="5" t="s">
        <v>165</v>
      </c>
      <c r="D61" s="8">
        <v>2305.0</v>
      </c>
      <c r="E61" s="7">
        <v>0.0</v>
      </c>
      <c r="F61" s="2">
        <v>7500.0</v>
      </c>
    </row>
    <row r="62">
      <c r="B62" s="2" t="s">
        <v>46</v>
      </c>
      <c r="C62" s="5" t="s">
        <v>167</v>
      </c>
      <c r="D62" s="8">
        <v>2324.0</v>
      </c>
      <c r="E62" s="7">
        <v>0.0</v>
      </c>
      <c r="F62" s="2">
        <v>7500.0</v>
      </c>
    </row>
    <row r="63">
      <c r="B63" s="2" t="s">
        <v>47</v>
      </c>
      <c r="C63" s="5" t="s">
        <v>169</v>
      </c>
      <c r="D63" s="8">
        <v>2328.0</v>
      </c>
      <c r="E63" s="7">
        <v>0.0</v>
      </c>
      <c r="F63" s="2">
        <v>7500.0</v>
      </c>
    </row>
    <row r="64">
      <c r="B64" s="2" t="s">
        <v>48</v>
      </c>
      <c r="C64" s="5" t="s">
        <v>167</v>
      </c>
      <c r="D64" s="8">
        <v>2324.0</v>
      </c>
      <c r="E64" s="7">
        <v>0.0</v>
      </c>
      <c r="F64" s="2">
        <v>7500.0</v>
      </c>
    </row>
    <row r="65">
      <c r="B65" s="2" t="s">
        <v>49</v>
      </c>
      <c r="C65" s="5" t="s">
        <v>165</v>
      </c>
      <c r="D65" s="8">
        <v>2305.0</v>
      </c>
      <c r="E65" s="7">
        <v>0.0</v>
      </c>
      <c r="F65" s="2">
        <v>7500.0</v>
      </c>
    </row>
    <row r="66">
      <c r="B66" s="2" t="s">
        <v>50</v>
      </c>
      <c r="C66" s="5" t="s">
        <v>165</v>
      </c>
      <c r="D66" s="8">
        <v>2305.0</v>
      </c>
      <c r="E66" s="7">
        <v>0.0</v>
      </c>
      <c r="F66" s="2">
        <v>7500.0</v>
      </c>
    </row>
    <row r="67">
      <c r="B67" s="2" t="s">
        <v>51</v>
      </c>
      <c r="C67" s="5" t="s">
        <v>167</v>
      </c>
      <c r="D67" s="8">
        <v>2324.0</v>
      </c>
      <c r="E67" s="7">
        <v>0.0</v>
      </c>
      <c r="F67" s="2">
        <v>7500.0</v>
      </c>
    </row>
    <row r="68">
      <c r="B68" s="2" t="s">
        <v>52</v>
      </c>
      <c r="C68" s="5" t="s">
        <v>159</v>
      </c>
      <c r="D68" s="8">
        <v>2314.0</v>
      </c>
      <c r="E68" s="7">
        <v>0.0</v>
      </c>
      <c r="F68" s="2">
        <v>7500.0</v>
      </c>
    </row>
    <row r="69">
      <c r="B69" s="2" t="s">
        <v>53</v>
      </c>
      <c r="C69" s="5" t="s">
        <v>163</v>
      </c>
      <c r="D69" s="8">
        <v>2313.0</v>
      </c>
      <c r="E69" s="7">
        <v>0.0</v>
      </c>
      <c r="F69" s="2">
        <v>7500.0</v>
      </c>
    </row>
    <row r="70">
      <c r="B70" s="2" t="s">
        <v>54</v>
      </c>
      <c r="C70" s="5" t="s">
        <v>163</v>
      </c>
      <c r="D70" s="8">
        <v>2313.0</v>
      </c>
      <c r="E70" s="7">
        <v>0.0</v>
      </c>
      <c r="F70" s="2">
        <v>7500.0</v>
      </c>
    </row>
    <row r="71">
      <c r="B71" s="2" t="s">
        <v>55</v>
      </c>
      <c r="C71" s="5" t="s">
        <v>163</v>
      </c>
      <c r="D71" s="8">
        <v>2313.0</v>
      </c>
      <c r="E71" s="7">
        <v>0.0</v>
      </c>
      <c r="F71" s="2">
        <v>7500.0</v>
      </c>
    </row>
    <row r="72">
      <c r="B72" s="2" t="s">
        <v>56</v>
      </c>
      <c r="C72" s="5" t="s">
        <v>169</v>
      </c>
      <c r="D72" s="8">
        <v>2328.0</v>
      </c>
      <c r="E72" s="7">
        <v>0.0</v>
      </c>
      <c r="F72" s="2">
        <v>7500.0</v>
      </c>
    </row>
    <row r="73">
      <c r="B73" s="2" t="s">
        <v>57</v>
      </c>
      <c r="C73" s="5" t="s">
        <v>155</v>
      </c>
      <c r="D73" s="8">
        <v>2308.0</v>
      </c>
      <c r="E73" s="7">
        <v>0.0</v>
      </c>
      <c r="F73" s="2">
        <v>7500.0</v>
      </c>
    </row>
    <row r="74">
      <c r="B74" s="2" t="s">
        <v>58</v>
      </c>
      <c r="C74" s="5" t="s">
        <v>161</v>
      </c>
      <c r="D74" s="8">
        <v>2307.0</v>
      </c>
      <c r="E74" s="7">
        <v>0.0</v>
      </c>
      <c r="F74" s="2">
        <v>7500.0</v>
      </c>
    </row>
    <row r="75">
      <c r="B75" s="2" t="s">
        <v>59</v>
      </c>
      <c r="C75" s="5" t="s">
        <v>171</v>
      </c>
      <c r="D75" s="8">
        <v>2322.0</v>
      </c>
      <c r="E75" s="7">
        <v>0.0</v>
      </c>
      <c r="F75" s="2">
        <v>7500.0</v>
      </c>
    </row>
    <row r="76">
      <c r="B76" s="2" t="s">
        <v>60</v>
      </c>
      <c r="C76" s="5" t="s">
        <v>165</v>
      </c>
      <c r="D76" s="8">
        <v>2305.0</v>
      </c>
      <c r="E76" s="7">
        <v>0.0</v>
      </c>
      <c r="F76" s="2">
        <v>7500.0</v>
      </c>
    </row>
    <row r="77">
      <c r="B77" s="2" t="s">
        <v>61</v>
      </c>
      <c r="C77" s="5" t="s">
        <v>165</v>
      </c>
      <c r="D77" s="8">
        <v>2305.0</v>
      </c>
      <c r="E77" s="7">
        <v>0.0</v>
      </c>
      <c r="F77" s="2">
        <v>7500.0</v>
      </c>
    </row>
    <row r="78">
      <c r="B78" s="2" t="s">
        <v>62</v>
      </c>
      <c r="C78" s="5" t="s">
        <v>173</v>
      </c>
      <c r="D78" s="8" t="s">
        <v>219</v>
      </c>
      <c r="E78" s="7">
        <v>0.0</v>
      </c>
      <c r="F78" s="2">
        <v>2500.0</v>
      </c>
    </row>
    <row r="79">
      <c r="B79" s="2" t="s">
        <v>63</v>
      </c>
      <c r="C79" s="5" t="s">
        <v>175</v>
      </c>
      <c r="D79" s="8" t="s">
        <v>220</v>
      </c>
      <c r="E79" s="7">
        <v>0.0</v>
      </c>
      <c r="F79" s="2">
        <v>2500.0</v>
      </c>
    </row>
    <row r="80">
      <c r="B80" s="2" t="s">
        <v>64</v>
      </c>
      <c r="C80" s="5" t="s">
        <v>177</v>
      </c>
      <c r="D80" s="8">
        <v>2325.0</v>
      </c>
      <c r="E80" s="7">
        <v>0.0</v>
      </c>
      <c r="F80" s="2">
        <v>7500.0</v>
      </c>
    </row>
    <row r="81">
      <c r="B81" s="2" t="s">
        <v>65</v>
      </c>
      <c r="C81" s="5" t="s">
        <v>179</v>
      </c>
      <c r="D81" s="8">
        <v>2304.0</v>
      </c>
      <c r="E81" s="7">
        <v>0.0</v>
      </c>
      <c r="F81" s="2">
        <v>7500.0</v>
      </c>
    </row>
    <row r="82">
      <c r="B82" s="2" t="s">
        <v>66</v>
      </c>
      <c r="C82" s="5" t="s">
        <v>157</v>
      </c>
      <c r="D82" s="8">
        <v>2327.0</v>
      </c>
      <c r="E82" s="7">
        <v>0.0</v>
      </c>
      <c r="F82" s="2">
        <v>7500.0</v>
      </c>
    </row>
    <row r="83">
      <c r="B83" s="2" t="s">
        <v>67</v>
      </c>
      <c r="C83" s="5" t="s">
        <v>177</v>
      </c>
      <c r="D83" s="8">
        <v>2325.0</v>
      </c>
      <c r="E83" s="7">
        <v>0.0</v>
      </c>
      <c r="F83" s="2">
        <v>7500.0</v>
      </c>
    </row>
    <row r="84">
      <c r="B84" s="2" t="s">
        <v>68</v>
      </c>
      <c r="C84" s="5" t="s">
        <v>161</v>
      </c>
      <c r="D84" s="8">
        <v>2307.0</v>
      </c>
      <c r="E84" s="7">
        <v>0.0</v>
      </c>
      <c r="F84" s="2">
        <v>7500.0</v>
      </c>
    </row>
    <row r="85">
      <c r="B85" s="2" t="s">
        <v>69</v>
      </c>
      <c r="C85" s="5" t="s">
        <v>167</v>
      </c>
      <c r="D85" s="8">
        <v>2324.0</v>
      </c>
      <c r="E85" s="7">
        <v>0.0</v>
      </c>
      <c r="F85" s="2">
        <v>7500.0</v>
      </c>
    </row>
    <row r="86">
      <c r="B86" s="2" t="s">
        <v>70</v>
      </c>
      <c r="C86" s="5" t="s">
        <v>179</v>
      </c>
      <c r="D86" s="8">
        <v>2304.0</v>
      </c>
      <c r="E86" s="7">
        <v>0.0</v>
      </c>
      <c r="F86" s="2">
        <v>7500.0</v>
      </c>
    </row>
    <row r="87">
      <c r="B87" s="2" t="s">
        <v>71</v>
      </c>
      <c r="C87" s="5" t="s">
        <v>159</v>
      </c>
      <c r="D87" s="8">
        <v>2314.0</v>
      </c>
      <c r="E87" s="7">
        <v>0.0</v>
      </c>
      <c r="F87" s="2">
        <v>7500.0</v>
      </c>
    </row>
    <row r="88">
      <c r="B88" s="2" t="s">
        <v>72</v>
      </c>
      <c r="C88" s="5" t="s">
        <v>163</v>
      </c>
      <c r="D88" s="8">
        <v>2313.0</v>
      </c>
      <c r="E88" s="7">
        <v>0.0</v>
      </c>
      <c r="F88" s="2">
        <v>7500.0</v>
      </c>
    </row>
    <row r="89">
      <c r="B89" s="2" t="s">
        <v>73</v>
      </c>
      <c r="C89" s="5" t="s">
        <v>163</v>
      </c>
      <c r="D89" s="8">
        <v>2313.0</v>
      </c>
      <c r="E89" s="7">
        <v>0.0</v>
      </c>
      <c r="F89" s="2">
        <v>7500.0</v>
      </c>
    </row>
    <row r="90">
      <c r="B90" s="2" t="s">
        <v>43</v>
      </c>
      <c r="C90" s="5" t="s">
        <v>159</v>
      </c>
      <c r="D90" s="8">
        <v>2314.0</v>
      </c>
      <c r="E90" s="7">
        <v>0.0</v>
      </c>
      <c r="F90" s="2">
        <v>7500.0</v>
      </c>
    </row>
    <row r="91">
      <c r="B91" s="2" t="s">
        <v>46</v>
      </c>
      <c r="C91" s="5" t="s">
        <v>177</v>
      </c>
      <c r="D91" s="8">
        <v>2325.0</v>
      </c>
      <c r="E91" s="7">
        <v>0.0</v>
      </c>
      <c r="F91" s="2">
        <v>7500.0</v>
      </c>
    </row>
    <row r="92">
      <c r="B92" s="2" t="s">
        <v>47</v>
      </c>
      <c r="C92" s="5" t="s">
        <v>165</v>
      </c>
      <c r="D92" s="8">
        <v>2305.0</v>
      </c>
      <c r="E92" s="7">
        <v>0.0</v>
      </c>
      <c r="F92" s="2">
        <v>7500.0</v>
      </c>
    </row>
    <row r="93">
      <c r="B93" s="2" t="s">
        <v>48</v>
      </c>
      <c r="C93" s="5" t="s">
        <v>159</v>
      </c>
      <c r="D93" s="8">
        <v>2314.0</v>
      </c>
      <c r="E93" s="7">
        <v>0.0</v>
      </c>
      <c r="F93" s="2">
        <v>7500.0</v>
      </c>
    </row>
    <row r="94">
      <c r="B94" s="2" t="s">
        <v>49</v>
      </c>
      <c r="C94" s="5" t="s">
        <v>181</v>
      </c>
      <c r="D94" s="8">
        <v>2323.0</v>
      </c>
      <c r="E94" s="7">
        <v>0.0</v>
      </c>
      <c r="F94" s="2">
        <v>7500.0</v>
      </c>
    </row>
    <row r="95">
      <c r="B95" s="2" t="s">
        <v>50</v>
      </c>
      <c r="C95" s="5" t="s">
        <v>179</v>
      </c>
      <c r="D95" s="8">
        <v>2304.0</v>
      </c>
      <c r="E95" s="7">
        <v>0.0</v>
      </c>
      <c r="F95" s="2">
        <v>7500.0</v>
      </c>
    </row>
    <row r="96">
      <c r="B96" s="2" t="s">
        <v>51</v>
      </c>
      <c r="C96" s="5" t="s">
        <v>177</v>
      </c>
      <c r="D96" s="9">
        <v>2325.0</v>
      </c>
      <c r="E96" s="7">
        <v>0.0</v>
      </c>
      <c r="F96" s="2">
        <v>7500.0</v>
      </c>
    </row>
    <row r="97">
      <c r="B97" s="2" t="s">
        <v>53</v>
      </c>
      <c r="C97" s="5" t="s">
        <v>167</v>
      </c>
      <c r="D97" s="9">
        <v>2324.0</v>
      </c>
      <c r="E97" s="7">
        <v>0.0</v>
      </c>
      <c r="F97" s="2">
        <v>7500.0</v>
      </c>
    </row>
    <row r="98">
      <c r="B98" s="2" t="s">
        <v>54</v>
      </c>
      <c r="C98" s="5" t="s">
        <v>179</v>
      </c>
      <c r="D98" s="9">
        <v>2304.0</v>
      </c>
      <c r="E98" s="7">
        <v>0.0</v>
      </c>
      <c r="F98" s="2">
        <v>7500.0</v>
      </c>
    </row>
    <row r="99">
      <c r="B99" s="2" t="s">
        <v>55</v>
      </c>
      <c r="C99" s="5" t="s">
        <v>159</v>
      </c>
      <c r="D99" s="9">
        <v>2314.0</v>
      </c>
      <c r="E99" s="7">
        <v>0.0</v>
      </c>
      <c r="F99" s="2">
        <v>7500.0</v>
      </c>
    </row>
    <row r="100">
      <c r="B100" s="2" t="s">
        <v>56</v>
      </c>
      <c r="C100" s="5" t="s">
        <v>183</v>
      </c>
      <c r="D100" s="9">
        <v>2312.0</v>
      </c>
      <c r="E100" s="7">
        <v>0.0</v>
      </c>
      <c r="F100" s="2">
        <v>7500.0</v>
      </c>
    </row>
    <row r="101">
      <c r="B101" s="2" t="s">
        <v>57</v>
      </c>
      <c r="C101" s="5" t="s">
        <v>185</v>
      </c>
      <c r="D101" s="9">
        <v>2309.0</v>
      </c>
      <c r="E101" s="7">
        <v>0.0</v>
      </c>
      <c r="F101" s="2">
        <v>7500.0</v>
      </c>
    </row>
    <row r="102">
      <c r="B102" s="2" t="s">
        <v>58</v>
      </c>
      <c r="C102" s="5" t="s">
        <v>159</v>
      </c>
      <c r="D102" s="9">
        <v>2314.0</v>
      </c>
      <c r="E102" s="7">
        <v>0.0</v>
      </c>
      <c r="F102" s="2">
        <v>7500.0</v>
      </c>
    </row>
    <row r="103">
      <c r="B103" s="2" t="s">
        <v>59</v>
      </c>
      <c r="C103" s="5" t="s">
        <v>163</v>
      </c>
      <c r="D103" s="9">
        <v>2313.0</v>
      </c>
      <c r="E103" s="7">
        <v>0.0</v>
      </c>
      <c r="F103" s="2">
        <v>7500.0</v>
      </c>
    </row>
    <row r="104">
      <c r="B104" s="2" t="s">
        <v>60</v>
      </c>
      <c r="C104" s="5" t="s">
        <v>163</v>
      </c>
      <c r="D104" s="9">
        <v>2313.0</v>
      </c>
      <c r="E104" s="7">
        <v>0.0</v>
      </c>
      <c r="F104" s="2">
        <v>7500.0</v>
      </c>
    </row>
    <row r="105">
      <c r="B105" s="2" t="s">
        <v>61</v>
      </c>
      <c r="C105" s="5" t="s">
        <v>179</v>
      </c>
      <c r="D105" s="9">
        <v>2304.0</v>
      </c>
      <c r="E105" s="7">
        <v>0.0</v>
      </c>
      <c r="F105" s="2">
        <v>7500.0</v>
      </c>
    </row>
    <row r="106">
      <c r="B106" s="2" t="s">
        <v>62</v>
      </c>
      <c r="C106" s="5" t="s">
        <v>159</v>
      </c>
      <c r="D106" s="9">
        <v>2314.0</v>
      </c>
      <c r="E106" s="7">
        <v>0.0</v>
      </c>
      <c r="F106" s="2">
        <v>7500.0</v>
      </c>
    </row>
    <row r="107">
      <c r="B107" s="2" t="s">
        <v>63</v>
      </c>
      <c r="C107" s="5" t="s">
        <v>167</v>
      </c>
      <c r="D107" s="9">
        <v>2324.0</v>
      </c>
      <c r="E107" s="7">
        <v>0.0</v>
      </c>
      <c r="F107" s="2">
        <v>7500.0</v>
      </c>
    </row>
    <row r="108">
      <c r="B108" s="2" t="s">
        <v>64</v>
      </c>
      <c r="C108" s="5" t="s">
        <v>187</v>
      </c>
      <c r="D108" s="9">
        <v>3851.0</v>
      </c>
      <c r="E108" s="7">
        <v>0.0</v>
      </c>
      <c r="F108" s="2">
        <v>1500.0</v>
      </c>
    </row>
    <row r="109">
      <c r="B109" s="2" t="s">
        <v>65</v>
      </c>
      <c r="C109" s="5" t="s">
        <v>188</v>
      </c>
      <c r="D109" s="9">
        <v>147.0</v>
      </c>
      <c r="E109" s="7">
        <v>0.0</v>
      </c>
      <c r="F109" s="2">
        <v>1500.0</v>
      </c>
    </row>
    <row r="110">
      <c r="B110" s="2" t="s">
        <v>66</v>
      </c>
      <c r="C110" s="5" t="s">
        <v>189</v>
      </c>
      <c r="D110" s="9">
        <v>5755.0</v>
      </c>
      <c r="E110" s="7">
        <v>0.0</v>
      </c>
      <c r="F110" s="2">
        <v>2500.0</v>
      </c>
    </row>
    <row r="111">
      <c r="B111" s="2" t="s">
        <v>67</v>
      </c>
      <c r="C111" s="5" t="s">
        <v>190</v>
      </c>
      <c r="D111" s="9">
        <v>2343.0</v>
      </c>
      <c r="E111" s="7">
        <v>0.0</v>
      </c>
      <c r="F111" s="2">
        <v>2500.0</v>
      </c>
    </row>
    <row r="112">
      <c r="B112" s="2" t="s">
        <v>68</v>
      </c>
      <c r="C112" s="5" t="s">
        <v>153</v>
      </c>
      <c r="D112" s="9">
        <v>2347.0</v>
      </c>
      <c r="E112" s="7">
        <v>0.0</v>
      </c>
      <c r="F112" s="2">
        <v>2500.0</v>
      </c>
    </row>
    <row r="113">
      <c r="B113" s="2" t="s">
        <v>69</v>
      </c>
      <c r="C113" s="5" t="s">
        <v>153</v>
      </c>
      <c r="D113" s="9">
        <v>2347.0</v>
      </c>
      <c r="E113" s="7">
        <v>0.0</v>
      </c>
      <c r="F113" s="2">
        <v>2500.0</v>
      </c>
    </row>
    <row r="114">
      <c r="B114" s="2" t="s">
        <v>70</v>
      </c>
      <c r="C114" s="5" t="s">
        <v>192</v>
      </c>
      <c r="D114" s="9" t="s">
        <v>221</v>
      </c>
      <c r="E114" s="7">
        <v>0.0</v>
      </c>
      <c r="F114" s="2">
        <v>2500.0</v>
      </c>
    </row>
    <row r="115">
      <c r="B115" s="2" t="s">
        <v>71</v>
      </c>
      <c r="C115" s="5" t="s">
        <v>194</v>
      </c>
      <c r="D115" s="9" t="s">
        <v>222</v>
      </c>
      <c r="E115" s="7">
        <v>0.0</v>
      </c>
      <c r="F115" s="2">
        <v>2500.0</v>
      </c>
    </row>
    <row r="116">
      <c r="B116" s="2" t="s">
        <v>72</v>
      </c>
      <c r="C116" s="5" t="s">
        <v>196</v>
      </c>
      <c r="D116" s="9" t="s">
        <v>223</v>
      </c>
      <c r="E116" s="7">
        <v>0.0</v>
      </c>
      <c r="F116" s="2">
        <v>2500.0</v>
      </c>
    </row>
    <row r="117">
      <c r="B117" s="2" t="s">
        <v>73</v>
      </c>
      <c r="C117" s="5" t="s">
        <v>196</v>
      </c>
      <c r="D117" s="9" t="s">
        <v>223</v>
      </c>
      <c r="E117" s="7">
        <v>0.0</v>
      </c>
      <c r="F117" s="2">
        <v>2500.0</v>
      </c>
    </row>
    <row r="118">
      <c r="B118" s="2" t="s">
        <v>72</v>
      </c>
      <c r="C118" s="5" t="s">
        <v>179</v>
      </c>
      <c r="D118" s="9">
        <v>2304.0</v>
      </c>
      <c r="E118" s="7">
        <v>0.0</v>
      </c>
      <c r="F118" s="2">
        <v>7500.0</v>
      </c>
    </row>
    <row r="119">
      <c r="B119" s="2" t="s">
        <v>73</v>
      </c>
      <c r="C119" s="5" t="s">
        <v>157</v>
      </c>
      <c r="D119" s="9">
        <v>2327.0</v>
      </c>
      <c r="E119" s="7">
        <v>0.0</v>
      </c>
      <c r="F119" s="2">
        <v>7500.0</v>
      </c>
    </row>
    <row r="120">
      <c r="B120" s="2" t="s">
        <v>106</v>
      </c>
      <c r="C120" s="5" t="s">
        <v>177</v>
      </c>
      <c r="D120" s="9">
        <v>2325.0</v>
      </c>
      <c r="E120" s="7">
        <v>0.0</v>
      </c>
      <c r="F120" s="2">
        <v>7500.0</v>
      </c>
    </row>
    <row r="121">
      <c r="B121" s="2" t="s">
        <v>107</v>
      </c>
      <c r="C121" s="5" t="s">
        <v>179</v>
      </c>
      <c r="D121" s="9">
        <v>2304.0</v>
      </c>
      <c r="E121" s="7">
        <v>0.0</v>
      </c>
      <c r="F121" s="2">
        <v>7500.0</v>
      </c>
    </row>
    <row r="122">
      <c r="B122" s="10" t="s">
        <v>111</v>
      </c>
      <c r="C122" s="5" t="s">
        <v>183</v>
      </c>
      <c r="D122" s="6">
        <v>2312.0</v>
      </c>
      <c r="E122" s="7">
        <v>2.0</v>
      </c>
      <c r="F122" s="2">
        <v>7500.0</v>
      </c>
    </row>
    <row r="123">
      <c r="B123" s="10" t="s">
        <v>112</v>
      </c>
      <c r="C123" s="5" t="s">
        <v>215</v>
      </c>
      <c r="D123" s="6">
        <v>6167.0</v>
      </c>
      <c r="E123" s="7">
        <v>6.0</v>
      </c>
      <c r="F123" s="2">
        <v>2500.0</v>
      </c>
    </row>
    <row r="124">
      <c r="B124" s="10" t="s">
        <v>112</v>
      </c>
      <c r="C124" s="5" t="s">
        <v>161</v>
      </c>
      <c r="D124" s="1">
        <v>2307.0</v>
      </c>
      <c r="E124" s="7">
        <v>5.0</v>
      </c>
      <c r="F124" s="2">
        <v>7500.0</v>
      </c>
    </row>
    <row r="125">
      <c r="B125" s="10" t="s">
        <v>112</v>
      </c>
      <c r="C125" s="5" t="s">
        <v>141</v>
      </c>
      <c r="D125" s="6" t="s">
        <v>216</v>
      </c>
      <c r="E125" s="7">
        <v>1.0</v>
      </c>
      <c r="F125" s="2">
        <v>1000.0</v>
      </c>
    </row>
    <row r="126">
      <c r="B126" s="10" t="s">
        <v>112</v>
      </c>
      <c r="C126" s="5" t="s">
        <v>142</v>
      </c>
      <c r="D126" s="6" t="s">
        <v>217</v>
      </c>
      <c r="E126" s="7">
        <v>1.0</v>
      </c>
      <c r="F126" s="2">
        <v>500.0</v>
      </c>
    </row>
    <row r="127">
      <c r="B127" s="10" t="s">
        <v>112</v>
      </c>
      <c r="C127" s="5" t="s">
        <v>143</v>
      </c>
      <c r="D127" s="6" t="s">
        <v>218</v>
      </c>
      <c r="E127" s="7">
        <v>1.0</v>
      </c>
      <c r="F127" s="2">
        <v>500.0</v>
      </c>
    </row>
    <row r="128">
      <c r="B128" s="10" t="s">
        <v>113</v>
      </c>
      <c r="C128" s="5" t="s">
        <v>197</v>
      </c>
      <c r="D128" s="6">
        <v>5484.0</v>
      </c>
      <c r="E128" s="7">
        <v>0.0</v>
      </c>
      <c r="F128" s="2">
        <v>1500.0</v>
      </c>
    </row>
    <row r="129">
      <c r="B129" s="10" t="s">
        <v>114</v>
      </c>
      <c r="C129" s="5" t="s">
        <v>194</v>
      </c>
      <c r="D129" s="7" t="s">
        <v>222</v>
      </c>
      <c r="E129" s="7">
        <v>12.0</v>
      </c>
      <c r="F129" s="2">
        <v>2500.0</v>
      </c>
    </row>
    <row r="130">
      <c r="B130" s="10" t="s">
        <v>114</v>
      </c>
      <c r="C130" s="5" t="s">
        <v>177</v>
      </c>
      <c r="D130" s="7">
        <v>2325.0</v>
      </c>
      <c r="E130" s="7">
        <v>2.0</v>
      </c>
      <c r="F130" s="2">
        <v>7500.0</v>
      </c>
    </row>
    <row r="131">
      <c r="B131" s="10" t="s">
        <v>115</v>
      </c>
      <c r="C131" s="5" t="s">
        <v>197</v>
      </c>
      <c r="D131" s="6">
        <v>5484.0</v>
      </c>
      <c r="E131" s="7">
        <v>0.0</v>
      </c>
      <c r="F131" s="2">
        <v>1500.0</v>
      </c>
    </row>
    <row r="132">
      <c r="B132" s="10" t="s">
        <v>116</v>
      </c>
      <c r="C132" s="5" t="s">
        <v>197</v>
      </c>
      <c r="D132" s="6">
        <v>5484.0</v>
      </c>
      <c r="E132" s="7">
        <v>0.0</v>
      </c>
      <c r="F132" s="2">
        <v>1500.0</v>
      </c>
    </row>
    <row r="133">
      <c r="B133" s="10" t="s">
        <v>117</v>
      </c>
      <c r="C133" s="5" t="s">
        <v>159</v>
      </c>
      <c r="D133" s="6">
        <v>2314.0</v>
      </c>
      <c r="E133" s="7">
        <v>1.0</v>
      </c>
      <c r="F133" s="2">
        <v>7500.0</v>
      </c>
    </row>
    <row r="134">
      <c r="B134" s="10" t="s">
        <v>117</v>
      </c>
      <c r="C134" s="5" t="s">
        <v>199</v>
      </c>
      <c r="D134" s="7">
        <v>3856.0</v>
      </c>
      <c r="E134" s="7">
        <v>10.0</v>
      </c>
      <c r="F134" s="2">
        <v>1500.0</v>
      </c>
    </row>
    <row r="135">
      <c r="B135" s="10" t="s">
        <v>118</v>
      </c>
      <c r="C135" s="5" t="s">
        <v>183</v>
      </c>
      <c r="D135" s="7">
        <v>2312.0</v>
      </c>
      <c r="E135" s="7">
        <v>5.0</v>
      </c>
      <c r="F135" s="2">
        <v>7500.0</v>
      </c>
    </row>
    <row r="136">
      <c r="B136" s="10" t="s">
        <v>118</v>
      </c>
      <c r="C136" s="5" t="s">
        <v>200</v>
      </c>
      <c r="D136" s="7">
        <v>4073.0</v>
      </c>
      <c r="E136" s="7">
        <v>7.0</v>
      </c>
      <c r="F136" s="2">
        <v>1500.0</v>
      </c>
    </row>
    <row r="137">
      <c r="B137" s="10" t="s">
        <v>118</v>
      </c>
      <c r="C137" s="5" t="s">
        <v>141</v>
      </c>
      <c r="D137" s="6" t="s">
        <v>216</v>
      </c>
      <c r="E137" s="7">
        <v>1.0</v>
      </c>
      <c r="F137" s="2">
        <v>1000.0</v>
      </c>
    </row>
    <row r="138">
      <c r="B138" s="10" t="s">
        <v>118</v>
      </c>
      <c r="C138" s="5" t="s">
        <v>142</v>
      </c>
      <c r="D138" s="6" t="s">
        <v>217</v>
      </c>
      <c r="E138" s="7">
        <v>1.0</v>
      </c>
      <c r="F138" s="2">
        <v>500.0</v>
      </c>
    </row>
    <row r="139">
      <c r="B139" s="10" t="s">
        <v>118</v>
      </c>
      <c r="C139" s="5" t="s">
        <v>143</v>
      </c>
      <c r="D139" s="6" t="s">
        <v>218</v>
      </c>
      <c r="E139" s="7">
        <v>1.0</v>
      </c>
      <c r="F139" s="2">
        <v>500.0</v>
      </c>
    </row>
    <row r="140">
      <c r="B140" s="10" t="s">
        <v>119</v>
      </c>
      <c r="C140" s="5" t="s">
        <v>179</v>
      </c>
      <c r="D140" s="9">
        <v>2304.0</v>
      </c>
      <c r="E140" s="7">
        <v>0.0</v>
      </c>
      <c r="F140" s="2">
        <v>7500.0</v>
      </c>
    </row>
    <row r="141">
      <c r="B141" s="10" t="s">
        <v>120</v>
      </c>
      <c r="C141" s="5" t="s">
        <v>179</v>
      </c>
      <c r="D141" s="9">
        <v>2304.0</v>
      </c>
      <c r="E141" s="7">
        <v>0.0</v>
      </c>
      <c r="F141" s="2">
        <v>7500.0</v>
      </c>
    </row>
    <row r="142">
      <c r="B142" s="10" t="s">
        <v>121</v>
      </c>
      <c r="C142" s="5" t="s">
        <v>179</v>
      </c>
      <c r="D142" s="9">
        <v>2304.0</v>
      </c>
      <c r="E142" s="7">
        <v>0.0</v>
      </c>
      <c r="F142" s="2">
        <v>7500.0</v>
      </c>
    </row>
    <row r="143">
      <c r="B143" s="10" t="s">
        <v>122</v>
      </c>
      <c r="C143" s="5" t="s">
        <v>179</v>
      </c>
      <c r="D143" s="9">
        <v>2304.0</v>
      </c>
      <c r="E143" s="7">
        <v>0.0</v>
      </c>
      <c r="F143" s="2">
        <v>7500.0</v>
      </c>
    </row>
    <row r="144">
      <c r="B144" s="10" t="s">
        <v>123</v>
      </c>
      <c r="C144" s="5" t="s">
        <v>179</v>
      </c>
      <c r="D144" s="9">
        <v>2304.0</v>
      </c>
      <c r="E144" s="7">
        <v>0.0</v>
      </c>
      <c r="F144" s="2">
        <v>7500.0</v>
      </c>
    </row>
    <row r="145">
      <c r="B145" s="10" t="s">
        <v>124</v>
      </c>
      <c r="C145" s="5" t="s">
        <v>179</v>
      </c>
      <c r="D145" s="9">
        <v>2304.0</v>
      </c>
      <c r="E145" s="7">
        <v>0.0</v>
      </c>
      <c r="F145" s="2">
        <v>7500.0</v>
      </c>
    </row>
    <row r="146">
      <c r="B146" s="10" t="s">
        <v>125</v>
      </c>
      <c r="C146" s="5" t="s">
        <v>179</v>
      </c>
      <c r="D146" s="9">
        <v>2304.0</v>
      </c>
      <c r="E146" s="7">
        <v>0.0</v>
      </c>
      <c r="F146" s="2">
        <v>7500.0</v>
      </c>
    </row>
    <row r="147">
      <c r="B147" s="10" t="s">
        <v>126</v>
      </c>
      <c r="C147" s="5" t="s">
        <v>179</v>
      </c>
      <c r="D147" s="9">
        <v>2304.0</v>
      </c>
      <c r="E147" s="7">
        <v>0.0</v>
      </c>
      <c r="F147" s="2">
        <v>7500.0</v>
      </c>
    </row>
    <row r="148">
      <c r="B148" s="10" t="s">
        <v>127</v>
      </c>
      <c r="C148" s="5" t="s">
        <v>202</v>
      </c>
      <c r="D148" s="9" t="s">
        <v>224</v>
      </c>
      <c r="E148" s="7">
        <v>0.0</v>
      </c>
      <c r="F148" s="2">
        <v>2500.0</v>
      </c>
    </row>
    <row r="149">
      <c r="B149" s="10" t="s">
        <v>128</v>
      </c>
      <c r="C149" s="5" t="s">
        <v>204</v>
      </c>
      <c r="D149" s="9" t="s">
        <v>225</v>
      </c>
      <c r="E149" s="7">
        <v>0.0</v>
      </c>
      <c r="F149" s="2">
        <v>2500.0</v>
      </c>
    </row>
    <row r="150">
      <c r="B150" s="10" t="s">
        <v>129</v>
      </c>
      <c r="C150" s="5"/>
      <c r="D150" s="9"/>
      <c r="E150" s="7"/>
      <c r="F150" s="2" t="e">
        <v>#N/A</v>
      </c>
    </row>
    <row r="151">
      <c r="B151" s="10" t="s">
        <v>130</v>
      </c>
      <c r="C151" s="5" t="s">
        <v>194</v>
      </c>
      <c r="D151" s="9" t="s">
        <v>226</v>
      </c>
      <c r="E151" s="7">
        <v>0.0</v>
      </c>
      <c r="F151" s="2">
        <v>2500.0</v>
      </c>
    </row>
    <row r="152">
      <c r="B152" s="2" t="s">
        <v>74</v>
      </c>
      <c r="C152" s="5" t="s">
        <v>152</v>
      </c>
      <c r="D152" s="11">
        <v>155.0</v>
      </c>
      <c r="E152" s="7">
        <v>12.0</v>
      </c>
      <c r="F152" s="1">
        <v>1500.0</v>
      </c>
    </row>
    <row r="153">
      <c r="B153" s="2" t="s">
        <v>74</v>
      </c>
      <c r="C153" s="5" t="s">
        <v>141</v>
      </c>
      <c r="D153" s="6" t="s">
        <v>216</v>
      </c>
      <c r="E153" s="7">
        <v>2.0</v>
      </c>
      <c r="F153" s="2">
        <v>1000.0</v>
      </c>
    </row>
    <row r="154">
      <c r="B154" s="2" t="s">
        <v>74</v>
      </c>
      <c r="C154" s="5" t="s">
        <v>142</v>
      </c>
      <c r="D154" s="6" t="s">
        <v>217</v>
      </c>
      <c r="E154" s="7">
        <v>2.0</v>
      </c>
      <c r="F154" s="2">
        <v>500.0</v>
      </c>
    </row>
    <row r="155">
      <c r="B155" s="2" t="s">
        <v>74</v>
      </c>
      <c r="C155" s="5" t="s">
        <v>143</v>
      </c>
      <c r="D155" s="6" t="s">
        <v>218</v>
      </c>
      <c r="E155" s="7">
        <v>2.0</v>
      </c>
      <c r="F155" s="2">
        <v>500.0</v>
      </c>
    </row>
    <row r="156">
      <c r="B156" s="2" t="s">
        <v>75</v>
      </c>
      <c r="C156" s="5" t="s">
        <v>205</v>
      </c>
      <c r="D156" s="12">
        <v>3214.0</v>
      </c>
      <c r="E156" s="7">
        <v>12.0</v>
      </c>
      <c r="F156" s="2">
        <v>1500.0</v>
      </c>
    </row>
    <row r="157">
      <c r="B157" s="2" t="s">
        <v>75</v>
      </c>
      <c r="C157" s="5" t="s">
        <v>141</v>
      </c>
      <c r="D157" s="6" t="s">
        <v>216</v>
      </c>
      <c r="E157" s="7">
        <v>2.0</v>
      </c>
      <c r="F157" s="2">
        <v>1000.0</v>
      </c>
    </row>
    <row r="158">
      <c r="B158" s="2" t="s">
        <v>75</v>
      </c>
      <c r="C158" s="5" t="s">
        <v>142</v>
      </c>
      <c r="D158" s="6" t="s">
        <v>217</v>
      </c>
      <c r="E158" s="7">
        <v>2.0</v>
      </c>
      <c r="F158" s="2">
        <v>500.0</v>
      </c>
    </row>
    <row r="159">
      <c r="B159" s="2" t="s">
        <v>75</v>
      </c>
      <c r="C159" s="5" t="s">
        <v>143</v>
      </c>
      <c r="D159" s="6" t="s">
        <v>218</v>
      </c>
      <c r="E159" s="7">
        <v>2.0</v>
      </c>
      <c r="F159" s="2">
        <v>500.0</v>
      </c>
    </row>
    <row r="160">
      <c r="B160" s="2" t="s">
        <v>76</v>
      </c>
      <c r="C160" s="5" t="s">
        <v>206</v>
      </c>
      <c r="D160" s="7">
        <v>4598.0</v>
      </c>
      <c r="E160" s="7">
        <v>10.0</v>
      </c>
      <c r="F160" s="2">
        <v>500.0</v>
      </c>
    </row>
    <row r="161">
      <c r="B161" s="2" t="s">
        <v>76</v>
      </c>
      <c r="C161" s="5" t="s">
        <v>141</v>
      </c>
      <c r="D161" s="6" t="s">
        <v>216</v>
      </c>
      <c r="E161" s="7">
        <v>2.0</v>
      </c>
      <c r="F161" s="2">
        <v>1000.0</v>
      </c>
    </row>
    <row r="162">
      <c r="B162" s="2" t="s">
        <v>76</v>
      </c>
      <c r="C162" s="5" t="s">
        <v>142</v>
      </c>
      <c r="D162" s="6" t="s">
        <v>217</v>
      </c>
      <c r="E162" s="7">
        <v>2.0</v>
      </c>
      <c r="F162" s="2">
        <v>500.0</v>
      </c>
    </row>
    <row r="163">
      <c r="B163" s="2" t="s">
        <v>76</v>
      </c>
      <c r="C163" s="5" t="s">
        <v>143</v>
      </c>
      <c r="D163" s="6" t="s">
        <v>218</v>
      </c>
      <c r="E163" s="7">
        <v>2.0</v>
      </c>
      <c r="F163" s="2">
        <v>500.0</v>
      </c>
    </row>
    <row r="164">
      <c r="B164" s="1" t="s">
        <v>77</v>
      </c>
      <c r="C164" s="5" t="s">
        <v>208</v>
      </c>
      <c r="D164" s="7">
        <v>3865.0</v>
      </c>
      <c r="E164" s="7">
        <v>10.0</v>
      </c>
      <c r="F164" s="2">
        <v>2000.0</v>
      </c>
    </row>
    <row r="165">
      <c r="B165" s="1" t="s">
        <v>77</v>
      </c>
      <c r="C165" s="5" t="s">
        <v>141</v>
      </c>
      <c r="D165" s="6" t="s">
        <v>216</v>
      </c>
      <c r="E165" s="7">
        <v>2.0</v>
      </c>
      <c r="F165" s="2">
        <v>1000.0</v>
      </c>
    </row>
    <row r="166">
      <c r="B166" s="1" t="s">
        <v>77</v>
      </c>
      <c r="C166" s="5" t="s">
        <v>142</v>
      </c>
      <c r="D166" s="6" t="s">
        <v>217</v>
      </c>
      <c r="E166" s="7">
        <v>2.0</v>
      </c>
      <c r="F166" s="2">
        <v>500.0</v>
      </c>
    </row>
    <row r="167">
      <c r="B167" s="1" t="s">
        <v>77</v>
      </c>
      <c r="C167" s="5" t="s">
        <v>143</v>
      </c>
      <c r="D167" s="6" t="s">
        <v>218</v>
      </c>
      <c r="E167" s="7">
        <v>2.0</v>
      </c>
      <c r="F167" s="2">
        <v>500.0</v>
      </c>
    </row>
    <row r="168">
      <c r="B168" s="2" t="s">
        <v>79</v>
      </c>
      <c r="C168" s="5" t="s">
        <v>161</v>
      </c>
      <c r="D168" s="7">
        <v>2307.0</v>
      </c>
      <c r="E168" s="7">
        <v>8.0</v>
      </c>
      <c r="F168" s="2">
        <v>7500.0</v>
      </c>
    </row>
    <row r="169">
      <c r="B169" s="2" t="s">
        <v>80</v>
      </c>
      <c r="C169" s="5" t="s">
        <v>163</v>
      </c>
      <c r="D169" s="7">
        <v>2313.0</v>
      </c>
      <c r="E169" s="7">
        <v>2.0</v>
      </c>
      <c r="F169" s="2">
        <v>7500.0</v>
      </c>
    </row>
    <row r="170">
      <c r="B170" s="2" t="s">
        <v>83</v>
      </c>
      <c r="C170" s="5" t="s">
        <v>209</v>
      </c>
      <c r="D170" s="7">
        <v>5514.0</v>
      </c>
      <c r="E170" s="7">
        <v>20.0</v>
      </c>
      <c r="F170" s="2">
        <v>1500.0</v>
      </c>
    </row>
    <row r="171">
      <c r="B171" s="2" t="s">
        <v>83</v>
      </c>
      <c r="C171" s="5" t="s">
        <v>141</v>
      </c>
      <c r="D171" s="6" t="s">
        <v>216</v>
      </c>
      <c r="E171" s="7">
        <v>1.0</v>
      </c>
      <c r="F171" s="2">
        <v>1000.0</v>
      </c>
    </row>
    <row r="172">
      <c r="B172" s="2" t="s">
        <v>83</v>
      </c>
      <c r="C172" s="5" t="s">
        <v>142</v>
      </c>
      <c r="D172" s="6" t="s">
        <v>217</v>
      </c>
      <c r="E172" s="7">
        <v>1.0</v>
      </c>
      <c r="F172" s="2">
        <v>500.0</v>
      </c>
    </row>
    <row r="173">
      <c r="B173" s="2" t="s">
        <v>83</v>
      </c>
      <c r="C173" s="5" t="s">
        <v>143</v>
      </c>
      <c r="D173" s="6" t="s">
        <v>218</v>
      </c>
      <c r="E173" s="7">
        <v>1.0</v>
      </c>
      <c r="F173" s="2">
        <v>500.0</v>
      </c>
    </row>
    <row r="174">
      <c r="B174" s="2" t="s">
        <v>11</v>
      </c>
      <c r="C174" s="5" t="s">
        <v>211</v>
      </c>
      <c r="D174" s="9"/>
      <c r="E174" s="7">
        <v>10.0</v>
      </c>
      <c r="F174" s="2">
        <v>500.0</v>
      </c>
    </row>
    <row r="175">
      <c r="B175" s="2" t="s">
        <v>14</v>
      </c>
      <c r="C175" s="5" t="s">
        <v>211</v>
      </c>
      <c r="D175" s="9"/>
      <c r="E175" s="7">
        <v>10.0</v>
      </c>
      <c r="F175" s="2">
        <v>500.0</v>
      </c>
    </row>
    <row r="176">
      <c r="B176" s="2" t="s">
        <v>15</v>
      </c>
      <c r="C176" s="5" t="s">
        <v>211</v>
      </c>
      <c r="D176" s="9"/>
      <c r="E176" s="7">
        <v>10.0</v>
      </c>
      <c r="F176" s="2">
        <v>500.0</v>
      </c>
    </row>
    <row r="177">
      <c r="B177" s="2" t="s">
        <v>16</v>
      </c>
      <c r="C177" s="5" t="s">
        <v>211</v>
      </c>
      <c r="D177" s="9"/>
      <c r="E177" s="7">
        <v>10.0</v>
      </c>
      <c r="F177" s="2">
        <v>500.0</v>
      </c>
    </row>
    <row r="178">
      <c r="B178" s="2" t="s">
        <v>17</v>
      </c>
      <c r="C178" s="5" t="s">
        <v>211</v>
      </c>
      <c r="D178" s="9"/>
      <c r="E178" s="7">
        <v>10.0</v>
      </c>
      <c r="F178" s="2">
        <v>500.0</v>
      </c>
    </row>
    <row r="179">
      <c r="B179" s="2" t="s">
        <v>18</v>
      </c>
      <c r="C179" s="5" t="s">
        <v>211</v>
      </c>
      <c r="D179" s="9"/>
      <c r="E179" s="7">
        <v>10.0</v>
      </c>
      <c r="F179" s="2">
        <v>500.0</v>
      </c>
    </row>
    <row r="180">
      <c r="B180" s="2" t="s">
        <v>19</v>
      </c>
      <c r="C180" s="5" t="s">
        <v>211</v>
      </c>
      <c r="D180" s="9"/>
      <c r="E180" s="7">
        <v>10.0</v>
      </c>
      <c r="F180" s="2">
        <v>500.0</v>
      </c>
    </row>
    <row r="181">
      <c r="B181" s="2" t="s">
        <v>20</v>
      </c>
      <c r="C181" s="5" t="s">
        <v>211</v>
      </c>
      <c r="D181" s="9"/>
      <c r="E181" s="7">
        <v>10.0</v>
      </c>
      <c r="F181" s="2">
        <v>500.0</v>
      </c>
    </row>
    <row r="182">
      <c r="B182" s="2" t="s">
        <v>21</v>
      </c>
      <c r="C182" s="5" t="s">
        <v>211</v>
      </c>
      <c r="D182" s="9"/>
      <c r="E182" s="7">
        <v>10.0</v>
      </c>
      <c r="F182" s="2">
        <v>500.0</v>
      </c>
    </row>
    <row r="183">
      <c r="B183" s="2" t="s">
        <v>22</v>
      </c>
      <c r="C183" s="5" t="s">
        <v>211</v>
      </c>
      <c r="D183" s="9"/>
      <c r="E183" s="7">
        <v>10.0</v>
      </c>
      <c r="F183" s="2">
        <v>500.0</v>
      </c>
    </row>
    <row r="184">
      <c r="B184" s="2" t="s">
        <v>23</v>
      </c>
      <c r="C184" s="5" t="s">
        <v>211</v>
      </c>
      <c r="D184" s="9"/>
      <c r="E184" s="7">
        <v>10.0</v>
      </c>
      <c r="F184" s="2">
        <v>500.0</v>
      </c>
    </row>
    <row r="185">
      <c r="B185" s="2" t="s">
        <v>24</v>
      </c>
      <c r="C185" s="5" t="s">
        <v>211</v>
      </c>
      <c r="D185" s="9"/>
      <c r="E185" s="7">
        <v>10.0</v>
      </c>
      <c r="F185" s="2">
        <v>500.0</v>
      </c>
    </row>
    <row r="186">
      <c r="B186" s="2" t="s">
        <v>25</v>
      </c>
      <c r="C186" s="5" t="s">
        <v>211</v>
      </c>
      <c r="D186" s="9"/>
      <c r="E186" s="7">
        <v>10.0</v>
      </c>
      <c r="F186" s="2">
        <v>500.0</v>
      </c>
    </row>
    <row r="187">
      <c r="B187" s="2" t="s">
        <v>26</v>
      </c>
      <c r="C187" s="5" t="s">
        <v>211</v>
      </c>
      <c r="D187" s="9"/>
      <c r="E187" s="7">
        <v>10.0</v>
      </c>
      <c r="F187" s="2">
        <v>500.0</v>
      </c>
    </row>
    <row r="188">
      <c r="B188" s="2" t="s">
        <v>27</v>
      </c>
      <c r="C188" s="5" t="s">
        <v>211</v>
      </c>
      <c r="D188" s="9"/>
      <c r="E188" s="7">
        <v>10.0</v>
      </c>
      <c r="F188" s="2">
        <v>500.0</v>
      </c>
    </row>
    <row r="189">
      <c r="B189" s="2" t="s">
        <v>28</v>
      </c>
      <c r="C189" s="5" t="s">
        <v>211</v>
      </c>
      <c r="D189" s="9"/>
      <c r="E189" s="7">
        <v>10.0</v>
      </c>
      <c r="F189" s="2">
        <v>500.0</v>
      </c>
    </row>
    <row r="190">
      <c r="B190" s="2" t="s">
        <v>29</v>
      </c>
      <c r="C190" s="5" t="s">
        <v>211</v>
      </c>
      <c r="D190" s="9"/>
      <c r="E190" s="7">
        <v>10.0</v>
      </c>
      <c r="F190" s="2">
        <v>500.0</v>
      </c>
    </row>
    <row r="191">
      <c r="B191" s="2" t="s">
        <v>31</v>
      </c>
      <c r="C191" s="5" t="s">
        <v>211</v>
      </c>
      <c r="D191" s="9"/>
      <c r="E191" s="7">
        <v>10.0</v>
      </c>
      <c r="F191" s="2">
        <v>500.0</v>
      </c>
    </row>
    <row r="192">
      <c r="B192" s="2" t="s">
        <v>33</v>
      </c>
      <c r="C192" s="5" t="s">
        <v>211</v>
      </c>
      <c r="D192" s="9"/>
      <c r="E192" s="7">
        <v>10.0</v>
      </c>
      <c r="F192" s="2">
        <v>500.0</v>
      </c>
    </row>
    <row r="193">
      <c r="B193" s="2" t="s">
        <v>35</v>
      </c>
      <c r="C193" s="5" t="s">
        <v>211</v>
      </c>
      <c r="D193" s="9"/>
      <c r="E193" s="7">
        <v>10.0</v>
      </c>
      <c r="F193" s="2">
        <v>500.0</v>
      </c>
    </row>
    <row r="194">
      <c r="B194" s="2" t="s">
        <v>37</v>
      </c>
      <c r="C194" s="5" t="s">
        <v>211</v>
      </c>
      <c r="D194" s="9"/>
      <c r="E194" s="7">
        <v>10.0</v>
      </c>
      <c r="F194" s="2">
        <v>500.0</v>
      </c>
    </row>
    <row r="195">
      <c r="B195" s="2" t="s">
        <v>39</v>
      </c>
      <c r="C195" s="5" t="s">
        <v>211</v>
      </c>
      <c r="D195" s="9"/>
      <c r="E195" s="7">
        <v>10.0</v>
      </c>
      <c r="F195" s="2">
        <v>500.0</v>
      </c>
    </row>
    <row r="196">
      <c r="B196" s="2" t="s">
        <v>41</v>
      </c>
      <c r="C196" s="5" t="s">
        <v>211</v>
      </c>
      <c r="D196" s="9"/>
      <c r="E196" s="7">
        <v>10.0</v>
      </c>
      <c r="F196" s="2">
        <v>500.0</v>
      </c>
    </row>
    <row r="197">
      <c r="B197" s="2" t="s">
        <v>42</v>
      </c>
      <c r="C197" s="5" t="s">
        <v>211</v>
      </c>
      <c r="D197" s="9"/>
      <c r="E197" s="7">
        <v>10.0</v>
      </c>
      <c r="F197" s="2">
        <v>500.0</v>
      </c>
    </row>
    <row r="198">
      <c r="B198" s="2" t="s">
        <v>43</v>
      </c>
      <c r="C198" s="5" t="s">
        <v>211</v>
      </c>
      <c r="D198" s="9"/>
      <c r="E198" s="7">
        <v>10.0</v>
      </c>
      <c r="F198" s="2">
        <v>500.0</v>
      </c>
    </row>
    <row r="199">
      <c r="B199" s="2" t="s">
        <v>44</v>
      </c>
      <c r="C199" s="5" t="s">
        <v>211</v>
      </c>
      <c r="D199" s="9"/>
      <c r="E199" s="7">
        <v>10.0</v>
      </c>
      <c r="F199" s="2">
        <v>500.0</v>
      </c>
    </row>
    <row r="200">
      <c r="B200" s="2" t="s">
        <v>45</v>
      </c>
      <c r="C200" s="5" t="s">
        <v>211</v>
      </c>
      <c r="D200" s="9"/>
      <c r="E200" s="7">
        <v>10.0</v>
      </c>
      <c r="F200" s="2">
        <v>500.0</v>
      </c>
    </row>
    <row r="201">
      <c r="B201" s="2" t="s">
        <v>46</v>
      </c>
      <c r="C201" s="5" t="s">
        <v>211</v>
      </c>
      <c r="D201" s="9"/>
      <c r="E201" s="7">
        <v>10.0</v>
      </c>
      <c r="F201" s="2">
        <v>500.0</v>
      </c>
    </row>
    <row r="202">
      <c r="B202" s="2" t="s">
        <v>47</v>
      </c>
      <c r="C202" s="5" t="s">
        <v>211</v>
      </c>
      <c r="D202" s="9"/>
      <c r="E202" s="7">
        <v>10.0</v>
      </c>
      <c r="F202" s="2">
        <v>500.0</v>
      </c>
    </row>
    <row r="203">
      <c r="B203" s="2" t="s">
        <v>48</v>
      </c>
      <c r="C203" s="5" t="s">
        <v>211</v>
      </c>
      <c r="D203" s="9"/>
      <c r="E203" s="7">
        <v>10.0</v>
      </c>
      <c r="F203" s="2">
        <v>500.0</v>
      </c>
    </row>
    <row r="204">
      <c r="B204" s="2" t="s">
        <v>49</v>
      </c>
      <c r="C204" s="5" t="s">
        <v>211</v>
      </c>
      <c r="D204" s="9"/>
      <c r="E204" s="7">
        <v>10.0</v>
      </c>
      <c r="F204" s="2">
        <v>500.0</v>
      </c>
    </row>
    <row r="205">
      <c r="B205" s="2" t="s">
        <v>50</v>
      </c>
      <c r="C205" s="5" t="s">
        <v>211</v>
      </c>
      <c r="D205" s="9"/>
      <c r="E205" s="7">
        <v>10.0</v>
      </c>
      <c r="F205" s="2">
        <v>500.0</v>
      </c>
    </row>
    <row r="206">
      <c r="B206" s="2" t="s">
        <v>51</v>
      </c>
      <c r="C206" s="5" t="s">
        <v>211</v>
      </c>
      <c r="D206" s="9"/>
      <c r="E206" s="7">
        <v>10.0</v>
      </c>
      <c r="F206" s="2">
        <v>500.0</v>
      </c>
    </row>
    <row r="207">
      <c r="B207" s="2" t="s">
        <v>52</v>
      </c>
      <c r="C207" s="5" t="s">
        <v>211</v>
      </c>
      <c r="D207" s="9"/>
      <c r="E207" s="7">
        <v>10.0</v>
      </c>
      <c r="F207" s="2">
        <v>500.0</v>
      </c>
    </row>
    <row r="208">
      <c r="B208" s="2" t="s">
        <v>53</v>
      </c>
      <c r="C208" s="5" t="s">
        <v>211</v>
      </c>
      <c r="D208" s="9"/>
      <c r="E208" s="7">
        <v>10.0</v>
      </c>
      <c r="F208" s="2">
        <v>500.0</v>
      </c>
    </row>
    <row r="209">
      <c r="B209" s="2" t="s">
        <v>54</v>
      </c>
      <c r="C209" s="5" t="s">
        <v>211</v>
      </c>
      <c r="D209" s="9"/>
      <c r="E209" s="7">
        <v>10.0</v>
      </c>
      <c r="F209" s="2">
        <v>500.0</v>
      </c>
    </row>
    <row r="210">
      <c r="B210" s="2" t="s">
        <v>55</v>
      </c>
      <c r="C210" s="5" t="s">
        <v>211</v>
      </c>
      <c r="D210" s="9"/>
      <c r="E210" s="7">
        <v>10.0</v>
      </c>
      <c r="F210" s="2">
        <v>500.0</v>
      </c>
    </row>
    <row r="211">
      <c r="B211" s="2" t="s">
        <v>56</v>
      </c>
      <c r="C211" s="5" t="s">
        <v>211</v>
      </c>
      <c r="D211" s="9"/>
      <c r="E211" s="7">
        <v>10.0</v>
      </c>
      <c r="F211" s="2">
        <v>500.0</v>
      </c>
    </row>
    <row r="212">
      <c r="B212" s="2" t="s">
        <v>57</v>
      </c>
      <c r="C212" s="5" t="s">
        <v>211</v>
      </c>
      <c r="D212" s="9"/>
      <c r="E212" s="7">
        <v>10.0</v>
      </c>
      <c r="F212" s="2">
        <v>500.0</v>
      </c>
    </row>
    <row r="213">
      <c r="B213" s="2" t="s">
        <v>58</v>
      </c>
      <c r="C213" s="5" t="s">
        <v>211</v>
      </c>
      <c r="D213" s="9"/>
      <c r="E213" s="7">
        <v>10.0</v>
      </c>
      <c r="F213" s="2">
        <v>500.0</v>
      </c>
    </row>
    <row r="214">
      <c r="B214" s="2" t="s">
        <v>59</v>
      </c>
      <c r="C214" s="5" t="s">
        <v>211</v>
      </c>
      <c r="D214" s="9"/>
      <c r="E214" s="7">
        <v>10.0</v>
      </c>
      <c r="F214" s="2">
        <v>500.0</v>
      </c>
    </row>
    <row r="215">
      <c r="B215" s="2" t="s">
        <v>60</v>
      </c>
      <c r="C215" s="5" t="s">
        <v>211</v>
      </c>
      <c r="D215" s="9"/>
      <c r="E215" s="7">
        <v>10.0</v>
      </c>
      <c r="F215" s="2">
        <v>500.0</v>
      </c>
    </row>
    <row r="216">
      <c r="B216" s="2" t="s">
        <v>61</v>
      </c>
      <c r="C216" s="5" t="s">
        <v>211</v>
      </c>
      <c r="D216" s="9"/>
      <c r="E216" s="7">
        <v>10.0</v>
      </c>
      <c r="F216" s="2">
        <v>500.0</v>
      </c>
    </row>
    <row r="217">
      <c r="B217" s="2" t="s">
        <v>62</v>
      </c>
      <c r="C217" s="5" t="s">
        <v>211</v>
      </c>
      <c r="D217" s="9"/>
      <c r="E217" s="7">
        <v>10.0</v>
      </c>
      <c r="F217" s="2">
        <v>500.0</v>
      </c>
    </row>
    <row r="218">
      <c r="B218" s="2" t="s">
        <v>63</v>
      </c>
      <c r="C218" s="5" t="s">
        <v>211</v>
      </c>
      <c r="D218" s="9"/>
      <c r="E218" s="7">
        <v>10.0</v>
      </c>
      <c r="F218" s="2">
        <v>500.0</v>
      </c>
    </row>
    <row r="219">
      <c r="B219" s="2" t="s">
        <v>64</v>
      </c>
      <c r="C219" s="5" t="s">
        <v>211</v>
      </c>
      <c r="D219" s="9"/>
      <c r="E219" s="7">
        <v>10.0</v>
      </c>
      <c r="F219" s="2">
        <v>500.0</v>
      </c>
    </row>
    <row r="220">
      <c r="B220" s="2" t="s">
        <v>65</v>
      </c>
      <c r="C220" s="5" t="s">
        <v>211</v>
      </c>
      <c r="D220" s="9"/>
      <c r="E220" s="7">
        <v>10.0</v>
      </c>
      <c r="F220" s="2">
        <v>500.0</v>
      </c>
    </row>
    <row r="221">
      <c r="B221" s="2" t="s">
        <v>66</v>
      </c>
      <c r="C221" s="5" t="s">
        <v>211</v>
      </c>
      <c r="D221" s="9"/>
      <c r="E221" s="7">
        <v>10.0</v>
      </c>
      <c r="F221" s="2">
        <v>500.0</v>
      </c>
    </row>
    <row r="222">
      <c r="B222" s="2" t="s">
        <v>67</v>
      </c>
      <c r="C222" s="5" t="s">
        <v>211</v>
      </c>
      <c r="D222" s="9"/>
      <c r="E222" s="7">
        <v>10.0</v>
      </c>
      <c r="F222" s="2">
        <v>500.0</v>
      </c>
    </row>
    <row r="223">
      <c r="B223" s="2" t="s">
        <v>68</v>
      </c>
      <c r="C223" s="5" t="s">
        <v>211</v>
      </c>
      <c r="D223" s="9"/>
      <c r="E223" s="7">
        <v>10.0</v>
      </c>
      <c r="F223" s="2">
        <v>500.0</v>
      </c>
    </row>
    <row r="224">
      <c r="B224" s="2" t="s">
        <v>69</v>
      </c>
      <c r="C224" s="5" t="s">
        <v>211</v>
      </c>
      <c r="D224" s="9"/>
      <c r="E224" s="7">
        <v>10.0</v>
      </c>
      <c r="F224" s="2">
        <v>500.0</v>
      </c>
    </row>
    <row r="225">
      <c r="B225" s="2" t="s">
        <v>70</v>
      </c>
      <c r="C225" s="5" t="s">
        <v>211</v>
      </c>
      <c r="D225" s="9"/>
      <c r="E225" s="7">
        <v>10.0</v>
      </c>
      <c r="F225" s="2">
        <v>500.0</v>
      </c>
    </row>
    <row r="226">
      <c r="B226" s="2" t="s">
        <v>71</v>
      </c>
      <c r="C226" s="5" t="s">
        <v>211</v>
      </c>
      <c r="D226" s="9"/>
      <c r="E226" s="7">
        <v>10.0</v>
      </c>
      <c r="F226" s="2">
        <v>500.0</v>
      </c>
    </row>
    <row r="227">
      <c r="B227" s="2" t="s">
        <v>72</v>
      </c>
      <c r="C227" s="5" t="s">
        <v>211</v>
      </c>
      <c r="D227" s="9"/>
      <c r="E227" s="7">
        <v>10.0</v>
      </c>
      <c r="F227" s="2">
        <v>500.0</v>
      </c>
    </row>
    <row r="228">
      <c r="B228" s="2" t="s">
        <v>73</v>
      </c>
      <c r="C228" s="5" t="s">
        <v>211</v>
      </c>
      <c r="D228" s="9"/>
      <c r="E228" s="7">
        <v>10.0</v>
      </c>
      <c r="F228" s="2">
        <v>500.0</v>
      </c>
    </row>
    <row r="229">
      <c r="B229" s="2" t="s">
        <v>74</v>
      </c>
      <c r="C229" s="5" t="s">
        <v>211</v>
      </c>
      <c r="D229" s="9"/>
      <c r="E229" s="7">
        <v>10.0</v>
      </c>
      <c r="F229" s="2">
        <v>500.0</v>
      </c>
    </row>
    <row r="230">
      <c r="B230" s="2" t="s">
        <v>75</v>
      </c>
      <c r="C230" s="5" t="s">
        <v>211</v>
      </c>
      <c r="D230" s="9"/>
      <c r="E230" s="7">
        <v>10.0</v>
      </c>
      <c r="F230" s="2">
        <v>500.0</v>
      </c>
    </row>
    <row r="231">
      <c r="B231" s="2" t="s">
        <v>76</v>
      </c>
      <c r="C231" s="5" t="s">
        <v>211</v>
      </c>
      <c r="D231" s="9"/>
      <c r="E231" s="7">
        <v>10.0</v>
      </c>
      <c r="F231" s="2">
        <v>500.0</v>
      </c>
    </row>
    <row r="232">
      <c r="B232" s="2" t="s">
        <v>78</v>
      </c>
      <c r="C232" s="5" t="s">
        <v>211</v>
      </c>
      <c r="D232" s="9"/>
      <c r="E232" s="7">
        <v>10.0</v>
      </c>
      <c r="F232" s="2">
        <v>500.0</v>
      </c>
    </row>
    <row r="233">
      <c r="B233" s="2" t="s">
        <v>79</v>
      </c>
      <c r="C233" s="5" t="s">
        <v>211</v>
      </c>
      <c r="D233" s="9"/>
      <c r="E233" s="7">
        <v>10.0</v>
      </c>
      <c r="F233" s="2">
        <v>500.0</v>
      </c>
    </row>
    <row r="234">
      <c r="B234" s="2" t="s">
        <v>80</v>
      </c>
      <c r="C234" s="5" t="s">
        <v>211</v>
      </c>
      <c r="D234" s="9"/>
      <c r="E234" s="7">
        <v>10.0</v>
      </c>
      <c r="F234" s="2">
        <v>500.0</v>
      </c>
    </row>
    <row r="235">
      <c r="B235" s="2" t="s">
        <v>81</v>
      </c>
      <c r="C235" s="5" t="s">
        <v>211</v>
      </c>
      <c r="D235" s="9"/>
      <c r="E235" s="7">
        <v>10.0</v>
      </c>
      <c r="F235" s="2">
        <v>500.0</v>
      </c>
    </row>
    <row r="236">
      <c r="B236" s="2" t="s">
        <v>82</v>
      </c>
      <c r="C236" s="5" t="s">
        <v>211</v>
      </c>
      <c r="D236" s="9"/>
      <c r="E236" s="7">
        <v>10.0</v>
      </c>
      <c r="F236" s="2">
        <v>500.0</v>
      </c>
    </row>
    <row r="237">
      <c r="B237" s="2" t="s">
        <v>83</v>
      </c>
      <c r="C237" s="5" t="s">
        <v>211</v>
      </c>
      <c r="D237" s="9"/>
      <c r="E237" s="7">
        <v>10.0</v>
      </c>
      <c r="F237" s="2">
        <v>500.0</v>
      </c>
    </row>
    <row r="238">
      <c r="B238" s="2" t="s">
        <v>84</v>
      </c>
      <c r="C238" s="5" t="s">
        <v>211</v>
      </c>
      <c r="D238" s="9"/>
      <c r="E238" s="7">
        <v>10.0</v>
      </c>
      <c r="F238" s="2">
        <v>500.0</v>
      </c>
    </row>
    <row r="239">
      <c r="B239" s="2" t="s">
        <v>85</v>
      </c>
      <c r="C239" s="5" t="s">
        <v>211</v>
      </c>
      <c r="D239" s="9"/>
      <c r="E239" s="7">
        <v>10.0</v>
      </c>
      <c r="F239" s="2">
        <v>500.0</v>
      </c>
    </row>
    <row r="240">
      <c r="B240" s="2" t="s">
        <v>86</v>
      </c>
      <c r="C240" s="5" t="s">
        <v>211</v>
      </c>
      <c r="D240" s="9"/>
      <c r="E240" s="7">
        <v>10.0</v>
      </c>
      <c r="F240" s="2">
        <v>500.0</v>
      </c>
    </row>
    <row r="241">
      <c r="B241" s="2" t="s">
        <v>87</v>
      </c>
      <c r="C241" s="5" t="s">
        <v>211</v>
      </c>
      <c r="D241" s="9"/>
      <c r="E241" s="7">
        <v>10.0</v>
      </c>
      <c r="F241" s="2">
        <v>500.0</v>
      </c>
    </row>
    <row r="242">
      <c r="B242" s="2" t="s">
        <v>88</v>
      </c>
      <c r="C242" s="5" t="s">
        <v>211</v>
      </c>
      <c r="D242" s="9"/>
      <c r="E242" s="7">
        <v>10.0</v>
      </c>
      <c r="F242" s="2">
        <v>500.0</v>
      </c>
    </row>
    <row r="243">
      <c r="B243" s="2" t="s">
        <v>89</v>
      </c>
      <c r="C243" s="5" t="s">
        <v>211</v>
      </c>
      <c r="D243" s="9"/>
      <c r="E243" s="7">
        <v>10.0</v>
      </c>
      <c r="F243" s="2">
        <v>500.0</v>
      </c>
    </row>
    <row r="244">
      <c r="B244" s="2" t="s">
        <v>90</v>
      </c>
      <c r="C244" s="5" t="s">
        <v>211</v>
      </c>
      <c r="D244" s="9"/>
      <c r="E244" s="7">
        <v>10.0</v>
      </c>
      <c r="F244" s="2">
        <v>500.0</v>
      </c>
    </row>
    <row r="245">
      <c r="B245" s="2" t="s">
        <v>91</v>
      </c>
      <c r="C245" s="5" t="s">
        <v>211</v>
      </c>
      <c r="D245" s="9"/>
      <c r="E245" s="7">
        <v>10.0</v>
      </c>
      <c r="F245" s="2">
        <v>500.0</v>
      </c>
    </row>
    <row r="246">
      <c r="B246" s="2" t="s">
        <v>92</v>
      </c>
      <c r="C246" s="5" t="s">
        <v>211</v>
      </c>
      <c r="D246" s="9"/>
      <c r="E246" s="7">
        <v>10.0</v>
      </c>
      <c r="F246" s="2">
        <v>500.0</v>
      </c>
    </row>
    <row r="247">
      <c r="B247" s="2" t="s">
        <v>93</v>
      </c>
      <c r="C247" s="5" t="s">
        <v>211</v>
      </c>
      <c r="D247" s="9"/>
      <c r="E247" s="7">
        <v>10.0</v>
      </c>
      <c r="F247" s="2">
        <v>500.0</v>
      </c>
    </row>
    <row r="248">
      <c r="B248" s="2" t="s">
        <v>94</v>
      </c>
      <c r="C248" s="5" t="s">
        <v>211</v>
      </c>
      <c r="D248" s="9"/>
      <c r="E248" s="7">
        <v>10.0</v>
      </c>
      <c r="F248" s="2">
        <v>500.0</v>
      </c>
    </row>
    <row r="249">
      <c r="B249" s="2" t="s">
        <v>95</v>
      </c>
      <c r="C249" s="5" t="s">
        <v>211</v>
      </c>
      <c r="D249" s="9"/>
      <c r="E249" s="7">
        <v>10.0</v>
      </c>
      <c r="F249" s="2">
        <v>500.0</v>
      </c>
    </row>
    <row r="250">
      <c r="B250" s="2" t="s">
        <v>96</v>
      </c>
      <c r="C250" s="5" t="s">
        <v>211</v>
      </c>
      <c r="D250" s="9"/>
      <c r="E250" s="7">
        <v>10.0</v>
      </c>
      <c r="F250" s="2">
        <v>500.0</v>
      </c>
    </row>
    <row r="251">
      <c r="B251" s="2" t="s">
        <v>97</v>
      </c>
      <c r="C251" s="5" t="s">
        <v>211</v>
      </c>
      <c r="D251" s="9"/>
      <c r="E251" s="7">
        <v>10.0</v>
      </c>
      <c r="F251" s="2">
        <v>500.0</v>
      </c>
    </row>
    <row r="252">
      <c r="B252" s="2" t="s">
        <v>98</v>
      </c>
      <c r="C252" s="5" t="s">
        <v>211</v>
      </c>
      <c r="D252" s="9"/>
      <c r="E252" s="7">
        <v>10.0</v>
      </c>
      <c r="F252" s="2">
        <v>500.0</v>
      </c>
    </row>
    <row r="253">
      <c r="B253" s="2" t="s">
        <v>99</v>
      </c>
      <c r="C253" s="5" t="s">
        <v>211</v>
      </c>
      <c r="D253" s="9"/>
      <c r="E253" s="7">
        <v>10.0</v>
      </c>
      <c r="F253" s="2">
        <v>500.0</v>
      </c>
    </row>
    <row r="254">
      <c r="B254" s="2" t="s">
        <v>100</v>
      </c>
      <c r="C254" s="5" t="s">
        <v>211</v>
      </c>
      <c r="D254" s="9"/>
      <c r="E254" s="7">
        <v>10.0</v>
      </c>
      <c r="F254" s="2">
        <v>500.0</v>
      </c>
    </row>
    <row r="255">
      <c r="B255" s="2" t="s">
        <v>101</v>
      </c>
      <c r="C255" s="5" t="s">
        <v>211</v>
      </c>
      <c r="D255" s="9"/>
      <c r="E255" s="7">
        <v>10.0</v>
      </c>
      <c r="F255" s="2">
        <v>500.0</v>
      </c>
    </row>
    <row r="256">
      <c r="B256" s="2" t="s">
        <v>102</v>
      </c>
      <c r="C256" s="5" t="s">
        <v>211</v>
      </c>
      <c r="D256" s="9"/>
      <c r="E256" s="7">
        <v>10.0</v>
      </c>
      <c r="F256" s="2">
        <v>500.0</v>
      </c>
    </row>
    <row r="257">
      <c r="B257" s="2" t="s">
        <v>103</v>
      </c>
      <c r="C257" s="5" t="s">
        <v>211</v>
      </c>
      <c r="D257" s="9"/>
      <c r="E257" s="7">
        <v>10.0</v>
      </c>
      <c r="F257" s="2">
        <v>500.0</v>
      </c>
    </row>
    <row r="258">
      <c r="B258" s="2" t="s">
        <v>104</v>
      </c>
      <c r="C258" s="5" t="s">
        <v>211</v>
      </c>
      <c r="D258" s="9"/>
      <c r="E258" s="7">
        <v>10.0</v>
      </c>
      <c r="F258" s="2">
        <v>500.0</v>
      </c>
    </row>
    <row r="259">
      <c r="B259" s="2" t="s">
        <v>105</v>
      </c>
      <c r="C259" s="5" t="s">
        <v>211</v>
      </c>
      <c r="D259" s="9"/>
      <c r="E259" s="7">
        <v>10.0</v>
      </c>
      <c r="F259" s="2">
        <v>500.0</v>
      </c>
    </row>
    <row r="260">
      <c r="B260" s="2" t="s">
        <v>106</v>
      </c>
      <c r="C260" s="5" t="s">
        <v>211</v>
      </c>
      <c r="D260" s="9"/>
      <c r="E260" s="7">
        <v>10.0</v>
      </c>
      <c r="F260" s="2">
        <v>500.0</v>
      </c>
    </row>
    <row r="261">
      <c r="B261" s="2" t="s">
        <v>107</v>
      </c>
      <c r="C261" s="5" t="s">
        <v>211</v>
      </c>
      <c r="D261" s="9"/>
      <c r="E261" s="7">
        <v>10.0</v>
      </c>
      <c r="F261" s="2">
        <v>500.0</v>
      </c>
    </row>
    <row r="262">
      <c r="B262" s="2" t="s">
        <v>108</v>
      </c>
      <c r="C262" s="5" t="s">
        <v>211</v>
      </c>
      <c r="D262" s="9"/>
      <c r="E262" s="7">
        <v>10.0</v>
      </c>
      <c r="F262" s="2">
        <v>500.0</v>
      </c>
    </row>
    <row r="263">
      <c r="B263" s="2" t="s">
        <v>109</v>
      </c>
      <c r="C263" s="5" t="s">
        <v>211</v>
      </c>
      <c r="D263" s="9"/>
      <c r="E263" s="7">
        <v>10.0</v>
      </c>
      <c r="F263" s="2">
        <v>500.0</v>
      </c>
    </row>
    <row r="264">
      <c r="B264" s="2" t="s">
        <v>110</v>
      </c>
      <c r="C264" s="5" t="s">
        <v>211</v>
      </c>
      <c r="D264" s="9"/>
      <c r="E264" s="7">
        <v>10.0</v>
      </c>
      <c r="F264" s="2">
        <v>500.0</v>
      </c>
    </row>
    <row r="265">
      <c r="B265" s="2" t="s">
        <v>111</v>
      </c>
      <c r="C265" s="5" t="s">
        <v>211</v>
      </c>
      <c r="D265" s="9"/>
      <c r="E265" s="7">
        <v>10.0</v>
      </c>
      <c r="F265" s="2">
        <v>500.0</v>
      </c>
    </row>
    <row r="266">
      <c r="B266" s="2" t="s">
        <v>112</v>
      </c>
      <c r="C266" s="5" t="s">
        <v>211</v>
      </c>
      <c r="D266" s="9"/>
      <c r="E266" s="7">
        <v>10.0</v>
      </c>
      <c r="F266" s="2">
        <v>500.0</v>
      </c>
    </row>
    <row r="267">
      <c r="B267" s="2" t="s">
        <v>113</v>
      </c>
      <c r="C267" s="5" t="s">
        <v>211</v>
      </c>
      <c r="D267" s="9"/>
      <c r="E267" s="7">
        <v>10.0</v>
      </c>
      <c r="F267" s="2">
        <v>500.0</v>
      </c>
    </row>
    <row r="268">
      <c r="B268" s="2" t="s">
        <v>114</v>
      </c>
      <c r="C268" s="5" t="s">
        <v>211</v>
      </c>
      <c r="D268" s="9"/>
      <c r="E268" s="7">
        <v>10.0</v>
      </c>
      <c r="F268" s="2">
        <v>500.0</v>
      </c>
    </row>
    <row r="269">
      <c r="B269" s="2" t="s">
        <v>115</v>
      </c>
      <c r="C269" s="5" t="s">
        <v>211</v>
      </c>
      <c r="D269" s="9"/>
      <c r="E269" s="7">
        <v>10.0</v>
      </c>
      <c r="F269" s="2">
        <v>500.0</v>
      </c>
    </row>
    <row r="270">
      <c r="B270" s="2" t="s">
        <v>116</v>
      </c>
      <c r="C270" s="5" t="s">
        <v>211</v>
      </c>
      <c r="D270" s="9"/>
      <c r="E270" s="7">
        <v>10.0</v>
      </c>
      <c r="F270" s="2">
        <v>500.0</v>
      </c>
    </row>
    <row r="271">
      <c r="B271" s="2" t="s">
        <v>117</v>
      </c>
      <c r="C271" s="5" t="s">
        <v>211</v>
      </c>
      <c r="D271" s="9"/>
      <c r="E271" s="7">
        <v>10.0</v>
      </c>
      <c r="F271" s="2">
        <v>500.0</v>
      </c>
    </row>
    <row r="272">
      <c r="B272" s="2" t="s">
        <v>118</v>
      </c>
      <c r="C272" s="5" t="s">
        <v>211</v>
      </c>
      <c r="D272" s="9"/>
      <c r="E272" s="7">
        <v>10.0</v>
      </c>
      <c r="F272" s="2">
        <v>500.0</v>
      </c>
    </row>
    <row r="273">
      <c r="B273" s="2" t="s">
        <v>119</v>
      </c>
      <c r="C273" s="5" t="s">
        <v>211</v>
      </c>
      <c r="D273" s="9"/>
      <c r="E273" s="7">
        <v>10.0</v>
      </c>
      <c r="F273" s="2">
        <v>500.0</v>
      </c>
    </row>
    <row r="274">
      <c r="B274" s="2" t="s">
        <v>120</v>
      </c>
      <c r="C274" s="5" t="s">
        <v>211</v>
      </c>
      <c r="D274" s="9"/>
      <c r="E274" s="7">
        <v>10.0</v>
      </c>
      <c r="F274" s="2">
        <v>500.0</v>
      </c>
    </row>
    <row r="275">
      <c r="B275" s="2" t="s">
        <v>121</v>
      </c>
      <c r="C275" s="5" t="s">
        <v>211</v>
      </c>
      <c r="D275" s="9"/>
      <c r="E275" s="7">
        <v>10.0</v>
      </c>
      <c r="F275" s="2">
        <v>500.0</v>
      </c>
    </row>
    <row r="276">
      <c r="B276" s="2" t="s">
        <v>122</v>
      </c>
      <c r="C276" s="5" t="s">
        <v>211</v>
      </c>
      <c r="D276" s="9"/>
      <c r="E276" s="7">
        <v>10.0</v>
      </c>
      <c r="F276" s="2">
        <v>500.0</v>
      </c>
    </row>
    <row r="277">
      <c r="B277" s="2" t="s">
        <v>123</v>
      </c>
      <c r="C277" s="5" t="s">
        <v>211</v>
      </c>
      <c r="D277" s="9"/>
      <c r="E277" s="7">
        <v>10.0</v>
      </c>
      <c r="F277" s="2">
        <v>500.0</v>
      </c>
    </row>
    <row r="278">
      <c r="B278" s="2" t="s">
        <v>124</v>
      </c>
      <c r="C278" s="5" t="s">
        <v>211</v>
      </c>
      <c r="D278" s="9"/>
      <c r="E278" s="7">
        <v>10.0</v>
      </c>
      <c r="F278" s="2">
        <v>500.0</v>
      </c>
    </row>
    <row r="279">
      <c r="B279" s="2" t="s">
        <v>125</v>
      </c>
      <c r="C279" s="5" t="s">
        <v>211</v>
      </c>
      <c r="D279" s="9"/>
      <c r="E279" s="7">
        <v>10.0</v>
      </c>
      <c r="F279" s="2">
        <v>500.0</v>
      </c>
    </row>
    <row r="280">
      <c r="B280" s="2" t="s">
        <v>126</v>
      </c>
      <c r="C280" s="5" t="s">
        <v>211</v>
      </c>
      <c r="D280" s="9"/>
      <c r="E280" s="7">
        <v>10.0</v>
      </c>
      <c r="F280" s="2">
        <v>500.0</v>
      </c>
    </row>
    <row r="281">
      <c r="B281" s="2" t="s">
        <v>127</v>
      </c>
      <c r="C281" s="5" t="s">
        <v>211</v>
      </c>
      <c r="D281" s="9"/>
      <c r="E281" s="7">
        <v>10.0</v>
      </c>
      <c r="F281" s="2">
        <v>500.0</v>
      </c>
    </row>
    <row r="282">
      <c r="B282" s="2" t="s">
        <v>128</v>
      </c>
      <c r="C282" s="5" t="s">
        <v>211</v>
      </c>
      <c r="D282" s="9"/>
      <c r="E282" s="7">
        <v>10.0</v>
      </c>
      <c r="F282" s="2">
        <v>500.0</v>
      </c>
    </row>
    <row r="283">
      <c r="B283" s="2" t="s">
        <v>129</v>
      </c>
      <c r="C283" s="5" t="s">
        <v>211</v>
      </c>
      <c r="D283" s="9"/>
      <c r="E283" s="7">
        <v>10.0</v>
      </c>
      <c r="F283" s="2">
        <v>500.0</v>
      </c>
    </row>
    <row r="284">
      <c r="B284" s="2" t="s">
        <v>130</v>
      </c>
      <c r="C284" s="5" t="s">
        <v>211</v>
      </c>
      <c r="D284" s="9"/>
      <c r="E284" s="7">
        <v>10.0</v>
      </c>
      <c r="F284" s="2">
        <v>500.0</v>
      </c>
    </row>
    <row r="285">
      <c r="D285" s="9"/>
      <c r="E285" s="13"/>
    </row>
    <row r="286">
      <c r="D286" s="9"/>
      <c r="E286" s="13"/>
    </row>
    <row r="287">
      <c r="D287" s="9"/>
      <c r="E287" s="13"/>
    </row>
    <row r="288">
      <c r="D288" s="9"/>
      <c r="E288" s="13"/>
    </row>
    <row r="289">
      <c r="D289" s="9"/>
      <c r="E289" s="13"/>
    </row>
    <row r="290">
      <c r="D290" s="9"/>
      <c r="E290" s="13"/>
    </row>
    <row r="291">
      <c r="D291" s="9"/>
      <c r="E291" s="13"/>
    </row>
    <row r="292">
      <c r="D292" s="9"/>
      <c r="E292" s="13"/>
    </row>
    <row r="293">
      <c r="D293" s="9"/>
      <c r="E293" s="13"/>
    </row>
    <row r="294">
      <c r="D294" s="9"/>
      <c r="E294" s="13"/>
    </row>
    <row r="295">
      <c r="D295" s="9"/>
      <c r="E295" s="13"/>
    </row>
    <row r="296">
      <c r="D296" s="9"/>
      <c r="E296" s="13"/>
    </row>
    <row r="297">
      <c r="D297" s="9"/>
      <c r="E297" s="13"/>
    </row>
    <row r="298">
      <c r="D298" s="9"/>
      <c r="E298" s="13"/>
    </row>
    <row r="299">
      <c r="D299" s="9"/>
      <c r="E299" s="13"/>
    </row>
    <row r="300">
      <c r="D300" s="9"/>
      <c r="E300" s="13"/>
    </row>
    <row r="301">
      <c r="D301" s="9"/>
      <c r="E301" s="13"/>
    </row>
    <row r="302">
      <c r="D302" s="9"/>
      <c r="E302" s="13"/>
    </row>
    <row r="303">
      <c r="D303" s="9"/>
      <c r="E303" s="13"/>
    </row>
    <row r="304">
      <c r="D304" s="9"/>
      <c r="E304" s="13"/>
    </row>
    <row r="305">
      <c r="D305" s="9"/>
      <c r="E305" s="13"/>
    </row>
    <row r="306">
      <c r="D306" s="9"/>
      <c r="E306" s="13"/>
    </row>
    <row r="307">
      <c r="D307" s="9"/>
      <c r="E307" s="13"/>
    </row>
    <row r="308">
      <c r="D308" s="9"/>
      <c r="E308" s="13"/>
    </row>
    <row r="309">
      <c r="D309" s="9"/>
      <c r="E309" s="13"/>
    </row>
    <row r="310">
      <c r="D310" s="9"/>
      <c r="E310" s="13"/>
    </row>
    <row r="311">
      <c r="D311" s="9"/>
      <c r="E311" s="13"/>
    </row>
    <row r="312">
      <c r="D312" s="9"/>
      <c r="E312" s="13"/>
    </row>
    <row r="313">
      <c r="D313" s="9"/>
      <c r="E313" s="13"/>
    </row>
    <row r="314">
      <c r="D314" s="9"/>
      <c r="E314" s="13"/>
    </row>
    <row r="315">
      <c r="D315" s="9"/>
      <c r="E315" s="13"/>
    </row>
    <row r="316">
      <c r="D316" s="9"/>
      <c r="E316" s="13"/>
    </row>
    <row r="317">
      <c r="D317" s="9"/>
      <c r="E317" s="13"/>
    </row>
    <row r="318">
      <c r="D318" s="9"/>
      <c r="E318" s="13"/>
    </row>
    <row r="319">
      <c r="D319" s="9"/>
      <c r="E319" s="13"/>
    </row>
    <row r="320">
      <c r="D320" s="9"/>
      <c r="E320" s="13"/>
    </row>
    <row r="321">
      <c r="D321" s="9"/>
      <c r="E321" s="13"/>
    </row>
    <row r="322">
      <c r="D322" s="9"/>
      <c r="E322" s="13"/>
    </row>
    <row r="323">
      <c r="D323" s="9"/>
      <c r="E323" s="13"/>
    </row>
    <row r="324">
      <c r="D324" s="9"/>
      <c r="E324" s="13"/>
    </row>
    <row r="325">
      <c r="D325" s="9"/>
      <c r="E325" s="13"/>
    </row>
    <row r="326">
      <c r="D326" s="9"/>
      <c r="E326" s="13"/>
    </row>
    <row r="327">
      <c r="D327" s="9"/>
      <c r="E327" s="13"/>
    </row>
    <row r="328">
      <c r="D328" s="9"/>
      <c r="E328" s="13"/>
    </row>
    <row r="329">
      <c r="D329" s="9"/>
      <c r="E329" s="13"/>
    </row>
    <row r="330">
      <c r="D330" s="9"/>
      <c r="E330" s="13"/>
    </row>
    <row r="331">
      <c r="D331" s="9"/>
      <c r="E331" s="13"/>
    </row>
    <row r="332">
      <c r="D332" s="9"/>
      <c r="E332" s="13"/>
    </row>
    <row r="333">
      <c r="D333" s="9"/>
      <c r="E333" s="13"/>
    </row>
    <row r="334">
      <c r="D334" s="9"/>
      <c r="E334" s="13"/>
    </row>
    <row r="335">
      <c r="D335" s="9"/>
      <c r="E335" s="13"/>
    </row>
    <row r="336">
      <c r="D336" s="9"/>
      <c r="E336" s="13"/>
    </row>
    <row r="337">
      <c r="D337" s="9"/>
      <c r="E337" s="13"/>
    </row>
    <row r="338">
      <c r="D338" s="9"/>
      <c r="E338" s="13"/>
    </row>
    <row r="339">
      <c r="D339" s="9"/>
      <c r="E339" s="13"/>
    </row>
    <row r="340">
      <c r="D340" s="9"/>
      <c r="E340" s="13"/>
    </row>
    <row r="341">
      <c r="D341" s="9"/>
      <c r="E341" s="13"/>
    </row>
    <row r="342">
      <c r="D342" s="9"/>
      <c r="E342" s="13"/>
    </row>
    <row r="343">
      <c r="D343" s="9"/>
      <c r="E343" s="13"/>
    </row>
    <row r="344">
      <c r="D344" s="9"/>
      <c r="E344" s="13"/>
    </row>
    <row r="345">
      <c r="D345" s="9"/>
      <c r="E345" s="13"/>
    </row>
    <row r="346">
      <c r="D346" s="9"/>
      <c r="E346" s="13"/>
    </row>
    <row r="347">
      <c r="D347" s="9"/>
      <c r="E347" s="13"/>
    </row>
    <row r="348">
      <c r="D348" s="9"/>
      <c r="E348" s="13"/>
    </row>
    <row r="349">
      <c r="D349" s="9"/>
      <c r="E349" s="13"/>
    </row>
    <row r="350">
      <c r="D350" s="9"/>
      <c r="E350" s="13"/>
    </row>
    <row r="351">
      <c r="D351" s="9"/>
      <c r="E351" s="13"/>
    </row>
    <row r="352">
      <c r="D352" s="9"/>
      <c r="E352" s="13"/>
    </row>
    <row r="353">
      <c r="D353" s="9"/>
      <c r="E353" s="13"/>
    </row>
    <row r="354">
      <c r="D354" s="9"/>
      <c r="E354" s="13"/>
    </row>
    <row r="355">
      <c r="D355" s="9"/>
      <c r="E355" s="13"/>
    </row>
    <row r="356">
      <c r="D356" s="9"/>
      <c r="E356" s="13"/>
    </row>
    <row r="357">
      <c r="D357" s="9"/>
      <c r="E357" s="13"/>
    </row>
    <row r="358">
      <c r="D358" s="9"/>
      <c r="E358" s="13"/>
    </row>
    <row r="359">
      <c r="D359" s="9"/>
      <c r="E359" s="13"/>
    </row>
    <row r="360">
      <c r="D360" s="9"/>
      <c r="E360" s="13"/>
    </row>
    <row r="361">
      <c r="D361" s="9"/>
      <c r="E361" s="13"/>
    </row>
    <row r="362">
      <c r="D362" s="9"/>
      <c r="E362" s="13"/>
    </row>
    <row r="363">
      <c r="D363" s="9"/>
      <c r="E363" s="13"/>
    </row>
    <row r="364">
      <c r="D364" s="9"/>
      <c r="E364" s="13"/>
    </row>
    <row r="365">
      <c r="D365" s="9"/>
      <c r="E365" s="13"/>
    </row>
    <row r="366">
      <c r="D366" s="9"/>
      <c r="E366" s="13"/>
    </row>
    <row r="367">
      <c r="D367" s="9"/>
      <c r="E367" s="13"/>
    </row>
    <row r="368">
      <c r="D368" s="9"/>
      <c r="E368" s="13"/>
    </row>
    <row r="369">
      <c r="D369" s="9"/>
      <c r="E369" s="13"/>
    </row>
    <row r="370">
      <c r="D370" s="9"/>
      <c r="E370" s="13"/>
    </row>
    <row r="371">
      <c r="D371" s="9"/>
      <c r="E371" s="13"/>
    </row>
    <row r="372">
      <c r="D372" s="9"/>
      <c r="E372" s="13"/>
    </row>
    <row r="373">
      <c r="D373" s="9"/>
      <c r="E373" s="13"/>
    </row>
    <row r="374">
      <c r="D374" s="9"/>
      <c r="E374" s="13"/>
    </row>
    <row r="375">
      <c r="D375" s="9"/>
      <c r="E375" s="13"/>
    </row>
    <row r="376">
      <c r="D376" s="9"/>
      <c r="E376" s="13"/>
    </row>
    <row r="377">
      <c r="D377" s="9"/>
      <c r="E377" s="13"/>
    </row>
    <row r="378">
      <c r="D378" s="9"/>
      <c r="E378" s="13"/>
    </row>
    <row r="379">
      <c r="D379" s="9"/>
      <c r="E379" s="13"/>
    </row>
    <row r="380">
      <c r="D380" s="9"/>
      <c r="E380" s="13"/>
    </row>
    <row r="381">
      <c r="D381" s="9"/>
      <c r="E381" s="13"/>
    </row>
    <row r="382">
      <c r="D382" s="9"/>
      <c r="E382" s="13"/>
    </row>
    <row r="383">
      <c r="D383" s="9"/>
      <c r="E383" s="13"/>
    </row>
    <row r="384">
      <c r="D384" s="9"/>
      <c r="E384" s="13"/>
    </row>
    <row r="385">
      <c r="D385" s="9"/>
      <c r="E385" s="13"/>
    </row>
    <row r="386">
      <c r="D386" s="9"/>
      <c r="E386" s="13"/>
    </row>
    <row r="387">
      <c r="D387" s="9"/>
      <c r="E387" s="13"/>
    </row>
    <row r="388">
      <c r="D388" s="9"/>
      <c r="E388" s="13"/>
    </row>
    <row r="389">
      <c r="D389" s="9"/>
      <c r="E389" s="13"/>
    </row>
    <row r="390">
      <c r="D390" s="9"/>
      <c r="E390" s="13"/>
    </row>
    <row r="391">
      <c r="D391" s="9"/>
      <c r="E391" s="13"/>
    </row>
    <row r="392">
      <c r="D392" s="9"/>
      <c r="E392" s="13"/>
    </row>
    <row r="393">
      <c r="D393" s="9"/>
      <c r="E393" s="13"/>
    </row>
    <row r="394">
      <c r="D394" s="9"/>
      <c r="E394" s="13"/>
    </row>
    <row r="395">
      <c r="D395" s="9"/>
      <c r="E395" s="13"/>
    </row>
    <row r="396">
      <c r="D396" s="9"/>
      <c r="E396" s="13"/>
    </row>
    <row r="397">
      <c r="D397" s="9"/>
      <c r="E397" s="13"/>
    </row>
    <row r="398">
      <c r="D398" s="9"/>
      <c r="E398" s="13"/>
    </row>
    <row r="399">
      <c r="D399" s="9"/>
      <c r="E399" s="13"/>
    </row>
    <row r="400">
      <c r="D400" s="9"/>
      <c r="E400" s="13"/>
    </row>
    <row r="401">
      <c r="D401" s="9"/>
      <c r="E401" s="13"/>
    </row>
    <row r="402">
      <c r="D402" s="9"/>
      <c r="E402" s="13"/>
    </row>
    <row r="403">
      <c r="D403" s="9"/>
      <c r="E403" s="13"/>
    </row>
    <row r="404">
      <c r="D404" s="9"/>
      <c r="E404" s="13"/>
    </row>
    <row r="405">
      <c r="D405" s="9"/>
      <c r="E405" s="13"/>
    </row>
    <row r="406">
      <c r="D406" s="9"/>
      <c r="E406" s="13"/>
    </row>
    <row r="407">
      <c r="D407" s="9"/>
      <c r="E407" s="13"/>
    </row>
    <row r="408">
      <c r="D408" s="9"/>
      <c r="E408" s="13"/>
    </row>
    <row r="409">
      <c r="D409" s="9"/>
      <c r="E409" s="13"/>
    </row>
    <row r="410">
      <c r="D410" s="9"/>
      <c r="E410" s="13"/>
    </row>
    <row r="411">
      <c r="D411" s="9"/>
      <c r="E411" s="13"/>
    </row>
    <row r="412">
      <c r="D412" s="9"/>
      <c r="E412" s="13"/>
    </row>
    <row r="413">
      <c r="D413" s="9"/>
      <c r="E413" s="13"/>
    </row>
    <row r="414">
      <c r="D414" s="9"/>
      <c r="E414" s="13"/>
    </row>
    <row r="415">
      <c r="D415" s="9"/>
      <c r="E415" s="13"/>
    </row>
    <row r="416">
      <c r="D416" s="9"/>
      <c r="E416" s="13"/>
    </row>
    <row r="417">
      <c r="D417" s="9"/>
      <c r="E417" s="13"/>
    </row>
    <row r="418">
      <c r="D418" s="9"/>
      <c r="E418" s="13"/>
    </row>
    <row r="419">
      <c r="D419" s="9"/>
      <c r="E419" s="13"/>
    </row>
    <row r="420">
      <c r="D420" s="9"/>
      <c r="E420" s="13"/>
    </row>
    <row r="421">
      <c r="D421" s="9"/>
      <c r="E421" s="13"/>
    </row>
    <row r="422">
      <c r="D422" s="9"/>
      <c r="E422" s="13"/>
    </row>
    <row r="423">
      <c r="D423" s="9"/>
      <c r="E423" s="13"/>
    </row>
    <row r="424">
      <c r="D424" s="9"/>
      <c r="E424" s="13"/>
    </row>
    <row r="425">
      <c r="D425" s="9"/>
      <c r="E425" s="13"/>
    </row>
    <row r="426">
      <c r="D426" s="9"/>
      <c r="E426" s="13"/>
    </row>
    <row r="427">
      <c r="D427" s="9"/>
      <c r="E427" s="13"/>
    </row>
    <row r="428">
      <c r="D428" s="9"/>
      <c r="E428" s="13"/>
    </row>
    <row r="429">
      <c r="D429" s="9"/>
      <c r="E429" s="13"/>
    </row>
    <row r="430">
      <c r="D430" s="9"/>
      <c r="E430" s="13"/>
    </row>
    <row r="431">
      <c r="D431" s="9"/>
      <c r="E431" s="13"/>
    </row>
    <row r="432">
      <c r="D432" s="9"/>
      <c r="E432" s="13"/>
    </row>
    <row r="433">
      <c r="D433" s="9"/>
      <c r="E433" s="13"/>
    </row>
    <row r="434">
      <c r="D434" s="9"/>
      <c r="E434" s="13"/>
    </row>
    <row r="435">
      <c r="D435" s="9"/>
      <c r="E435" s="13"/>
    </row>
    <row r="436">
      <c r="D436" s="9"/>
      <c r="E436" s="13"/>
    </row>
    <row r="437">
      <c r="D437" s="9"/>
      <c r="E437" s="13"/>
    </row>
    <row r="438">
      <c r="D438" s="9"/>
      <c r="E438" s="13"/>
    </row>
    <row r="439">
      <c r="D439" s="9"/>
      <c r="E439" s="13"/>
    </row>
    <row r="440">
      <c r="D440" s="9"/>
      <c r="E440" s="13"/>
    </row>
    <row r="441">
      <c r="D441" s="9"/>
      <c r="E441" s="13"/>
    </row>
    <row r="442">
      <c r="D442" s="9"/>
      <c r="E442" s="13"/>
    </row>
    <row r="443">
      <c r="D443" s="9"/>
      <c r="E443" s="13"/>
    </row>
    <row r="444">
      <c r="D444" s="9"/>
      <c r="E444" s="13"/>
    </row>
    <row r="445">
      <c r="D445" s="9"/>
      <c r="E445" s="13"/>
    </row>
    <row r="446">
      <c r="D446" s="9"/>
      <c r="E446" s="13"/>
    </row>
    <row r="447">
      <c r="D447" s="9"/>
      <c r="E447" s="13"/>
    </row>
    <row r="448">
      <c r="D448" s="9"/>
      <c r="E448" s="13"/>
    </row>
    <row r="449">
      <c r="D449" s="9"/>
      <c r="E449" s="13"/>
    </row>
    <row r="450">
      <c r="D450" s="9"/>
      <c r="E450" s="13"/>
    </row>
    <row r="451">
      <c r="D451" s="9"/>
      <c r="E451" s="13"/>
    </row>
    <row r="452">
      <c r="D452" s="9"/>
      <c r="E452" s="13"/>
    </row>
    <row r="453">
      <c r="D453" s="9"/>
      <c r="E453" s="13"/>
    </row>
    <row r="454">
      <c r="D454" s="9"/>
      <c r="E454" s="13"/>
    </row>
    <row r="455">
      <c r="D455" s="9"/>
      <c r="E455" s="13"/>
    </row>
    <row r="456">
      <c r="D456" s="9"/>
      <c r="E456" s="13"/>
    </row>
    <row r="457">
      <c r="D457" s="9"/>
      <c r="E457" s="13"/>
    </row>
    <row r="458">
      <c r="D458" s="9"/>
      <c r="E458" s="13"/>
    </row>
    <row r="459">
      <c r="D459" s="9"/>
      <c r="E459" s="13"/>
    </row>
    <row r="460">
      <c r="D460" s="9"/>
      <c r="E460" s="13"/>
    </row>
    <row r="461">
      <c r="D461" s="9"/>
      <c r="E461" s="13"/>
    </row>
    <row r="462">
      <c r="D462" s="9"/>
      <c r="E462" s="13"/>
    </row>
    <row r="463">
      <c r="D463" s="9"/>
      <c r="E463" s="13"/>
    </row>
    <row r="464">
      <c r="D464" s="9"/>
      <c r="E464" s="13"/>
    </row>
    <row r="465">
      <c r="D465" s="9"/>
      <c r="E465" s="13"/>
    </row>
    <row r="466">
      <c r="D466" s="9"/>
      <c r="E466" s="13"/>
    </row>
    <row r="467">
      <c r="D467" s="9"/>
      <c r="E467" s="13"/>
    </row>
    <row r="468">
      <c r="D468" s="9"/>
      <c r="E468" s="13"/>
    </row>
    <row r="469">
      <c r="D469" s="9"/>
      <c r="E469" s="13"/>
    </row>
    <row r="470">
      <c r="D470" s="9"/>
      <c r="E470" s="13"/>
    </row>
    <row r="471">
      <c r="D471" s="9"/>
      <c r="E471" s="13"/>
    </row>
    <row r="472">
      <c r="D472" s="9"/>
      <c r="E472" s="13"/>
    </row>
    <row r="473">
      <c r="D473" s="9"/>
      <c r="E473" s="13"/>
    </row>
    <row r="474">
      <c r="D474" s="9"/>
      <c r="E474" s="13"/>
    </row>
    <row r="475">
      <c r="D475" s="9"/>
      <c r="E475" s="13"/>
    </row>
    <row r="476">
      <c r="D476" s="9"/>
      <c r="E476" s="13"/>
    </row>
    <row r="477">
      <c r="D477" s="9"/>
      <c r="E477" s="13"/>
    </row>
    <row r="478">
      <c r="D478" s="9"/>
      <c r="E478" s="13"/>
    </row>
    <row r="479">
      <c r="D479" s="9"/>
      <c r="E479" s="13"/>
    </row>
    <row r="480">
      <c r="D480" s="9"/>
      <c r="E480" s="13"/>
    </row>
    <row r="481">
      <c r="D481" s="9"/>
      <c r="E481" s="13"/>
    </row>
    <row r="482">
      <c r="D482" s="9"/>
      <c r="E482" s="13"/>
    </row>
    <row r="483">
      <c r="D483" s="9"/>
      <c r="E483" s="13"/>
    </row>
    <row r="484">
      <c r="D484" s="9"/>
      <c r="E484" s="13"/>
    </row>
    <row r="485">
      <c r="D485" s="9"/>
      <c r="E485" s="13"/>
    </row>
    <row r="486">
      <c r="D486" s="9"/>
      <c r="E486" s="13"/>
    </row>
    <row r="487">
      <c r="D487" s="9"/>
      <c r="E487" s="13"/>
    </row>
    <row r="488">
      <c r="D488" s="9"/>
      <c r="E488" s="13"/>
    </row>
    <row r="489">
      <c r="D489" s="9"/>
      <c r="E489" s="13"/>
    </row>
    <row r="490">
      <c r="D490" s="9"/>
      <c r="E490" s="13"/>
    </row>
    <row r="491">
      <c r="D491" s="9"/>
      <c r="E491" s="13"/>
    </row>
    <row r="492">
      <c r="D492" s="9"/>
      <c r="E492" s="13"/>
    </row>
    <row r="493">
      <c r="D493" s="9"/>
      <c r="E493" s="13"/>
    </row>
    <row r="494">
      <c r="D494" s="9"/>
      <c r="E494" s="13"/>
    </row>
    <row r="495">
      <c r="D495" s="9"/>
      <c r="E495" s="13"/>
    </row>
    <row r="496">
      <c r="D496" s="9"/>
      <c r="E496" s="13"/>
    </row>
    <row r="497">
      <c r="D497" s="9"/>
      <c r="E497" s="13"/>
    </row>
    <row r="498">
      <c r="D498" s="9"/>
      <c r="E498" s="13"/>
    </row>
    <row r="499">
      <c r="D499" s="9"/>
      <c r="E499" s="13"/>
    </row>
    <row r="500">
      <c r="D500" s="9"/>
      <c r="E500" s="13"/>
    </row>
    <row r="501">
      <c r="D501" s="9"/>
      <c r="E501" s="13"/>
    </row>
    <row r="502">
      <c r="D502" s="9"/>
      <c r="E502" s="13"/>
    </row>
    <row r="503">
      <c r="D503" s="9"/>
      <c r="E503" s="13"/>
    </row>
    <row r="504">
      <c r="D504" s="9"/>
      <c r="E504" s="13"/>
    </row>
    <row r="505">
      <c r="D505" s="9"/>
      <c r="E505" s="13"/>
    </row>
    <row r="506">
      <c r="D506" s="9"/>
      <c r="E506" s="13"/>
    </row>
    <row r="507">
      <c r="D507" s="9"/>
      <c r="E507" s="13"/>
    </row>
    <row r="508">
      <c r="D508" s="9"/>
      <c r="E508" s="13"/>
    </row>
    <row r="509">
      <c r="D509" s="9"/>
      <c r="E509" s="13"/>
    </row>
    <row r="510">
      <c r="D510" s="9"/>
      <c r="E510" s="13"/>
    </row>
    <row r="511">
      <c r="D511" s="9"/>
      <c r="E511" s="13"/>
    </row>
    <row r="512">
      <c r="D512" s="9"/>
      <c r="E512" s="13"/>
    </row>
    <row r="513">
      <c r="D513" s="9"/>
      <c r="E513" s="13"/>
    </row>
    <row r="514">
      <c r="D514" s="9"/>
      <c r="E514" s="13"/>
    </row>
    <row r="515">
      <c r="D515" s="9"/>
      <c r="E515" s="13"/>
    </row>
    <row r="516">
      <c r="D516" s="9"/>
      <c r="E516" s="13"/>
    </row>
    <row r="517">
      <c r="D517" s="9"/>
      <c r="E517" s="13"/>
    </row>
    <row r="518">
      <c r="D518" s="9"/>
      <c r="E518" s="13"/>
    </row>
    <row r="519">
      <c r="D519" s="9"/>
      <c r="E519" s="13"/>
    </row>
    <row r="520">
      <c r="D520" s="9"/>
      <c r="E520" s="13"/>
    </row>
    <row r="521">
      <c r="D521" s="9"/>
      <c r="E521" s="13"/>
    </row>
    <row r="522">
      <c r="D522" s="9"/>
      <c r="E522" s="13"/>
    </row>
    <row r="523">
      <c r="D523" s="9"/>
      <c r="E523" s="13"/>
    </row>
    <row r="524">
      <c r="D524" s="9"/>
      <c r="E524" s="13"/>
    </row>
    <row r="525">
      <c r="D525" s="9"/>
      <c r="E525" s="13"/>
    </row>
    <row r="526">
      <c r="D526" s="9"/>
      <c r="E526" s="13"/>
    </row>
    <row r="527">
      <c r="D527" s="9"/>
      <c r="E527" s="13"/>
    </row>
    <row r="528">
      <c r="D528" s="9"/>
      <c r="E528" s="13"/>
    </row>
    <row r="529">
      <c r="D529" s="9"/>
      <c r="E529" s="13"/>
    </row>
    <row r="530">
      <c r="D530" s="9"/>
      <c r="E530" s="13"/>
    </row>
    <row r="531">
      <c r="D531" s="9"/>
      <c r="E531" s="13"/>
    </row>
    <row r="532">
      <c r="D532" s="9"/>
      <c r="E532" s="13"/>
    </row>
    <row r="533">
      <c r="D533" s="9"/>
      <c r="E533" s="13"/>
    </row>
    <row r="534">
      <c r="D534" s="9"/>
      <c r="E534" s="13"/>
    </row>
    <row r="535">
      <c r="D535" s="9"/>
      <c r="E535" s="13"/>
    </row>
    <row r="536">
      <c r="D536" s="9"/>
      <c r="E536" s="13"/>
    </row>
    <row r="537">
      <c r="D537" s="9"/>
      <c r="E537" s="13"/>
    </row>
    <row r="538">
      <c r="D538" s="9"/>
      <c r="E538" s="13"/>
    </row>
    <row r="539">
      <c r="D539" s="9"/>
      <c r="E539" s="13"/>
    </row>
    <row r="540">
      <c r="D540" s="9"/>
      <c r="E540" s="13"/>
    </row>
    <row r="541">
      <c r="D541" s="9"/>
      <c r="E541" s="13"/>
    </row>
    <row r="542">
      <c r="D542" s="9"/>
      <c r="E542" s="13"/>
    </row>
    <row r="543">
      <c r="D543" s="9"/>
      <c r="E543" s="13"/>
    </row>
    <row r="544">
      <c r="D544" s="9"/>
      <c r="E544" s="13"/>
    </row>
    <row r="545">
      <c r="D545" s="9"/>
      <c r="E545" s="13"/>
    </row>
    <row r="546">
      <c r="D546" s="9"/>
      <c r="E546" s="13"/>
    </row>
    <row r="547">
      <c r="D547" s="9"/>
      <c r="E547" s="13"/>
    </row>
    <row r="548">
      <c r="D548" s="9"/>
      <c r="E548" s="13"/>
    </row>
    <row r="549">
      <c r="D549" s="9"/>
      <c r="E549" s="13"/>
    </row>
    <row r="550">
      <c r="D550" s="9"/>
      <c r="E550" s="13"/>
    </row>
    <row r="551">
      <c r="D551" s="9"/>
      <c r="E551" s="13"/>
    </row>
    <row r="552">
      <c r="D552" s="9"/>
      <c r="E552" s="13"/>
    </row>
    <row r="553">
      <c r="D553" s="9"/>
      <c r="E553" s="13"/>
    </row>
    <row r="554">
      <c r="D554" s="9"/>
      <c r="E554" s="13"/>
    </row>
    <row r="555">
      <c r="D555" s="9"/>
      <c r="E555" s="13"/>
    </row>
    <row r="556">
      <c r="D556" s="9"/>
      <c r="E556" s="13"/>
    </row>
    <row r="557">
      <c r="D557" s="9"/>
      <c r="E557" s="13"/>
    </row>
    <row r="558">
      <c r="D558" s="9"/>
      <c r="E558" s="13"/>
    </row>
    <row r="559">
      <c r="D559" s="9"/>
      <c r="E559" s="13"/>
    </row>
    <row r="560">
      <c r="D560" s="9"/>
      <c r="E560" s="13"/>
    </row>
    <row r="561">
      <c r="D561" s="9"/>
      <c r="E561" s="13"/>
    </row>
    <row r="562">
      <c r="D562" s="9"/>
      <c r="E562" s="13"/>
    </row>
    <row r="563">
      <c r="D563" s="9"/>
      <c r="E563" s="13"/>
    </row>
    <row r="564">
      <c r="D564" s="9"/>
      <c r="E564" s="13"/>
    </row>
    <row r="565">
      <c r="D565" s="9"/>
      <c r="E565" s="13"/>
    </row>
    <row r="566">
      <c r="D566" s="9"/>
      <c r="E566" s="13"/>
    </row>
    <row r="567">
      <c r="D567" s="9"/>
      <c r="E567" s="13"/>
    </row>
    <row r="568">
      <c r="D568" s="9"/>
      <c r="E568" s="13"/>
    </row>
    <row r="569">
      <c r="D569" s="9"/>
      <c r="E569" s="13"/>
    </row>
    <row r="570">
      <c r="D570" s="9"/>
      <c r="E570" s="13"/>
    </row>
    <row r="571">
      <c r="D571" s="9"/>
      <c r="E571" s="13"/>
    </row>
    <row r="572">
      <c r="D572" s="9"/>
      <c r="E572" s="13"/>
    </row>
    <row r="573">
      <c r="D573" s="9"/>
      <c r="E573" s="13"/>
    </row>
    <row r="574">
      <c r="D574" s="9"/>
      <c r="E574" s="13"/>
    </row>
    <row r="575">
      <c r="D575" s="9"/>
      <c r="E575" s="13"/>
    </row>
    <row r="576">
      <c r="D576" s="9"/>
      <c r="E576" s="13"/>
    </row>
    <row r="577">
      <c r="D577" s="9"/>
      <c r="E577" s="13"/>
    </row>
    <row r="578">
      <c r="D578" s="9"/>
      <c r="E578" s="13"/>
    </row>
    <row r="579">
      <c r="D579" s="9"/>
      <c r="E579" s="13"/>
    </row>
    <row r="580">
      <c r="D580" s="9"/>
      <c r="E580" s="13"/>
    </row>
    <row r="581">
      <c r="D581" s="9"/>
      <c r="E581" s="13"/>
    </row>
    <row r="582">
      <c r="D582" s="9"/>
      <c r="E582" s="13"/>
    </row>
    <row r="583">
      <c r="D583" s="9"/>
      <c r="E583" s="13"/>
    </row>
    <row r="584">
      <c r="D584" s="9"/>
      <c r="E584" s="13"/>
    </row>
    <row r="585">
      <c r="D585" s="9"/>
      <c r="E585" s="13"/>
    </row>
    <row r="586">
      <c r="D586" s="9"/>
      <c r="E586" s="13"/>
    </row>
    <row r="587">
      <c r="D587" s="9"/>
      <c r="E587" s="13"/>
    </row>
    <row r="588">
      <c r="D588" s="9"/>
      <c r="E588" s="13"/>
    </row>
    <row r="589">
      <c r="D589" s="9"/>
      <c r="E589" s="13"/>
    </row>
    <row r="590">
      <c r="D590" s="9"/>
      <c r="E590" s="13"/>
    </row>
    <row r="591">
      <c r="D591" s="9"/>
      <c r="E591" s="13"/>
    </row>
    <row r="592">
      <c r="D592" s="9"/>
      <c r="E592" s="13"/>
    </row>
    <row r="593">
      <c r="D593" s="9"/>
      <c r="E593" s="13"/>
    </row>
    <row r="594">
      <c r="D594" s="9"/>
      <c r="E594" s="13"/>
    </row>
    <row r="595">
      <c r="D595" s="9"/>
      <c r="E595" s="13"/>
    </row>
    <row r="596">
      <c r="D596" s="9"/>
      <c r="E596" s="13"/>
    </row>
    <row r="597">
      <c r="D597" s="9"/>
      <c r="E597" s="13"/>
    </row>
    <row r="598">
      <c r="D598" s="9"/>
      <c r="E598" s="13"/>
    </row>
    <row r="599">
      <c r="D599" s="9"/>
      <c r="E599" s="13"/>
    </row>
    <row r="600">
      <c r="D600" s="9"/>
      <c r="E600" s="13"/>
    </row>
    <row r="601">
      <c r="D601" s="9"/>
      <c r="E601" s="13"/>
    </row>
    <row r="602">
      <c r="D602" s="9"/>
      <c r="E602" s="13"/>
    </row>
    <row r="603">
      <c r="D603" s="9"/>
      <c r="E603" s="13"/>
    </row>
    <row r="604">
      <c r="D604" s="9"/>
      <c r="E604" s="13"/>
    </row>
    <row r="605">
      <c r="D605" s="9"/>
      <c r="E605" s="13"/>
    </row>
    <row r="606">
      <c r="D606" s="9"/>
      <c r="E606" s="13"/>
    </row>
    <row r="607">
      <c r="D607" s="9"/>
      <c r="E607" s="13"/>
    </row>
    <row r="608">
      <c r="D608" s="9"/>
      <c r="E608" s="13"/>
    </row>
    <row r="609">
      <c r="D609" s="9"/>
      <c r="E609" s="13"/>
    </row>
    <row r="610">
      <c r="D610" s="9"/>
      <c r="E610" s="13"/>
    </row>
    <row r="611">
      <c r="D611" s="9"/>
      <c r="E611" s="13"/>
    </row>
    <row r="612">
      <c r="D612" s="9"/>
      <c r="E612" s="13"/>
    </row>
    <row r="613">
      <c r="D613" s="9"/>
      <c r="E613" s="13"/>
    </row>
    <row r="614">
      <c r="D614" s="9"/>
      <c r="E614" s="13"/>
    </row>
    <row r="615">
      <c r="D615" s="9"/>
      <c r="E615" s="13"/>
    </row>
    <row r="616">
      <c r="D616" s="9"/>
      <c r="E616" s="13"/>
    </row>
    <row r="617">
      <c r="D617" s="9"/>
      <c r="E617" s="13"/>
    </row>
    <row r="618">
      <c r="D618" s="9"/>
      <c r="E618" s="13"/>
    </row>
    <row r="619">
      <c r="D619" s="9"/>
      <c r="E619" s="13"/>
    </row>
    <row r="620">
      <c r="D620" s="9"/>
      <c r="E620" s="13"/>
    </row>
    <row r="621">
      <c r="D621" s="9"/>
      <c r="E621" s="13"/>
    </row>
    <row r="622">
      <c r="D622" s="9"/>
      <c r="E622" s="13"/>
    </row>
    <row r="623">
      <c r="D623" s="9"/>
      <c r="E623" s="13"/>
    </row>
    <row r="624">
      <c r="D624" s="9"/>
      <c r="E624" s="13"/>
    </row>
    <row r="625">
      <c r="D625" s="9"/>
      <c r="E625" s="13"/>
    </row>
    <row r="626">
      <c r="D626" s="9"/>
      <c r="E626" s="13"/>
    </row>
    <row r="627">
      <c r="D627" s="9"/>
      <c r="E627" s="13"/>
    </row>
    <row r="628">
      <c r="D628" s="9"/>
      <c r="E628" s="13"/>
    </row>
    <row r="629">
      <c r="D629" s="9"/>
      <c r="E629" s="13"/>
    </row>
    <row r="630">
      <c r="D630" s="9"/>
      <c r="E630" s="13"/>
    </row>
    <row r="631">
      <c r="D631" s="9"/>
      <c r="E631" s="13"/>
    </row>
    <row r="632">
      <c r="D632" s="9"/>
      <c r="E632" s="13"/>
    </row>
    <row r="633">
      <c r="D633" s="9"/>
      <c r="E633" s="13"/>
    </row>
    <row r="634">
      <c r="D634" s="9"/>
      <c r="E634" s="13"/>
    </row>
    <row r="635">
      <c r="D635" s="9"/>
      <c r="E635" s="13"/>
    </row>
    <row r="636">
      <c r="D636" s="9"/>
      <c r="E636" s="13"/>
    </row>
    <row r="637">
      <c r="D637" s="9"/>
      <c r="E637" s="13"/>
    </row>
    <row r="638">
      <c r="D638" s="9"/>
      <c r="E638" s="13"/>
    </row>
    <row r="639">
      <c r="D639" s="9"/>
      <c r="E639" s="13"/>
    </row>
    <row r="640">
      <c r="D640" s="9"/>
      <c r="E640" s="13"/>
    </row>
    <row r="641">
      <c r="D641" s="9"/>
      <c r="E641" s="13"/>
    </row>
    <row r="642">
      <c r="D642" s="9"/>
      <c r="E642" s="13"/>
    </row>
    <row r="643">
      <c r="D643" s="9"/>
      <c r="E643" s="13"/>
    </row>
    <row r="644">
      <c r="D644" s="9"/>
      <c r="E644" s="13"/>
    </row>
    <row r="645">
      <c r="D645" s="9"/>
      <c r="E645" s="13"/>
    </row>
    <row r="646">
      <c r="D646" s="9"/>
      <c r="E646" s="13"/>
    </row>
    <row r="647">
      <c r="D647" s="9"/>
      <c r="E647" s="13"/>
    </row>
    <row r="648">
      <c r="D648" s="9"/>
      <c r="E648" s="13"/>
    </row>
    <row r="649">
      <c r="D649" s="9"/>
      <c r="E649" s="13"/>
    </row>
    <row r="650">
      <c r="D650" s="9"/>
      <c r="E650" s="13"/>
    </row>
    <row r="651">
      <c r="D651" s="9"/>
      <c r="E651" s="13"/>
    </row>
    <row r="652">
      <c r="D652" s="9"/>
      <c r="E652" s="13"/>
    </row>
    <row r="653">
      <c r="D653" s="9"/>
      <c r="E653" s="13"/>
    </row>
    <row r="654">
      <c r="D654" s="9"/>
      <c r="E654" s="13"/>
    </row>
    <row r="655">
      <c r="D655" s="9"/>
      <c r="E655" s="13"/>
    </row>
    <row r="656">
      <c r="D656" s="9"/>
      <c r="E656" s="13"/>
    </row>
    <row r="657">
      <c r="D657" s="9"/>
      <c r="E657" s="13"/>
    </row>
    <row r="658">
      <c r="D658" s="9"/>
      <c r="E658" s="13"/>
    </row>
    <row r="659">
      <c r="D659" s="9"/>
      <c r="E659" s="13"/>
    </row>
    <row r="660">
      <c r="D660" s="9"/>
      <c r="E660" s="13"/>
    </row>
    <row r="661">
      <c r="D661" s="9"/>
      <c r="E661" s="13"/>
    </row>
    <row r="662">
      <c r="D662" s="9"/>
      <c r="E662" s="13"/>
    </row>
    <row r="663">
      <c r="D663" s="9"/>
      <c r="E663" s="13"/>
    </row>
    <row r="664">
      <c r="D664" s="9"/>
      <c r="E664" s="13"/>
    </row>
    <row r="665">
      <c r="D665" s="9"/>
      <c r="E665" s="13"/>
    </row>
    <row r="666">
      <c r="D666" s="9"/>
      <c r="E666" s="13"/>
    </row>
    <row r="667">
      <c r="D667" s="9"/>
      <c r="E667" s="13"/>
    </row>
    <row r="668">
      <c r="D668" s="9"/>
      <c r="E668" s="13"/>
    </row>
    <row r="669">
      <c r="D669" s="9"/>
      <c r="E669" s="13"/>
    </row>
    <row r="670">
      <c r="D670" s="9"/>
      <c r="E670" s="13"/>
    </row>
    <row r="671">
      <c r="D671" s="9"/>
      <c r="E671" s="13"/>
    </row>
    <row r="672">
      <c r="D672" s="9"/>
      <c r="E672" s="13"/>
    </row>
    <row r="673">
      <c r="D673" s="9"/>
      <c r="E673" s="13"/>
    </row>
    <row r="674">
      <c r="D674" s="9"/>
      <c r="E674" s="13"/>
    </row>
    <row r="675">
      <c r="D675" s="9"/>
      <c r="E675" s="13"/>
    </row>
    <row r="676">
      <c r="D676" s="9"/>
      <c r="E676" s="13"/>
    </row>
    <row r="677">
      <c r="D677" s="9"/>
      <c r="E677" s="13"/>
    </row>
    <row r="678">
      <c r="D678" s="9"/>
      <c r="E678" s="13"/>
    </row>
    <row r="679">
      <c r="D679" s="9"/>
      <c r="E679" s="13"/>
    </row>
    <row r="680">
      <c r="D680" s="9"/>
      <c r="E680" s="13"/>
    </row>
    <row r="681">
      <c r="D681" s="9"/>
      <c r="E681" s="13"/>
    </row>
    <row r="682">
      <c r="D682" s="9"/>
      <c r="E682" s="13"/>
    </row>
    <row r="683">
      <c r="D683" s="9"/>
      <c r="E683" s="13"/>
    </row>
    <row r="684">
      <c r="D684" s="9"/>
      <c r="E684" s="13"/>
    </row>
    <row r="685">
      <c r="D685" s="9"/>
      <c r="E685" s="13"/>
    </row>
    <row r="686">
      <c r="D686" s="9"/>
      <c r="E686" s="13"/>
    </row>
    <row r="687">
      <c r="D687" s="9"/>
      <c r="E687" s="13"/>
    </row>
    <row r="688">
      <c r="D688" s="9"/>
      <c r="E688" s="13"/>
    </row>
    <row r="689">
      <c r="D689" s="9"/>
      <c r="E689" s="13"/>
    </row>
    <row r="690">
      <c r="D690" s="9"/>
      <c r="E690" s="13"/>
    </row>
    <row r="691">
      <c r="D691" s="9"/>
      <c r="E691" s="13"/>
    </row>
    <row r="692">
      <c r="D692" s="9"/>
      <c r="E692" s="13"/>
    </row>
    <row r="693">
      <c r="D693" s="9"/>
      <c r="E693" s="13"/>
    </row>
    <row r="694">
      <c r="D694" s="9"/>
      <c r="E694" s="13"/>
    </row>
    <row r="695">
      <c r="D695" s="9"/>
      <c r="E695" s="13"/>
    </row>
    <row r="696">
      <c r="D696" s="9"/>
      <c r="E696" s="13"/>
    </row>
    <row r="697">
      <c r="D697" s="9"/>
      <c r="E697" s="13"/>
    </row>
    <row r="698">
      <c r="D698" s="9"/>
      <c r="E698" s="13"/>
    </row>
    <row r="699">
      <c r="D699" s="9"/>
      <c r="E699" s="13"/>
    </row>
    <row r="700">
      <c r="D700" s="9"/>
      <c r="E700" s="13"/>
    </row>
    <row r="701">
      <c r="D701" s="9"/>
      <c r="E701" s="13"/>
    </row>
    <row r="702">
      <c r="D702" s="9"/>
      <c r="E702" s="13"/>
    </row>
    <row r="703">
      <c r="D703" s="9"/>
      <c r="E703" s="13"/>
    </row>
    <row r="704">
      <c r="D704" s="9"/>
      <c r="E704" s="13"/>
    </row>
    <row r="705">
      <c r="D705" s="9"/>
      <c r="E705" s="13"/>
    </row>
    <row r="706">
      <c r="D706" s="9"/>
      <c r="E706" s="13"/>
    </row>
    <row r="707">
      <c r="D707" s="9"/>
      <c r="E707" s="13"/>
    </row>
    <row r="708">
      <c r="D708" s="9"/>
      <c r="E708" s="13"/>
    </row>
    <row r="709">
      <c r="D709" s="9"/>
      <c r="E709" s="13"/>
    </row>
    <row r="710">
      <c r="D710" s="9"/>
      <c r="E710" s="13"/>
    </row>
    <row r="711">
      <c r="D711" s="9"/>
      <c r="E711" s="13"/>
    </row>
    <row r="712">
      <c r="D712" s="9"/>
      <c r="E712" s="13"/>
    </row>
    <row r="713">
      <c r="D713" s="9"/>
      <c r="E713" s="13"/>
    </row>
    <row r="714">
      <c r="D714" s="9"/>
      <c r="E714" s="13"/>
    </row>
    <row r="715">
      <c r="D715" s="9"/>
      <c r="E715" s="13"/>
    </row>
    <row r="716">
      <c r="D716" s="9"/>
      <c r="E716" s="13"/>
    </row>
    <row r="717">
      <c r="D717" s="9"/>
      <c r="E717" s="13"/>
    </row>
    <row r="718">
      <c r="D718" s="9"/>
      <c r="E718" s="13"/>
    </row>
    <row r="719">
      <c r="D719" s="9"/>
      <c r="E719" s="13"/>
    </row>
    <row r="720">
      <c r="D720" s="9"/>
      <c r="E720" s="13"/>
    </row>
    <row r="721">
      <c r="D721" s="9"/>
      <c r="E721" s="13"/>
    </row>
    <row r="722">
      <c r="D722" s="9"/>
      <c r="E722" s="13"/>
    </row>
    <row r="723">
      <c r="D723" s="9"/>
      <c r="E723" s="13"/>
    </row>
    <row r="724">
      <c r="D724" s="9"/>
      <c r="E724" s="13"/>
    </row>
    <row r="725">
      <c r="D725" s="9"/>
      <c r="E725" s="13"/>
    </row>
    <row r="726">
      <c r="D726" s="9"/>
      <c r="E726" s="13"/>
    </row>
    <row r="727">
      <c r="D727" s="9"/>
      <c r="E727" s="13"/>
    </row>
    <row r="728">
      <c r="D728" s="9"/>
      <c r="E728" s="13"/>
    </row>
    <row r="729">
      <c r="D729" s="9"/>
      <c r="E729" s="13"/>
    </row>
    <row r="730">
      <c r="D730" s="9"/>
      <c r="E730" s="13"/>
    </row>
    <row r="731">
      <c r="D731" s="9"/>
      <c r="E731" s="13"/>
    </row>
    <row r="732">
      <c r="D732" s="9"/>
      <c r="E732" s="13"/>
    </row>
    <row r="733">
      <c r="D733" s="9"/>
      <c r="E733" s="13"/>
    </row>
    <row r="734">
      <c r="D734" s="9"/>
      <c r="E734" s="13"/>
    </row>
    <row r="735">
      <c r="D735" s="9"/>
      <c r="E735" s="13"/>
    </row>
    <row r="736">
      <c r="D736" s="9"/>
      <c r="E736" s="13"/>
    </row>
    <row r="737">
      <c r="D737" s="9"/>
      <c r="E737" s="13"/>
    </row>
    <row r="738">
      <c r="D738" s="9"/>
      <c r="E738" s="13"/>
    </row>
    <row r="739">
      <c r="D739" s="9"/>
      <c r="E739" s="13"/>
    </row>
    <row r="740">
      <c r="D740" s="9"/>
      <c r="E740" s="13"/>
    </row>
    <row r="741">
      <c r="D741" s="9"/>
      <c r="E741" s="13"/>
    </row>
    <row r="742">
      <c r="D742" s="9"/>
      <c r="E742" s="13"/>
    </row>
    <row r="743">
      <c r="D743" s="9"/>
      <c r="E743" s="13"/>
    </row>
    <row r="744">
      <c r="D744" s="9"/>
      <c r="E744" s="13"/>
    </row>
    <row r="745">
      <c r="D745" s="9"/>
      <c r="E745" s="13"/>
    </row>
    <row r="746">
      <c r="D746" s="9"/>
      <c r="E746" s="13"/>
    </row>
    <row r="747">
      <c r="D747" s="9"/>
      <c r="E747" s="13"/>
    </row>
    <row r="748">
      <c r="D748" s="9"/>
      <c r="E748" s="13"/>
    </row>
    <row r="749">
      <c r="D749" s="9"/>
      <c r="E749" s="13"/>
    </row>
    <row r="750">
      <c r="D750" s="9"/>
      <c r="E750" s="13"/>
    </row>
    <row r="751">
      <c r="D751" s="9"/>
      <c r="E751" s="13"/>
    </row>
    <row r="752">
      <c r="D752" s="9"/>
      <c r="E752" s="13"/>
    </row>
    <row r="753">
      <c r="D753" s="9"/>
      <c r="E753" s="13"/>
    </row>
    <row r="754">
      <c r="D754" s="9"/>
      <c r="E754" s="13"/>
    </row>
    <row r="755">
      <c r="D755" s="9"/>
      <c r="E755" s="13"/>
    </row>
    <row r="756">
      <c r="D756" s="9"/>
      <c r="E756" s="13"/>
    </row>
    <row r="757">
      <c r="D757" s="9"/>
      <c r="E757" s="13"/>
    </row>
    <row r="758">
      <c r="D758" s="9"/>
      <c r="E758" s="13"/>
    </row>
    <row r="759">
      <c r="D759" s="9"/>
      <c r="E759" s="13"/>
    </row>
    <row r="760">
      <c r="D760" s="9"/>
      <c r="E760" s="13"/>
    </row>
    <row r="761">
      <c r="D761" s="9"/>
      <c r="E761" s="13"/>
    </row>
    <row r="762">
      <c r="D762" s="9"/>
      <c r="E762" s="13"/>
    </row>
    <row r="763">
      <c r="D763" s="9"/>
      <c r="E763" s="13"/>
    </row>
    <row r="764">
      <c r="D764" s="9"/>
      <c r="E764" s="13"/>
    </row>
    <row r="765">
      <c r="D765" s="9"/>
      <c r="E765" s="13"/>
    </row>
    <row r="766">
      <c r="D766" s="9"/>
      <c r="E766" s="13"/>
    </row>
    <row r="767">
      <c r="D767" s="9"/>
      <c r="E767" s="13"/>
    </row>
    <row r="768">
      <c r="D768" s="9"/>
      <c r="E768" s="13"/>
    </row>
    <row r="769">
      <c r="D769" s="9"/>
      <c r="E769" s="13"/>
    </row>
    <row r="770">
      <c r="D770" s="9"/>
      <c r="E770" s="13"/>
    </row>
    <row r="771">
      <c r="D771" s="9"/>
      <c r="E771" s="13"/>
    </row>
    <row r="772">
      <c r="D772" s="9"/>
      <c r="E772" s="13"/>
    </row>
    <row r="773">
      <c r="D773" s="9"/>
      <c r="E773" s="13"/>
    </row>
    <row r="774">
      <c r="D774" s="9"/>
      <c r="E774" s="13"/>
    </row>
    <row r="775">
      <c r="D775" s="9"/>
      <c r="E775" s="13"/>
    </row>
    <row r="776">
      <c r="D776" s="9"/>
      <c r="E776" s="13"/>
    </row>
    <row r="777">
      <c r="D777" s="9"/>
      <c r="E777" s="13"/>
    </row>
    <row r="778">
      <c r="D778" s="9"/>
      <c r="E778" s="13"/>
    </row>
    <row r="779">
      <c r="D779" s="9"/>
      <c r="E779" s="13"/>
    </row>
    <row r="780">
      <c r="D780" s="9"/>
      <c r="E780" s="13"/>
    </row>
    <row r="781">
      <c r="D781" s="9"/>
      <c r="E781" s="13"/>
    </row>
    <row r="782">
      <c r="D782" s="9"/>
      <c r="E782" s="13"/>
    </row>
    <row r="783">
      <c r="D783" s="9"/>
      <c r="E783" s="13"/>
    </row>
    <row r="784">
      <c r="D784" s="9"/>
      <c r="E784" s="13"/>
    </row>
    <row r="785">
      <c r="D785" s="9"/>
      <c r="E785" s="13"/>
    </row>
    <row r="786">
      <c r="D786" s="9"/>
      <c r="E786" s="13"/>
    </row>
    <row r="787">
      <c r="D787" s="9"/>
      <c r="E787" s="13"/>
    </row>
    <row r="788">
      <c r="D788" s="9"/>
      <c r="E788" s="13"/>
    </row>
    <row r="789">
      <c r="D789" s="9"/>
      <c r="E789" s="13"/>
    </row>
    <row r="790">
      <c r="D790" s="9"/>
      <c r="E790" s="13"/>
    </row>
    <row r="791">
      <c r="D791" s="9"/>
      <c r="E791" s="13"/>
    </row>
    <row r="792">
      <c r="D792" s="9"/>
      <c r="E792" s="13"/>
    </row>
    <row r="793">
      <c r="D793" s="9"/>
      <c r="E793" s="13"/>
    </row>
    <row r="794">
      <c r="D794" s="9"/>
      <c r="E794" s="13"/>
    </row>
    <row r="795">
      <c r="D795" s="9"/>
      <c r="E795" s="13"/>
    </row>
    <row r="796">
      <c r="D796" s="9"/>
      <c r="E796" s="13"/>
    </row>
    <row r="797">
      <c r="D797" s="9"/>
      <c r="E797" s="13"/>
    </row>
    <row r="798">
      <c r="D798" s="9"/>
      <c r="E798" s="13"/>
    </row>
    <row r="799">
      <c r="D799" s="9"/>
      <c r="E799" s="13"/>
    </row>
    <row r="800">
      <c r="D800" s="9"/>
      <c r="E800" s="13"/>
    </row>
    <row r="801">
      <c r="D801" s="9"/>
      <c r="E801" s="13"/>
    </row>
    <row r="802">
      <c r="D802" s="9"/>
      <c r="E802" s="13"/>
    </row>
    <row r="803">
      <c r="D803" s="9"/>
      <c r="E803" s="13"/>
    </row>
    <row r="804">
      <c r="D804" s="9"/>
      <c r="E804" s="13"/>
    </row>
    <row r="805">
      <c r="D805" s="9"/>
      <c r="E805" s="13"/>
    </row>
    <row r="806">
      <c r="D806" s="9"/>
      <c r="E806" s="13"/>
    </row>
    <row r="807">
      <c r="D807" s="9"/>
      <c r="E807" s="13"/>
    </row>
    <row r="808">
      <c r="D808" s="9"/>
      <c r="E808" s="13"/>
    </row>
    <row r="809">
      <c r="D809" s="9"/>
      <c r="E809" s="13"/>
    </row>
    <row r="810">
      <c r="D810" s="9"/>
      <c r="E810" s="13"/>
    </row>
    <row r="811">
      <c r="D811" s="9"/>
      <c r="E811" s="13"/>
    </row>
    <row r="812">
      <c r="D812" s="9"/>
      <c r="E812" s="13"/>
    </row>
    <row r="813">
      <c r="D813" s="9"/>
      <c r="E813" s="13"/>
    </row>
    <row r="814">
      <c r="D814" s="9"/>
      <c r="E814" s="13"/>
    </row>
    <row r="815">
      <c r="D815" s="9"/>
      <c r="E815" s="13"/>
    </row>
    <row r="816">
      <c r="D816" s="9"/>
      <c r="E816" s="13"/>
    </row>
    <row r="817">
      <c r="D817" s="9"/>
      <c r="E817" s="13"/>
    </row>
    <row r="818">
      <c r="D818" s="9"/>
      <c r="E818" s="13"/>
    </row>
    <row r="819">
      <c r="D819" s="9"/>
      <c r="E819" s="13"/>
    </row>
    <row r="820">
      <c r="D820" s="9"/>
      <c r="E820" s="13"/>
    </row>
    <row r="821">
      <c r="D821" s="9"/>
      <c r="E821" s="13"/>
    </row>
    <row r="822">
      <c r="D822" s="9"/>
      <c r="E822" s="13"/>
    </row>
    <row r="823">
      <c r="D823" s="9"/>
      <c r="E823" s="13"/>
    </row>
    <row r="824">
      <c r="D824" s="9"/>
      <c r="E824" s="13"/>
    </row>
    <row r="825">
      <c r="D825" s="9"/>
      <c r="E825" s="13"/>
    </row>
    <row r="826">
      <c r="D826" s="9"/>
      <c r="E826" s="13"/>
    </row>
    <row r="827">
      <c r="D827" s="9"/>
      <c r="E827" s="13"/>
    </row>
    <row r="828">
      <c r="D828" s="9"/>
      <c r="E828" s="13"/>
    </row>
    <row r="829">
      <c r="D829" s="9"/>
      <c r="E829" s="13"/>
    </row>
    <row r="830">
      <c r="D830" s="9"/>
      <c r="E830" s="13"/>
    </row>
    <row r="831">
      <c r="D831" s="9"/>
      <c r="E831" s="13"/>
    </row>
    <row r="832">
      <c r="D832" s="9"/>
      <c r="E832" s="13"/>
    </row>
    <row r="833">
      <c r="D833" s="9"/>
      <c r="E833" s="13"/>
    </row>
    <row r="834">
      <c r="D834" s="9"/>
      <c r="E834" s="13"/>
    </row>
    <row r="835">
      <c r="D835" s="9"/>
      <c r="E835" s="13"/>
    </row>
    <row r="836">
      <c r="D836" s="9"/>
      <c r="E836" s="13"/>
    </row>
    <row r="837">
      <c r="D837" s="9"/>
      <c r="E837" s="13"/>
    </row>
    <row r="838">
      <c r="D838" s="9"/>
      <c r="E838" s="13"/>
    </row>
    <row r="839">
      <c r="D839" s="9"/>
      <c r="E839" s="13"/>
    </row>
    <row r="840">
      <c r="D840" s="9"/>
      <c r="E840" s="13"/>
    </row>
    <row r="841">
      <c r="D841" s="9"/>
      <c r="E841" s="13"/>
    </row>
    <row r="842">
      <c r="D842" s="9"/>
      <c r="E842" s="13"/>
    </row>
    <row r="843">
      <c r="D843" s="9"/>
      <c r="E843" s="13"/>
    </row>
    <row r="844">
      <c r="D844" s="9"/>
      <c r="E844" s="13"/>
    </row>
    <row r="845">
      <c r="D845" s="9"/>
      <c r="E845" s="13"/>
    </row>
    <row r="846">
      <c r="D846" s="9"/>
      <c r="E846" s="13"/>
    </row>
    <row r="847">
      <c r="D847" s="9"/>
      <c r="E847" s="13"/>
    </row>
    <row r="848">
      <c r="D848" s="9"/>
      <c r="E848" s="13"/>
    </row>
    <row r="849">
      <c r="D849" s="9"/>
      <c r="E849" s="13"/>
    </row>
    <row r="850">
      <c r="D850" s="9"/>
      <c r="E850" s="13"/>
    </row>
    <row r="851">
      <c r="D851" s="9"/>
      <c r="E851" s="13"/>
    </row>
    <row r="852">
      <c r="D852" s="9"/>
      <c r="E852" s="13"/>
    </row>
    <row r="853">
      <c r="D853" s="9"/>
      <c r="E853" s="13"/>
    </row>
    <row r="854">
      <c r="D854" s="9"/>
      <c r="E854" s="13"/>
    </row>
    <row r="855">
      <c r="D855" s="9"/>
      <c r="E855" s="13"/>
    </row>
    <row r="856">
      <c r="D856" s="9"/>
      <c r="E856" s="13"/>
    </row>
    <row r="857">
      <c r="D857" s="9"/>
      <c r="E857" s="13"/>
    </row>
    <row r="858">
      <c r="D858" s="9"/>
      <c r="E858" s="13"/>
    </row>
    <row r="859">
      <c r="D859" s="9"/>
      <c r="E859" s="13"/>
    </row>
    <row r="860">
      <c r="D860" s="9"/>
      <c r="E860" s="13"/>
    </row>
    <row r="861">
      <c r="D861" s="9"/>
      <c r="E861" s="13"/>
    </row>
    <row r="862">
      <c r="D862" s="9"/>
      <c r="E862" s="13"/>
    </row>
    <row r="863">
      <c r="D863" s="9"/>
      <c r="E863" s="13"/>
    </row>
    <row r="864">
      <c r="D864" s="9"/>
      <c r="E864" s="13"/>
    </row>
    <row r="865">
      <c r="D865" s="9"/>
      <c r="E865" s="13"/>
    </row>
    <row r="866">
      <c r="D866" s="9"/>
      <c r="E866" s="13"/>
    </row>
    <row r="867">
      <c r="D867" s="9"/>
      <c r="E867" s="13"/>
    </row>
    <row r="868">
      <c r="D868" s="9"/>
      <c r="E868" s="13"/>
    </row>
    <row r="869">
      <c r="D869" s="9"/>
      <c r="E869" s="13"/>
    </row>
    <row r="870">
      <c r="D870" s="9"/>
      <c r="E870" s="13"/>
    </row>
    <row r="871">
      <c r="D871" s="9"/>
      <c r="E871" s="13"/>
    </row>
    <row r="872">
      <c r="D872" s="9"/>
      <c r="E872" s="13"/>
    </row>
    <row r="873">
      <c r="D873" s="9"/>
      <c r="E873" s="13"/>
    </row>
    <row r="874">
      <c r="D874" s="9"/>
      <c r="E874" s="13"/>
    </row>
    <row r="875">
      <c r="D875" s="9"/>
      <c r="E875" s="13"/>
    </row>
    <row r="876">
      <c r="D876" s="9"/>
      <c r="E876" s="13"/>
    </row>
    <row r="877">
      <c r="D877" s="9"/>
      <c r="E877" s="13"/>
    </row>
    <row r="878">
      <c r="D878" s="9"/>
      <c r="E878" s="13"/>
    </row>
    <row r="879">
      <c r="D879" s="9"/>
      <c r="E879" s="13"/>
    </row>
    <row r="880">
      <c r="D880" s="9"/>
      <c r="E880" s="13"/>
    </row>
    <row r="881">
      <c r="D881" s="9"/>
      <c r="E881" s="13"/>
    </row>
    <row r="882">
      <c r="D882" s="9"/>
      <c r="E882" s="13"/>
    </row>
    <row r="883">
      <c r="D883" s="9"/>
      <c r="E883" s="13"/>
    </row>
    <row r="884">
      <c r="D884" s="9"/>
      <c r="E884" s="13"/>
    </row>
    <row r="885">
      <c r="D885" s="9"/>
      <c r="E885" s="13"/>
    </row>
    <row r="886">
      <c r="D886" s="9"/>
      <c r="E886" s="13"/>
    </row>
    <row r="887">
      <c r="D887" s="9"/>
      <c r="E887" s="13"/>
    </row>
    <row r="888">
      <c r="D888" s="9"/>
      <c r="E888" s="13"/>
    </row>
    <row r="889">
      <c r="D889" s="9"/>
      <c r="E889" s="13"/>
    </row>
    <row r="890">
      <c r="D890" s="9"/>
      <c r="E890" s="13"/>
    </row>
    <row r="891">
      <c r="D891" s="9"/>
      <c r="E891" s="13"/>
    </row>
    <row r="892">
      <c r="D892" s="9"/>
      <c r="E892" s="13"/>
    </row>
    <row r="893">
      <c r="D893" s="9"/>
      <c r="E893" s="13"/>
    </row>
    <row r="894">
      <c r="D894" s="9"/>
      <c r="E894" s="13"/>
    </row>
    <row r="895">
      <c r="D895" s="9"/>
      <c r="E895" s="13"/>
    </row>
    <row r="896">
      <c r="D896" s="9"/>
      <c r="E896" s="13"/>
    </row>
    <row r="897">
      <c r="D897" s="9"/>
      <c r="E897" s="13"/>
    </row>
    <row r="898">
      <c r="D898" s="9"/>
      <c r="E898" s="13"/>
    </row>
    <row r="899">
      <c r="D899" s="9"/>
      <c r="E899" s="13"/>
    </row>
    <row r="900">
      <c r="D900" s="9"/>
      <c r="E900" s="13"/>
    </row>
    <row r="901">
      <c r="D901" s="9"/>
      <c r="E901" s="13"/>
    </row>
    <row r="902">
      <c r="D902" s="9"/>
      <c r="E902" s="13"/>
    </row>
    <row r="903">
      <c r="D903" s="9"/>
      <c r="E903" s="13"/>
    </row>
    <row r="904">
      <c r="D904" s="9"/>
      <c r="E904" s="13"/>
    </row>
    <row r="905">
      <c r="D905" s="9"/>
      <c r="E905" s="13"/>
    </row>
    <row r="906">
      <c r="D906" s="9"/>
      <c r="E906" s="13"/>
    </row>
    <row r="907">
      <c r="D907" s="9"/>
      <c r="E907" s="13"/>
    </row>
    <row r="908">
      <c r="D908" s="9"/>
      <c r="E908" s="13"/>
    </row>
    <row r="909">
      <c r="D909" s="9"/>
      <c r="E909" s="13"/>
    </row>
    <row r="910">
      <c r="D910" s="9"/>
      <c r="E910" s="13"/>
    </row>
    <row r="911">
      <c r="D911" s="9"/>
      <c r="E911" s="13"/>
    </row>
    <row r="912">
      <c r="D912" s="9"/>
      <c r="E912" s="13"/>
    </row>
    <row r="913">
      <c r="D913" s="9"/>
      <c r="E913" s="13"/>
    </row>
    <row r="914">
      <c r="D914" s="9"/>
      <c r="E914" s="13"/>
    </row>
    <row r="915">
      <c r="D915" s="9"/>
      <c r="E915" s="13"/>
    </row>
    <row r="916">
      <c r="D916" s="9"/>
      <c r="E916" s="13"/>
    </row>
    <row r="917">
      <c r="D917" s="9"/>
      <c r="E917" s="13"/>
    </row>
    <row r="918">
      <c r="D918" s="9"/>
      <c r="E918" s="13"/>
    </row>
    <row r="919">
      <c r="D919" s="9"/>
      <c r="E919" s="13"/>
    </row>
    <row r="920">
      <c r="D920" s="9"/>
      <c r="E920" s="13"/>
    </row>
    <row r="921">
      <c r="D921" s="9"/>
      <c r="E921" s="13"/>
    </row>
    <row r="922">
      <c r="D922" s="9"/>
      <c r="E922" s="13"/>
    </row>
    <row r="923">
      <c r="D923" s="9"/>
      <c r="E923" s="13"/>
    </row>
    <row r="924">
      <c r="D924" s="9"/>
      <c r="E924" s="13"/>
    </row>
    <row r="925">
      <c r="D925" s="9"/>
      <c r="E925" s="13"/>
    </row>
    <row r="926">
      <c r="D926" s="9"/>
      <c r="E926" s="13"/>
    </row>
    <row r="927">
      <c r="D927" s="9"/>
      <c r="E927" s="13"/>
    </row>
    <row r="928">
      <c r="D928" s="9"/>
      <c r="E928" s="13"/>
    </row>
    <row r="929">
      <c r="D929" s="9"/>
      <c r="E929" s="13"/>
    </row>
    <row r="930">
      <c r="D930" s="9"/>
      <c r="E930" s="13"/>
    </row>
    <row r="931">
      <c r="D931" s="9"/>
      <c r="E931" s="13"/>
    </row>
    <row r="932">
      <c r="D932" s="9"/>
      <c r="E932" s="13"/>
    </row>
    <row r="933">
      <c r="D933" s="9"/>
      <c r="E933" s="13"/>
    </row>
    <row r="934">
      <c r="D934" s="9"/>
      <c r="E934" s="13"/>
    </row>
    <row r="935">
      <c r="D935" s="9"/>
      <c r="E935" s="13"/>
    </row>
    <row r="936">
      <c r="D936" s="9"/>
      <c r="E936" s="13"/>
    </row>
    <row r="937">
      <c r="D937" s="9"/>
      <c r="E937" s="13"/>
    </row>
    <row r="938">
      <c r="D938" s="9"/>
      <c r="E938" s="13"/>
    </row>
    <row r="939">
      <c r="D939" s="9"/>
      <c r="E939" s="13"/>
    </row>
    <row r="940">
      <c r="D940" s="9"/>
      <c r="E940" s="13"/>
    </row>
    <row r="941">
      <c r="D941" s="9"/>
      <c r="E941" s="13"/>
    </row>
    <row r="942">
      <c r="D942" s="9"/>
      <c r="E942" s="13"/>
    </row>
    <row r="943">
      <c r="D943" s="9"/>
      <c r="E943" s="13"/>
    </row>
    <row r="944">
      <c r="D944" s="9"/>
      <c r="E944" s="13"/>
    </row>
    <row r="945">
      <c r="D945" s="9"/>
      <c r="E945" s="13"/>
    </row>
    <row r="946">
      <c r="D946" s="9"/>
      <c r="E946" s="13"/>
    </row>
    <row r="947">
      <c r="D947" s="9"/>
      <c r="E947" s="13"/>
    </row>
    <row r="948">
      <c r="D948" s="9"/>
      <c r="E948" s="13"/>
    </row>
    <row r="949">
      <c r="D949" s="9"/>
      <c r="E949" s="13"/>
    </row>
    <row r="950">
      <c r="D950" s="9"/>
      <c r="E950" s="13"/>
    </row>
    <row r="951">
      <c r="D951" s="9"/>
      <c r="E951" s="13"/>
    </row>
    <row r="952">
      <c r="D952" s="9"/>
      <c r="E952" s="13"/>
    </row>
    <row r="953">
      <c r="D953" s="9"/>
      <c r="E953" s="13"/>
    </row>
    <row r="954">
      <c r="D954" s="9"/>
      <c r="E954" s="13"/>
    </row>
    <row r="955">
      <c r="D955" s="9"/>
      <c r="E955" s="13"/>
    </row>
    <row r="956">
      <c r="D956" s="9"/>
      <c r="E956" s="13"/>
    </row>
    <row r="957">
      <c r="D957" s="9"/>
      <c r="E957" s="13"/>
    </row>
    <row r="958">
      <c r="D958" s="9"/>
      <c r="E958" s="13"/>
    </row>
    <row r="959">
      <c r="D959" s="9"/>
      <c r="E959" s="13"/>
    </row>
    <row r="960">
      <c r="D960" s="9"/>
      <c r="E960" s="13"/>
    </row>
    <row r="961">
      <c r="D961" s="9"/>
      <c r="E961" s="13"/>
    </row>
    <row r="962">
      <c r="D962" s="9"/>
      <c r="E962" s="13"/>
    </row>
    <row r="963">
      <c r="D963" s="9"/>
      <c r="E963" s="13"/>
    </row>
    <row r="964">
      <c r="D964" s="9"/>
      <c r="E964" s="13"/>
    </row>
    <row r="965">
      <c r="D965" s="9"/>
      <c r="E965" s="13"/>
    </row>
    <row r="966">
      <c r="D966" s="9"/>
      <c r="E966" s="13"/>
    </row>
    <row r="967">
      <c r="D967" s="9"/>
      <c r="E967" s="13"/>
    </row>
    <row r="968">
      <c r="D968" s="9"/>
      <c r="E968" s="13"/>
    </row>
    <row r="969">
      <c r="D969" s="9"/>
      <c r="E969" s="13"/>
    </row>
    <row r="970">
      <c r="D970" s="9"/>
      <c r="E970" s="13"/>
    </row>
    <row r="971">
      <c r="D971" s="9"/>
      <c r="E971" s="13"/>
    </row>
    <row r="972">
      <c r="D972" s="9"/>
      <c r="E972" s="13"/>
    </row>
    <row r="973">
      <c r="D973" s="9"/>
      <c r="E973" s="13"/>
    </row>
    <row r="974">
      <c r="D974" s="9"/>
      <c r="E974" s="13"/>
    </row>
    <row r="975">
      <c r="D975" s="9"/>
      <c r="E975" s="13"/>
    </row>
    <row r="976">
      <c r="D976" s="9"/>
      <c r="E976" s="13"/>
    </row>
    <row r="977">
      <c r="D977" s="9"/>
      <c r="E977" s="13"/>
    </row>
    <row r="978">
      <c r="D978" s="9"/>
      <c r="E978" s="13"/>
    </row>
    <row r="979">
      <c r="D979" s="9"/>
      <c r="E979" s="13"/>
    </row>
    <row r="980">
      <c r="D980" s="9"/>
      <c r="E980" s="13"/>
    </row>
    <row r="981">
      <c r="D981" s="9"/>
      <c r="E981" s="13"/>
    </row>
    <row r="982">
      <c r="D982" s="9"/>
      <c r="E982" s="13"/>
    </row>
    <row r="983">
      <c r="D983" s="9"/>
      <c r="E983" s="13"/>
    </row>
    <row r="984">
      <c r="D984" s="9"/>
      <c r="E984" s="13"/>
    </row>
    <row r="985">
      <c r="D985" s="9"/>
      <c r="E985" s="13"/>
    </row>
    <row r="986">
      <c r="D986" s="9"/>
      <c r="E986" s="13"/>
    </row>
    <row r="987">
      <c r="D987" s="9"/>
      <c r="E987" s="13"/>
    </row>
    <row r="988">
      <c r="D988" s="9"/>
      <c r="E988" s="13"/>
    </row>
    <row r="989">
      <c r="D989" s="9"/>
      <c r="E989" s="13"/>
    </row>
    <row r="990">
      <c r="D990" s="9"/>
      <c r="E990" s="13"/>
    </row>
    <row r="991">
      <c r="D991" s="9"/>
      <c r="E991" s="13"/>
    </row>
    <row r="992">
      <c r="D992" s="9"/>
      <c r="E992" s="13"/>
    </row>
    <row r="993">
      <c r="D993" s="9"/>
      <c r="E993" s="13"/>
    </row>
    <row r="994">
      <c r="D994" s="9"/>
      <c r="E994" s="13"/>
    </row>
    <row r="995">
      <c r="D995" s="9"/>
      <c r="E995" s="13"/>
    </row>
    <row r="996">
      <c r="D996" s="9"/>
      <c r="E996" s="13"/>
    </row>
    <row r="997">
      <c r="D997" s="9"/>
      <c r="E997" s="13"/>
    </row>
    <row r="998">
      <c r="D998" s="9"/>
      <c r="E998" s="13"/>
    </row>
    <row r="999">
      <c r="D999" s="9"/>
      <c r="E999" s="13"/>
    </row>
    <row r="1000">
      <c r="D1000" s="9"/>
      <c r="E1000" s="13"/>
    </row>
    <row r="1001">
      <c r="D1001" s="9"/>
      <c r="E1001" s="13"/>
    </row>
    <row r="1002">
      <c r="D1002" s="9"/>
      <c r="E1002" s="13"/>
    </row>
    <row r="1003">
      <c r="D1003" s="9"/>
      <c r="E1003" s="13"/>
    </row>
    <row r="1004">
      <c r="D1004" s="9"/>
      <c r="E1004" s="13"/>
    </row>
    <row r="1005">
      <c r="D1005" s="9"/>
      <c r="E1005" s="13"/>
    </row>
    <row r="1006">
      <c r="D1006" s="9"/>
      <c r="E1006" s="13"/>
    </row>
    <row r="1007">
      <c r="D1007" s="9"/>
      <c r="E1007" s="13"/>
    </row>
    <row r="1008">
      <c r="D1008" s="9"/>
      <c r="E1008" s="13"/>
    </row>
    <row r="1009">
      <c r="D1009" s="9"/>
      <c r="E1009" s="13"/>
    </row>
    <row r="1010">
      <c r="D1010" s="9"/>
      <c r="E1010" s="13"/>
    </row>
    <row r="1011">
      <c r="D1011" s="9"/>
      <c r="E1011" s="13"/>
    </row>
    <row r="1012">
      <c r="D1012" s="9"/>
      <c r="E1012" s="13"/>
    </row>
    <row r="1013">
      <c r="D1013" s="9"/>
      <c r="E1013" s="13"/>
    </row>
    <row r="1014">
      <c r="D1014" s="9"/>
      <c r="E1014" s="13"/>
    </row>
    <row r="1015">
      <c r="D1015" s="9"/>
      <c r="E1015" s="13"/>
    </row>
    <row r="1016">
      <c r="D1016" s="9"/>
      <c r="E1016" s="13"/>
    </row>
    <row r="1017">
      <c r="D1017" s="9"/>
      <c r="E1017" s="13"/>
    </row>
    <row r="1018">
      <c r="D1018" s="9"/>
      <c r="E1018" s="13"/>
    </row>
    <row r="1019">
      <c r="D1019" s="9"/>
      <c r="E1019" s="13"/>
    </row>
    <row r="1020">
      <c r="D1020" s="9"/>
      <c r="E1020" s="13"/>
    </row>
    <row r="1021">
      <c r="D1021" s="9"/>
      <c r="E1021" s="13"/>
    </row>
    <row r="1022">
      <c r="D1022" s="9"/>
      <c r="E1022" s="13"/>
    </row>
    <row r="1023">
      <c r="D1023" s="9"/>
      <c r="E1023" s="13"/>
    </row>
    <row r="1024">
      <c r="D1024" s="9"/>
      <c r="E1024" s="13"/>
    </row>
    <row r="1025">
      <c r="D1025" s="9"/>
      <c r="E1025" s="13"/>
    </row>
    <row r="1026">
      <c r="D1026" s="9"/>
      <c r="E1026" s="13"/>
    </row>
    <row r="1027">
      <c r="D1027" s="9"/>
      <c r="E1027" s="13"/>
    </row>
    <row r="1028">
      <c r="D1028" s="9"/>
      <c r="E1028" s="13"/>
    </row>
    <row r="1029">
      <c r="D1029" s="9"/>
      <c r="E1029" s="13"/>
    </row>
    <row r="1030">
      <c r="D1030" s="9"/>
      <c r="E1030" s="13"/>
    </row>
    <row r="1031">
      <c r="D1031" s="9"/>
      <c r="E1031" s="13"/>
    </row>
    <row r="1032">
      <c r="D1032" s="9"/>
      <c r="E1032" s="13"/>
    </row>
    <row r="1033">
      <c r="D1033" s="9"/>
      <c r="E1033" s="13"/>
    </row>
    <row r="1034">
      <c r="D1034" s="9"/>
      <c r="E1034" s="13"/>
    </row>
    <row r="1035">
      <c r="D1035" s="9"/>
      <c r="E1035" s="13"/>
    </row>
    <row r="1036">
      <c r="D1036" s="9"/>
      <c r="E1036" s="13"/>
    </row>
    <row r="1037">
      <c r="D1037" s="9"/>
      <c r="E1037" s="13"/>
    </row>
    <row r="1038">
      <c r="D1038" s="9"/>
      <c r="E1038" s="13"/>
    </row>
    <row r="1039">
      <c r="D1039" s="9"/>
      <c r="E1039" s="13"/>
    </row>
    <row r="1040">
      <c r="D1040" s="9"/>
      <c r="E1040" s="13"/>
    </row>
    <row r="1041">
      <c r="D1041" s="9"/>
      <c r="E1041" s="13"/>
    </row>
    <row r="1042">
      <c r="D1042" s="9"/>
      <c r="E1042" s="13"/>
    </row>
    <row r="1043">
      <c r="D1043" s="9"/>
      <c r="E1043" s="13"/>
    </row>
    <row r="1044">
      <c r="D1044" s="9"/>
      <c r="E1044" s="13"/>
    </row>
    <row r="1045">
      <c r="D1045" s="9"/>
      <c r="E1045" s="13"/>
    </row>
    <row r="1046">
      <c r="D1046" s="9"/>
      <c r="E1046" s="13"/>
    </row>
    <row r="1047">
      <c r="D1047" s="9"/>
      <c r="E1047" s="13"/>
    </row>
    <row r="1048">
      <c r="D1048" s="9"/>
      <c r="E1048" s="13"/>
    </row>
    <row r="1049">
      <c r="D1049" s="9"/>
      <c r="E1049" s="13"/>
    </row>
    <row r="1050">
      <c r="D1050" s="9"/>
      <c r="E1050" s="13"/>
    </row>
    <row r="1051">
      <c r="D1051" s="9"/>
      <c r="E1051" s="13"/>
    </row>
    <row r="1052">
      <c r="D1052" s="9"/>
      <c r="E1052" s="13"/>
    </row>
    <row r="1053">
      <c r="D1053" s="9"/>
      <c r="E1053" s="13"/>
    </row>
    <row r="1054">
      <c r="D1054" s="9"/>
      <c r="E1054" s="13"/>
    </row>
    <row r="1055">
      <c r="D1055" s="9"/>
      <c r="E1055" s="13"/>
    </row>
    <row r="1056">
      <c r="D1056" s="9"/>
      <c r="E1056" s="13"/>
    </row>
    <row r="1057">
      <c r="D1057" s="9"/>
      <c r="E1057" s="13"/>
    </row>
    <row r="1058">
      <c r="D1058" s="9"/>
      <c r="E1058" s="13"/>
    </row>
    <row r="1059">
      <c r="D1059" s="9"/>
      <c r="E1059" s="13"/>
    </row>
    <row r="1060">
      <c r="D1060" s="9"/>
      <c r="E1060" s="13"/>
    </row>
    <row r="1061">
      <c r="D1061" s="9"/>
      <c r="E1061" s="13"/>
    </row>
    <row r="1062">
      <c r="D1062" s="9"/>
      <c r="E1062" s="13"/>
    </row>
    <row r="1063">
      <c r="D1063" s="9"/>
      <c r="E1063" s="13"/>
    </row>
    <row r="1064">
      <c r="D1064" s="9"/>
      <c r="E1064" s="13"/>
    </row>
    <row r="1065">
      <c r="D1065" s="9"/>
      <c r="E1065" s="13"/>
    </row>
    <row r="1066">
      <c r="D1066" s="9"/>
      <c r="E1066" s="13"/>
    </row>
    <row r="1067">
      <c r="D1067" s="9"/>
      <c r="E1067" s="13"/>
    </row>
    <row r="1068">
      <c r="D1068" s="9"/>
      <c r="E1068" s="13"/>
    </row>
    <row r="1069">
      <c r="D1069" s="9"/>
      <c r="E1069" s="13"/>
    </row>
    <row r="1070">
      <c r="D1070" s="9"/>
      <c r="E1070" s="13"/>
    </row>
    <row r="1071">
      <c r="D1071" s="9"/>
      <c r="E1071" s="13"/>
    </row>
    <row r="1072">
      <c r="D1072" s="9"/>
      <c r="E1072" s="13"/>
    </row>
    <row r="1073">
      <c r="D1073" s="9"/>
      <c r="E1073" s="13"/>
    </row>
    <row r="1074">
      <c r="D1074" s="9"/>
      <c r="E1074" s="13"/>
    </row>
    <row r="1075">
      <c r="D1075" s="9"/>
      <c r="E1075" s="13"/>
    </row>
    <row r="1076">
      <c r="D1076" s="9"/>
      <c r="E1076" s="13"/>
    </row>
  </sheetData>
  <drawing r:id="rId1"/>
</worksheet>
</file>